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onalar bo'yicha" sheetId="1" state="visible" r:id="rId3"/>
    <sheet name="Narxlar" sheetId="2" state="visible" r:id="rId4"/>
    <sheet name="Hisob (batafsil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<sst xmlns="http://schemas.openxmlformats.org/spreadsheetml/2006/main" count="733" uniqueCount="188">
  <si>
    <t xml:space="preserve">PDP Academy · Xadra filiali — 2-qavat: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</si>
  <si>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</si>
  <si>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</si>
  <si>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devor, m²</t>
  </si>
  <si>
    <t xml:space="preserve">Shisha devor,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</si>
  <si>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</si>
  <si>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</si>
  <si>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</si>
  <si>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</si>
  <si>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</si>
  <si>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</si>
  <si>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</si>
  <si>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</si>
  <si>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Jami, $</t>
  </si>
  <si>
    <t xml:space="preserve">O'quv xonalari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</si>
  <si>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</si>
  <si>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</si>
  <si>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</si>
  <si>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</si>
  <si>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</si>
  <si>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</si>
  <si>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</si>
  <si>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Yuqori qavat o'quv xonasi (5.45 × 8.60)</t>
  </si>
  <si>
    <t xml:space="preserve">O'quv xonalari — jami</t>
  </si>
  <si>
    <t xml:space="preserve">Ofis xonalari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</si>
  <si>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</si>
  <si>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</si>
  <si>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</si>
  <si>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</si>
  <si>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</si>
  <si>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Ofis xonalari — jami</t>
  </si>
  <si>
    <t xml:space="preserve">Umumiy joylar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</si>
  <si>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</si>
  <si>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</si>
  <si>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</si>
  <si>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</si>
  <si>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</si>
  <si>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Umumiy joylar — jami</t>
  </si>
  <si>
    <t xml:space="preserve">JAMI</t>
  </si>
  <si>
    <t xml:space="preserve">Tekshiruv: batafsil varaqdagi jami bilan farq (0 bo'lishi kerak)</t>
  </si>
  <si>
    <t xml:space="preserve">PDP Academy · Xadra filiali — 2-qavat: narxlar va o'lchamlar</t>
  </si>
  <si>
    <t xml:space="preserve">Sariq kataklardagi narx va balandliklarni o'zgartirsangiz, «Hisob (batafsil)» va «Xonalar bo'yicha» varaqlari avtomatik qayta hisoblanadi.</t>
  </si>
  <si>
    <t xml:space="preserve">№</t>
  </si>
  <si>
    <t xml:space="preserve">Ko'rsatkich</t>
  </si>
  <si>
    <t xml:space="preserve">Qiymat</t>
  </si>
  <si>
    <t xml:space="preserve">Birlik</t>
  </si>
  <si>
    <t xml:space="preserve">Manba / izoh</t>
  </si>
  <si>
    <t xml:space="preserve">Shisha devor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</si>
  <si>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</si>
  <si>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</si>
  <si>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</si>
  <si>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</si>
  <si>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Bambuk panel</t>
  </si>
  <si>
    <t xml:space="preserve">Interaktiv doska</t>
  </si>
  <si>
    <t xml:space="preserve">$/dona</t>
  </si>
  <si>
    <t xml:space="preserve">Buyurtmachi; 7 ta shu qavat sinflariga + 1 ta yuqori qavatdagi sinfga = 8 ta</t>
  </si>
  <si>
    <t xml:space="preserve">Perila</t>
  </si>
  <si>
    <t xml:space="preserve">$/m</t>
  </si>
  <si>
    <t xml:space="preserve">Perila uzunligi</t>
  </si>
  <si>
    <t xml:space="preserve">m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</si>
  <si>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</si>
  <si>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</si>
  <si>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</si>
  <si>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</si>
  <si>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</si>
  <si>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</si>
  <si>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</si>
  <si>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</si>
  <si>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</si>
  <si>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</si>
  <si>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</si>
  <si>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</si>
  <si>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</si>
  <si>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</si>
  <si>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</si>
  <si>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</si>
  <si>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</si>
  <si>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 ustida (eshik tepasidan shiftgacha) GKL — ikki tomonlama. Eshikning o'zi narxi berilmagani uchun kiritilmadi.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</si>
  <si>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</si>
  <si>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</si>
  <si>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</si>
  <si>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</si>
  <si>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</si>
  <si>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Kirmagan: eshiklar, pol, shift, bo'yoq, elektr, ventilyatsiya va konditsioner, mebel,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</si>
  <si>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</si>
  <si>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— 2-qavat: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</si>
  <si>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</si>
  <si>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</si>
  <si>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</si>
  <si>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</si>
  <si>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</si>
  <si>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</si>
  <si>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</si>
  <si>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Summa, $</t>
  </si>
  <si>
    <t xml:space="preserve">Shisha devor (K1 koridori tomoni)</t>
  </si>
  <si>
    <t xml:space="preserve">m²</t>
  </si>
  <si>
    <t xml:space="preserve">Gips karton (GKL)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</si>
  <si>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</si>
  <si>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</si>
  <si>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</si>
  <si>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</si>
  <si>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</si>
  <si>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</si>
  <si>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</si>
  <si>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dona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</si>
  <si>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</si>
  <si>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</si>
  <si>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</si>
  <si>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</si>
  <si>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</si>
  <si>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</si>
  <si>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</si>
  <si>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</si>
  <si>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</si>
  <si>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</si>
  <si>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</si>
  <si>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</si>
  <si>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</si>
  <si>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</si>
  <si>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</si>
  <si>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</si>
  <si>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</si>
  <si>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</si>
  <si>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</si>
  <si>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</si>
  <si>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</si>
  <si>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</si>
  <si>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</si>
  <si>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</si>
  <si>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</si>
  <si>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</si>
  <si>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</si>
  <si>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</si>
  <si>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</si>
  <si>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</si>
  <si>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</si>
  <si>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</si>
  <si>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</si>
  <si>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</si>
  <si>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</si>
  <si>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</si>
  <si>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</si>
  <si>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</si>
  <si>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</si>
  <si>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</si>
  <si>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</si>
  <si>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</si>
  <si>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</si>
  <si>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</si>
  <si>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</si>
  <si>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</si>
  <si>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</si>
  <si>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(XZ2), Ustozlar xonasi (XZ3) bilan orasidagi devor</t>
  </si>
  <si>
    <t xml:space="preserve">Ustozlar xonasi (XZ3), Call-markaz (XZ4) bilan orasidagi devor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</si>
  <si>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</si>
  <si>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</si>
  <si>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</si>
  <si>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</si>
  <si>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</si>
  <si>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</si>
  <si>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</si>
  <si>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</si>
  <si>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</si>
  <si>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</si>
  <si>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</si>
  <si>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</si>
  <si>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</si>
  <si>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</si>
  <si>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</si>
  <si>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</si>
  <si>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</si>
  <si>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</si>
  <si>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</si>
  <si>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</si>
  <si>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</si>
  <si>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</si>
  <si>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</si>
  <si>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</si>
  <si>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</si>
  <si>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</si>
  <si>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</si>
  <si>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</si>
  <si>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Doska devori (eni)</t>
  </si>
  <si>
    <t xml:space="preserve">Orqa devor (eni)</t>
  </si>
  <si>
    <t xml:space="preserve">Uzun devor (eshikli)</t>
  </si>
  <si>
    <t xml:space="preserve">Yuqori qavatdagi o'quv xonasi uchun</t>
  </si>
  <si>
    <t xml:space="preserve">Jami: Yuqori qavat o'quv xonasi (5.45 × 8.60)</t>
  </si>
  <si>
    <t xml:space="preserve">JAMI (barcha xonalar)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</si>
</sst>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\$#,##0;&quot;($&quot;#,##0\);\-"/>
    <numFmt numFmtId="167" formatCode="#,##0;\(#,##0\);\-"/>
    <numFmt numFmtId="168" formatCode="\$#,##0.00;&quot;($&quot;#,##0.00\);\-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E8EEF6"/>
        <bgColor rgb="FFF2F2F2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3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A6" s="6" t="s">
        <v>15</v>
      </c>
      <c r="B6" s="7" t="n">
        <f aca="false">SUMIFS('Hisob (batafsil)'!$G$5:$G$204,'Hisob (batafsil)'!$B$5:$B$204,$A6,'Hisob (batafsil)'!$C$5:$C$204,"Shisha devor")</f>
        <v>11.5</v>
      </c>
      <c r="C6" s="8" t="n">
        <f aca="false">SUMIFS('Hisob (batafsil)'!$J$5:$J$204,'Hisob (batafsil)'!$B$5:$B$204,$A6,'Hisob (batafsil)'!$C$5:$C$204,"Shisha devor")</f>
        <v>632.5</v>
      </c>
      <c r="D6" s="7" t="n">
        <f aca="false">SUMIFS('Hisob (batafsil)'!$G$5:$G$204,'Hisob (batafsil)'!$B$5:$B$204,$A6,'Hisob (batafsil)'!$C$5:$C$204,"Gips karton (GKL)")</f>
        <v>7.61</v>
      </c>
      <c r="E6" s="8" t="n">
        <f aca="false">SUMIFS('Hisob (batafsil)'!$J$5:$J$204,'Hisob (batafsil)'!$B$5:$B$204,$A6,'Hisob (batafsil)'!$C$5:$C$204,"Gips karton (GKL)")</f>
        <v>91.32</v>
      </c>
      <c r="F6" s="7" t="n">
        <f aca="false">SUMIFS('Hisob (batafsil)'!$G$5:$G$204,'Hisob (batafsil)'!$B$5:$B$204,$A6,'Hisob (batafsil)'!$C$5:$C$204,"Bambuk panel")</f>
        <v>53.9</v>
      </c>
      <c r="G6" s="8" t="n">
        <f aca="false">SUMIFS('Hisob (batafsil)'!$J$5:$J$204,'Hisob (batafsil)'!$B$5:$B$204,$A6,'Hisob (batafsil)'!$C$5:$C$204,"Bambuk panel")</f>
        <v>835.45</v>
      </c>
      <c r="H6" s="9" t="n">
        <f aca="false">SUMIFS('Hisob (batafsil)'!$G$5:$G$204,'Hisob (batafsil)'!$B$5:$B$204,$A6,'Hisob (batafsil)'!$C$5:$C$204,"Interaktiv doska")</f>
        <v>1</v>
      </c>
      <c r="I6" s="8" t="n">
        <f aca="false">SUMIFS('Hisob (batafsil)'!$J$5:$J$204,'Hisob (batafsil)'!$B$5:$B$204,$A6,'Hisob (batafsil)'!$C$5:$C$204,"Interaktiv doska")</f>
        <v>1032</v>
      </c>
      <c r="J6" s="7" t="n">
        <f aca="false">SUMIFS('Hisob (batafsil)'!$G$5:$G$204,'Hisob (batafsil)'!$B$5:$B$204,$A6,'Hisob (batafsil)'!$C$5:$C$204,"Perila")</f>
        <v>0</v>
      </c>
      <c r="K6" s="8" t="n">
        <f aca="false">SUMIFS('Hisob (batafsil)'!$J$5:$J$204,'Hisob (batafsil)'!$B$5:$B$204,$A6,'Hisob (batafsil)'!$C$5:$C$204,"Perila")</f>
        <v>0</v>
      </c>
      <c r="L6" s="10" t="n">
        <f aca="false">C6+E6+G6+I6+K6</f>
        <v>2591.27</v>
      </c>
    </row>
    <row r="7" customFormat="false" ht="15" hidden="false" customHeight="false" outlineLevel="0" collapsed="false">
      <c r="A7" s="6" t="s">
        <v>16</v>
      </c>
      <c r="B7" s="7" t="n">
        <f aca="false">SUMIFS('Hisob (batafsil)'!$G$5:$G$204,'Hisob (batafsil)'!$B$5:$B$204,$A7,'Hisob (batafsil)'!$C$5:$C$204,"Shisha devor")</f>
        <v>11.75</v>
      </c>
      <c r="C7" s="8" t="n">
        <f aca="false">SUMIFS('Hisob (batafsil)'!$J$5:$J$204,'Hisob (batafsil)'!$B$5:$B$204,$A7,'Hisob (batafsil)'!$C$5:$C$204,"Shisha devor")</f>
        <v>646.25</v>
      </c>
      <c r="D7" s="7" t="n">
        <f aca="false">SUMIFS('Hisob (batafsil)'!$G$5:$G$204,'Hisob (batafsil)'!$B$5:$B$204,$A7,'Hisob (batafsil)'!$C$5:$C$204,"Gips karton (GKL)")</f>
        <v>6.66</v>
      </c>
      <c r="E7" s="8" t="n">
        <f aca="false">SUMIFS('Hisob (batafsil)'!$J$5:$J$204,'Hisob (batafsil)'!$B$5:$B$204,$A7,'Hisob (batafsil)'!$C$5:$C$204,"Gips karton (GKL)")</f>
        <v>79.92</v>
      </c>
      <c r="F7" s="7" t="n">
        <f aca="false">SUMIFS('Hisob (batafsil)'!$G$5:$G$204,'Hisob (batafsil)'!$B$5:$B$204,$A7,'Hisob (batafsil)'!$C$5:$C$204,"Bambuk panel")</f>
        <v>53.9</v>
      </c>
      <c r="G7" s="8" t="n">
        <f aca="false">SUMIFS('Hisob (batafsil)'!$J$5:$J$204,'Hisob (batafsil)'!$B$5:$B$204,$A7,'Hisob (batafsil)'!$C$5:$C$204,"Bambuk panel")</f>
        <v>835.45</v>
      </c>
      <c r="H7" s="9" t="n">
        <f aca="false">SUMIFS('Hisob (batafsil)'!$G$5:$G$204,'Hisob (batafsil)'!$B$5:$B$204,$A7,'Hisob (batafsil)'!$C$5:$C$204,"Interaktiv doska")</f>
        <v>1</v>
      </c>
      <c r="I7" s="8" t="n">
        <f aca="false">SUMIFS('Hisob (batafsil)'!$J$5:$J$204,'Hisob (batafsil)'!$B$5:$B$204,$A7,'Hisob (batafsil)'!$C$5:$C$204,"Interaktiv doska")</f>
        <v>1032</v>
      </c>
      <c r="J7" s="7" t="n">
        <f aca="false">SUMIFS('Hisob (batafsil)'!$G$5:$G$204,'Hisob (batafsil)'!$B$5:$B$204,$A7,'Hisob (batafsil)'!$C$5:$C$204,"Perila")</f>
        <v>0</v>
      </c>
      <c r="K7" s="8" t="n">
        <f aca="false">SUMIFS('Hisob (batafsil)'!$J$5:$J$204,'Hisob (batafsil)'!$B$5:$B$204,$A7,'Hisob (batafsil)'!$C$5:$C$204,"Perila")</f>
        <v>0</v>
      </c>
      <c r="L7" s="10" t="n">
        <f aca="false">C7+E7+G7+I7+K7</f>
        <v>2593.62</v>
      </c>
    </row>
    <row r="8" customFormat="false" ht="15" hidden="false" customHeight="false" outlineLevel="0" collapsed="false">
      <c r="A8" s="6" t="s">
        <v>17</v>
      </c>
      <c r="B8" s="7" t="n">
        <f aca="false">SUMIFS('Hisob (batafsil)'!$G$5:$G$204,'Hisob (batafsil)'!$B$5:$B$204,$A8,'Hisob (batafsil)'!$C$5:$C$204,"Shisha devor")</f>
        <v>0</v>
      </c>
      <c r="C8" s="8" t="n">
        <f aca="false">SUMIFS('Hisob (batafsil)'!$J$5:$J$204,'Hisob (batafsil)'!$B$5:$B$204,$A8,'Hisob (batafsil)'!$C$5:$C$204,"Shisha devor")</f>
        <v>0</v>
      </c>
      <c r="D8" s="7" t="n">
        <f aca="false">SUMIFS('Hisob (batafsil)'!$G$5:$G$204,'Hisob (batafsil)'!$B$5:$B$204,$A8,'Hisob (batafsil)'!$C$5:$C$204,"Gips karton (GKL)")</f>
        <v>18.235</v>
      </c>
      <c r="E8" s="8" t="n">
        <f aca="false">SUMIFS('Hisob (batafsil)'!$J$5:$J$204,'Hisob (batafsil)'!$B$5:$B$204,$A8,'Hisob (batafsil)'!$C$5:$C$204,"Gips karton (GKL)")</f>
        <v>218.82</v>
      </c>
      <c r="F8" s="7" t="n">
        <f aca="false">SUMIFS('Hisob (batafsil)'!$G$5:$G$204,'Hisob (batafsil)'!$B$5:$B$204,$A8,'Hisob (batafsil)'!$C$5:$C$204,"Bambuk panel")</f>
        <v>53.9</v>
      </c>
      <c r="G8" s="8" t="n">
        <f aca="false">SUMIFS('Hisob (batafsil)'!$J$5:$J$204,'Hisob (batafsil)'!$B$5:$B$204,$A8,'Hisob (batafsil)'!$C$5:$C$204,"Bambuk panel")</f>
        <v>835.45</v>
      </c>
      <c r="H8" s="9" t="n">
        <f aca="false">SUMIFS('Hisob (batafsil)'!$G$5:$G$204,'Hisob (batafsil)'!$B$5:$B$204,$A8,'Hisob (batafsil)'!$C$5:$C$204,"Interaktiv doska")</f>
        <v>1</v>
      </c>
      <c r="I8" s="8" t="n">
        <f aca="false">SUMIFS('Hisob (batafsil)'!$J$5:$J$204,'Hisob (batafsil)'!$B$5:$B$204,$A8,'Hisob (batafsil)'!$C$5:$C$204,"Interaktiv doska")</f>
        <v>1032</v>
      </c>
      <c r="J8" s="7" t="n">
        <f aca="false">SUMIFS('Hisob (batafsil)'!$G$5:$G$204,'Hisob (batafsil)'!$B$5:$B$204,$A8,'Hisob (batafsil)'!$C$5:$C$204,"Perila")</f>
        <v>0</v>
      </c>
      <c r="K8" s="8" t="n">
        <f aca="false">SUMIFS('Hisob (batafsil)'!$J$5:$J$204,'Hisob (batafsil)'!$B$5:$B$204,$A8,'Hisob (batafsil)'!$C$5:$C$204,"Perila")</f>
        <v>0</v>
      </c>
      <c r="L8" s="10" t="n">
        <f aca="false">C8+E8+G8+I8+K8</f>
        <v>2086.27</v>
      </c>
    </row>
    <row r="9" customFormat="false" ht="15" hidden="false" customHeight="false" outlineLevel="0" collapsed="false">
      <c r="A9" s="6" t="s">
        <v>18</v>
      </c>
      <c r="B9" s="7" t="n">
        <f aca="false">SUMIFS('Hisob (batafsil)'!$G$5:$G$204,'Hisob (batafsil)'!$B$5:$B$204,$A9,'Hisob (batafsil)'!$C$5:$C$204,"Shisha devor")</f>
        <v>10.375</v>
      </c>
      <c r="C9" s="8" t="n">
        <f aca="false">SUMIFS('Hisob (batafsil)'!$J$5:$J$204,'Hisob (batafsil)'!$B$5:$B$204,$A9,'Hisob (batafsil)'!$C$5:$C$204,"Shisha devor")</f>
        <v>570.625</v>
      </c>
      <c r="D9" s="7" t="n">
        <f aca="false">SUMIFS('Hisob (batafsil)'!$G$5:$G$204,'Hisob (batafsil)'!$B$5:$B$204,$A9,'Hisob (batafsil)'!$C$5:$C$204,"Gips karton (GKL)")</f>
        <v>41.985</v>
      </c>
      <c r="E9" s="8" t="n">
        <f aca="false">SUMIFS('Hisob (batafsil)'!$J$5:$J$204,'Hisob (batafsil)'!$B$5:$B$204,$A9,'Hisob (batafsil)'!$C$5:$C$204,"Gips karton (GKL)")</f>
        <v>503.82</v>
      </c>
      <c r="F9" s="7" t="n">
        <f aca="false">SUMIFS('Hisob (batafsil)'!$G$5:$G$204,'Hisob (batafsil)'!$B$5:$B$204,$A9,'Hisob (batafsil)'!$C$5:$C$204,"Bambuk panel")</f>
        <v>50.4</v>
      </c>
      <c r="G9" s="8" t="n">
        <f aca="false">SUMIFS('Hisob (batafsil)'!$J$5:$J$204,'Hisob (batafsil)'!$B$5:$B$204,$A9,'Hisob (batafsil)'!$C$5:$C$204,"Bambuk panel")</f>
        <v>781.2</v>
      </c>
      <c r="H9" s="9" t="n">
        <f aca="false">SUMIFS('Hisob (batafsil)'!$G$5:$G$204,'Hisob (batafsil)'!$B$5:$B$204,$A9,'Hisob (batafsil)'!$C$5:$C$204,"Interaktiv doska")</f>
        <v>1</v>
      </c>
      <c r="I9" s="8" t="n">
        <f aca="false">SUMIFS('Hisob (batafsil)'!$J$5:$J$204,'Hisob (batafsil)'!$B$5:$B$204,$A9,'Hisob (batafsil)'!$C$5:$C$204,"Interaktiv doska")</f>
        <v>1032</v>
      </c>
      <c r="J9" s="7" t="n">
        <f aca="false">SUMIFS('Hisob (batafsil)'!$G$5:$G$204,'Hisob (batafsil)'!$B$5:$B$204,$A9,'Hisob (batafsil)'!$C$5:$C$204,"Perila")</f>
        <v>0</v>
      </c>
      <c r="K9" s="8" t="n">
        <f aca="false">SUMIFS('Hisob (batafsil)'!$J$5:$J$204,'Hisob (batafsil)'!$B$5:$B$204,$A9,'Hisob (batafsil)'!$C$5:$C$204,"Perila")</f>
        <v>0</v>
      </c>
      <c r="L9" s="10" t="n">
        <f aca="false">C9+E9+G9+I9+K9</f>
        <v>2887.645</v>
      </c>
    </row>
    <row r="10" customFormat="false" ht="15" hidden="false" customHeight="false" outlineLevel="0" collapsed="false">
      <c r="A10" s="6" t="s">
        <v>19</v>
      </c>
      <c r="B10" s="7" t="n">
        <f aca="false">SUMIFS('Hisob (batafsil)'!$G$5:$G$204,'Hisob (batafsil)'!$B$5:$B$204,$A10,'Hisob (batafsil)'!$C$5:$C$204,"Shisha devor")</f>
        <v>0</v>
      </c>
      <c r="C10" s="8" t="n">
        <f aca="false">SUMIFS('Hisob (batafsil)'!$J$5:$J$204,'Hisob (batafsil)'!$B$5:$B$204,$A10,'Hisob (batafsil)'!$C$5:$C$204,"Shisha devor")</f>
        <v>0</v>
      </c>
      <c r="D10" s="7" t="n">
        <f aca="false">SUMIFS('Hisob (batafsil)'!$G$5:$G$204,'Hisob (batafsil)'!$B$5:$B$204,$A10,'Hisob (batafsil)'!$C$5:$C$204,"Gips karton (GKL)")</f>
        <v>27.86</v>
      </c>
      <c r="E10" s="8" t="n">
        <f aca="false">SUMIFS('Hisob (batafsil)'!$J$5:$J$204,'Hisob (batafsil)'!$B$5:$B$204,$A10,'Hisob (batafsil)'!$C$5:$C$204,"Gips karton (GKL)")</f>
        <v>334.32</v>
      </c>
      <c r="F10" s="7" t="n">
        <f aca="false">SUMIFS('Hisob (batafsil)'!$G$5:$G$204,'Hisob (batafsil)'!$B$5:$B$204,$A10,'Hisob (batafsil)'!$C$5:$C$204,"Bambuk panel")</f>
        <v>53.9</v>
      </c>
      <c r="G10" s="8" t="n">
        <f aca="false">SUMIFS('Hisob (batafsil)'!$J$5:$J$204,'Hisob (batafsil)'!$B$5:$B$204,$A10,'Hisob (batafsil)'!$C$5:$C$204,"Bambuk panel")</f>
        <v>835.45</v>
      </c>
      <c r="H10" s="9" t="n">
        <f aca="false">SUMIFS('Hisob (batafsil)'!$G$5:$G$204,'Hisob (batafsil)'!$B$5:$B$204,$A10,'Hisob (batafsil)'!$C$5:$C$204,"Interaktiv doska")</f>
        <v>1</v>
      </c>
      <c r="I10" s="8" t="n">
        <f aca="false">SUMIFS('Hisob (batafsil)'!$J$5:$J$204,'Hisob (batafsil)'!$B$5:$B$204,$A10,'Hisob (batafsil)'!$C$5:$C$204,"Interaktiv doska")</f>
        <v>1032</v>
      </c>
      <c r="J10" s="7" t="n">
        <f aca="false">SUMIFS('Hisob (batafsil)'!$G$5:$G$204,'Hisob (batafsil)'!$B$5:$B$204,$A10,'Hisob (batafsil)'!$C$5:$C$204,"Perila")</f>
        <v>0</v>
      </c>
      <c r="K10" s="8" t="n">
        <f aca="false">SUMIFS('Hisob (batafsil)'!$J$5:$J$204,'Hisob (batafsil)'!$B$5:$B$204,$A10,'Hisob (batafsil)'!$C$5:$C$204,"Perila")</f>
        <v>0</v>
      </c>
      <c r="L10" s="10" t="n">
        <f aca="false">C10+E10+G10+I10+K10</f>
        <v>2201.77</v>
      </c>
    </row>
    <row r="11" customFormat="false" ht="15" hidden="false" customHeight="false" outlineLevel="0" collapsed="false">
      <c r="A11" s="6" t="s">
        <v>20</v>
      </c>
      <c r="B11" s="7" t="n">
        <f aca="false">SUMIFS('Hisob (batafsil)'!$G$5:$G$204,'Hisob (batafsil)'!$B$5:$B$204,$A11,'Hisob (batafsil)'!$C$5:$C$204,"Shisha devor")</f>
        <v>11.75</v>
      </c>
      <c r="C11" s="8" t="n">
        <f aca="false">SUMIFS('Hisob (batafsil)'!$J$5:$J$204,'Hisob (batafsil)'!$B$5:$B$204,$A11,'Hisob (batafsil)'!$C$5:$C$204,"Shisha devor")</f>
        <v>646.25</v>
      </c>
      <c r="D11" s="7" t="n">
        <f aca="false">SUMIFS('Hisob (batafsil)'!$G$5:$G$204,'Hisob (batafsil)'!$B$5:$B$204,$A11,'Hisob (batafsil)'!$C$5:$C$204,"Gips karton (GKL)")</f>
        <v>25.91</v>
      </c>
      <c r="E11" s="8" t="n">
        <f aca="false">SUMIFS('Hisob (batafsil)'!$J$5:$J$204,'Hisob (batafsil)'!$B$5:$B$204,$A11,'Hisob (batafsil)'!$C$5:$C$204,"Gips karton (GKL)")</f>
        <v>310.92</v>
      </c>
      <c r="F11" s="7" t="n">
        <f aca="false">SUMIFS('Hisob (batafsil)'!$G$5:$G$204,'Hisob (batafsil)'!$B$5:$B$204,$A11,'Hisob (batafsil)'!$C$5:$C$204,"Bambuk panel")</f>
        <v>53.9</v>
      </c>
      <c r="G11" s="8" t="n">
        <f aca="false">SUMIFS('Hisob (batafsil)'!$J$5:$J$204,'Hisob (batafsil)'!$B$5:$B$204,$A11,'Hisob (batafsil)'!$C$5:$C$204,"Bambuk panel")</f>
        <v>835.45</v>
      </c>
      <c r="H11" s="9" t="n">
        <f aca="false">SUMIFS('Hisob (batafsil)'!$G$5:$G$204,'Hisob (batafsil)'!$B$5:$B$204,$A11,'Hisob (batafsil)'!$C$5:$C$204,"Interaktiv doska")</f>
        <v>1</v>
      </c>
      <c r="I11" s="8" t="n">
        <f aca="false">SUMIFS('Hisob (batafsil)'!$J$5:$J$204,'Hisob (batafsil)'!$B$5:$B$204,$A11,'Hisob (batafsil)'!$C$5:$C$204,"Interaktiv doska")</f>
        <v>1032</v>
      </c>
      <c r="J11" s="7" t="n">
        <f aca="false">SUMIFS('Hisob (batafsil)'!$G$5:$G$204,'Hisob (batafsil)'!$B$5:$B$204,$A11,'Hisob (batafsil)'!$C$5:$C$204,"Perila")</f>
        <v>0</v>
      </c>
      <c r="K11" s="8" t="n">
        <f aca="false">SUMIFS('Hisob (batafsil)'!$J$5:$J$204,'Hisob (batafsil)'!$B$5:$B$204,$A11,'Hisob (batafsil)'!$C$5:$C$204,"Perila")</f>
        <v>0</v>
      </c>
      <c r="L11" s="10" t="n">
        <f aca="false">C11+E11+G11+I11+K11</f>
        <v>2824.62</v>
      </c>
    </row>
    <row r="12" customFormat="false" ht="15" hidden="false" customHeight="false" outlineLevel="0" collapsed="false">
      <c r="A12" s="6" t="s">
        <v>21</v>
      </c>
      <c r="B12" s="7" t="n">
        <f aca="false">SUMIFS('Hisob (batafsil)'!$G$5:$G$204,'Hisob (batafsil)'!$B$5:$B$204,$A12,'Hisob (batafsil)'!$C$5:$C$204,"Shisha devor")</f>
        <v>11.75</v>
      </c>
      <c r="C12" s="8" t="n">
        <f aca="false">SUMIFS('Hisob (batafsil)'!$J$5:$J$204,'Hisob (batafsil)'!$B$5:$B$204,$A12,'Hisob (batafsil)'!$C$5:$C$204,"Shisha devor")</f>
        <v>646.25</v>
      </c>
      <c r="D12" s="7" t="n">
        <f aca="false">SUMIFS('Hisob (batafsil)'!$G$5:$G$204,'Hisob (batafsil)'!$B$5:$B$204,$A12,'Hisob (batafsil)'!$C$5:$C$204,"Gips karton (GKL)")</f>
        <v>30.81</v>
      </c>
      <c r="E12" s="8" t="n">
        <f aca="false">SUMIFS('Hisob (batafsil)'!$J$5:$J$204,'Hisob (batafsil)'!$B$5:$B$204,$A12,'Hisob (batafsil)'!$C$5:$C$204,"Gips karton (GKL)")</f>
        <v>369.72</v>
      </c>
      <c r="F12" s="7" t="n">
        <f aca="false">SUMIFS('Hisob (batafsil)'!$G$5:$G$204,'Hisob (batafsil)'!$B$5:$B$204,$A12,'Hisob (batafsil)'!$C$5:$C$204,"Bambuk panel")</f>
        <v>53.9</v>
      </c>
      <c r="G12" s="8" t="n">
        <f aca="false">SUMIFS('Hisob (batafsil)'!$J$5:$J$204,'Hisob (batafsil)'!$B$5:$B$204,$A12,'Hisob (batafsil)'!$C$5:$C$204,"Bambuk panel")</f>
        <v>835.45</v>
      </c>
      <c r="H12" s="9" t="n">
        <f aca="false">SUMIFS('Hisob (batafsil)'!$G$5:$G$204,'Hisob (batafsil)'!$B$5:$B$204,$A12,'Hisob (batafsil)'!$C$5:$C$204,"Interaktiv doska")</f>
        <v>1</v>
      </c>
      <c r="I12" s="8" t="n">
        <f aca="false">SUMIFS('Hisob (batafsil)'!$J$5:$J$204,'Hisob (batafsil)'!$B$5:$B$204,$A12,'Hisob (batafsil)'!$C$5:$C$204,"Interaktiv doska")</f>
        <v>1032</v>
      </c>
      <c r="J12" s="7" t="n">
        <f aca="false">SUMIFS('Hisob (batafsil)'!$G$5:$G$204,'Hisob (batafsil)'!$B$5:$B$204,$A12,'Hisob (batafsil)'!$C$5:$C$204,"Perila")</f>
        <v>0</v>
      </c>
      <c r="K12" s="8" t="n">
        <f aca="false">SUMIFS('Hisob (batafsil)'!$J$5:$J$204,'Hisob (batafsil)'!$B$5:$B$204,$A12,'Hisob (batafsil)'!$C$5:$C$204,"Perila")</f>
        <v>0</v>
      </c>
      <c r="L12" s="10" t="n">
        <f aca="false">C12+E12+G12+I12+K12</f>
        <v>2883.42</v>
      </c>
    </row>
    <row r="13" customFormat="false" ht="15" hidden="false" customHeight="false" outlineLevel="0" collapsed="false">
      <c r="A13" s="6" t="s">
        <v>22</v>
      </c>
      <c r="B13" s="7" t="n">
        <f aca="false">SUMIFS('Hisob (batafsil)'!$G$5:$G$204,'Hisob (batafsil)'!$B$5:$B$204,$A13,'Hisob (batafsil)'!$C$5:$C$204,"Shisha devor")</f>
        <v>0</v>
      </c>
      <c r="C13" s="8" t="n">
        <f aca="false">SUMIFS('Hisob (batafsil)'!$J$5:$J$204,'Hisob (batafsil)'!$B$5:$B$204,$A13,'Hisob (batafsil)'!$C$5:$C$204,"Shisha devor")</f>
        <v>0</v>
      </c>
      <c r="D13" s="7" t="n">
        <f aca="false">SUMIFS('Hisob (batafsil)'!$G$5:$G$204,'Hisob (batafsil)'!$B$5:$B$204,$A13,'Hisob (batafsil)'!$C$5:$C$204,"Gips karton (GKL)")</f>
        <v>0</v>
      </c>
      <c r="E13" s="8" t="n">
        <f aca="false">SUMIFS('Hisob (batafsil)'!$J$5:$J$204,'Hisob (batafsil)'!$B$5:$B$204,$A13,'Hisob (batafsil)'!$C$5:$C$204,"Gips karton (GKL)")</f>
        <v>0</v>
      </c>
      <c r="F13" s="7" t="n">
        <f aca="false">SUMIFS('Hisob (batafsil)'!$G$5:$G$204,'Hisob (batafsil)'!$B$5:$B$204,$A13,'Hisob (batafsil)'!$C$5:$C$204,"Bambuk panel")</f>
        <v>46.86</v>
      </c>
      <c r="G13" s="8" t="n">
        <f aca="false">SUMIFS('Hisob (batafsil)'!$J$5:$J$204,'Hisob (batafsil)'!$B$5:$B$204,$A13,'Hisob (batafsil)'!$C$5:$C$204,"Bambuk panel")</f>
        <v>726.33</v>
      </c>
      <c r="H13" s="9" t="n">
        <f aca="false">SUMIFS('Hisob (batafsil)'!$G$5:$G$204,'Hisob (batafsil)'!$B$5:$B$204,$A13,'Hisob (batafsil)'!$C$5:$C$204,"Interaktiv doska")</f>
        <v>1</v>
      </c>
      <c r="I13" s="8" t="n">
        <f aca="false">SUMIFS('Hisob (batafsil)'!$J$5:$J$204,'Hisob (batafsil)'!$B$5:$B$204,$A13,'Hisob (batafsil)'!$C$5:$C$204,"Interaktiv doska")</f>
        <v>1032</v>
      </c>
      <c r="J13" s="7" t="n">
        <f aca="false">SUMIFS('Hisob (batafsil)'!$G$5:$G$204,'Hisob (batafsil)'!$B$5:$B$204,$A13,'Hisob (batafsil)'!$C$5:$C$204,"Perila")</f>
        <v>0</v>
      </c>
      <c r="K13" s="8" t="n">
        <f aca="false">SUMIFS('Hisob (batafsil)'!$J$5:$J$204,'Hisob (batafsil)'!$B$5:$B$204,$A13,'Hisob (batafsil)'!$C$5:$C$204,"Perila")</f>
        <v>0</v>
      </c>
      <c r="L13" s="10" t="n">
        <f aca="false">C13+E13+G13+I13+K13</f>
        <v>1758.33</v>
      </c>
    </row>
    <row r="14" customFormat="false" ht="15" hidden="false" customHeight="false" outlineLevel="0" collapsed="false">
      <c r="A14" s="11" t="s">
        <v>23</v>
      </c>
      <c r="B14" s="12" t="n">
        <f aca="false">SUM(B6:B13)</f>
        <v>57.125</v>
      </c>
      <c r="C14" s="13" t="n">
        <f aca="false">SUM(C6:C13)</f>
        <v>3141.875</v>
      </c>
      <c r="D14" s="12" t="n">
        <f aca="false">SUM(D6:D13)</f>
        <v>159.07</v>
      </c>
      <c r="E14" s="13" t="n">
        <f aca="false">SUM(E6:E13)</f>
        <v>1908.84</v>
      </c>
      <c r="F14" s="12" t="n">
        <f aca="false">SUM(F6:F13)</f>
        <v>420.66</v>
      </c>
      <c r="G14" s="13" t="n">
        <f aca="false">SUM(G6:G13)</f>
        <v>6520.23</v>
      </c>
      <c r="H14" s="14" t="n">
        <f aca="false">SUM(H6:H13)</f>
        <v>8</v>
      </c>
      <c r="I14" s="13" t="n">
        <f aca="false">SUM(I6:I13)</f>
        <v>8256</v>
      </c>
      <c r="J14" s="12" t="n">
        <f aca="false">SUM(J6:J13)</f>
        <v>0</v>
      </c>
      <c r="K14" s="13" t="n">
        <f aca="false">SUM(K6:K13)</f>
        <v>0</v>
      </c>
      <c r="L14" s="13" t="n">
        <f aca="false">SUM(L6:L13)</f>
        <v>19826.945</v>
      </c>
    </row>
    <row r="16" customFormat="false" ht="15" hidden="false" customHeight="false" outlineLevel="0" collapsed="false">
      <c r="A16" s="4" t="s">
        <v>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customFormat="false" ht="15" hidden="false" customHeight="false" outlineLevel="0" collapsed="false">
      <c r="A17" s="6" t="s">
        <v>25</v>
      </c>
      <c r="B17" s="7" t="n">
        <f aca="false">SUMIFS('Hisob (batafsil)'!$G$5:$G$204,'Hisob (batafsil)'!$B$5:$B$204,$A17,'Hisob (batafsil)'!$C$5:$C$204,"Shisha devor")</f>
        <v>4.75</v>
      </c>
      <c r="C17" s="8" t="n">
        <f aca="false">SUMIFS('Hisob (batafsil)'!$J$5:$J$204,'Hisob (batafsil)'!$B$5:$B$204,$A17,'Hisob (batafsil)'!$C$5:$C$204,"Shisha devor")</f>
        <v>261.25</v>
      </c>
      <c r="D17" s="7" t="n">
        <f aca="false">SUMIFS('Hisob (batafsil)'!$G$5:$G$204,'Hisob (batafsil)'!$B$5:$B$204,$A17,'Hisob (batafsil)'!$C$5:$C$204,"Gips karton (GKL)")</f>
        <v>34.66</v>
      </c>
      <c r="E17" s="8" t="n">
        <f aca="false">SUMIFS('Hisob (batafsil)'!$J$5:$J$204,'Hisob (batafsil)'!$B$5:$B$204,$A17,'Hisob (batafsil)'!$C$5:$C$204,"Gips karton (GKL)")</f>
        <v>415.92</v>
      </c>
      <c r="F17" s="7" t="n">
        <f aca="false">SUMIFS('Hisob (batafsil)'!$G$5:$G$204,'Hisob (batafsil)'!$B$5:$B$204,$A17,'Hisob (batafsil)'!$C$5:$C$204,"Bambuk panel")</f>
        <v>39.2</v>
      </c>
      <c r="G17" s="8" t="n">
        <f aca="false">SUMIFS('Hisob (batafsil)'!$J$5:$J$204,'Hisob (batafsil)'!$B$5:$B$204,$A17,'Hisob (batafsil)'!$C$5:$C$204,"Bambuk panel")</f>
        <v>607.6</v>
      </c>
      <c r="H17" s="9" t="n">
        <f aca="false">SUMIFS('Hisob (batafsil)'!$G$5:$G$204,'Hisob (batafsil)'!$B$5:$B$204,$A17,'Hisob (batafsil)'!$C$5:$C$204,"Interaktiv doska")</f>
        <v>0</v>
      </c>
      <c r="I17" s="8" t="n">
        <f aca="false">SUMIFS('Hisob (batafsil)'!$J$5:$J$204,'Hisob (batafsil)'!$B$5:$B$204,$A17,'Hisob (batafsil)'!$C$5:$C$204,"Interaktiv doska")</f>
        <v>0</v>
      </c>
      <c r="J17" s="7" t="n">
        <f aca="false">SUMIFS('Hisob (batafsil)'!$G$5:$G$204,'Hisob (batafsil)'!$B$5:$B$204,$A17,'Hisob (batafsil)'!$C$5:$C$204,"Perila")</f>
        <v>0</v>
      </c>
      <c r="K17" s="8" t="n">
        <f aca="false">SUMIFS('Hisob (batafsil)'!$J$5:$J$204,'Hisob (batafsil)'!$B$5:$B$204,$A17,'Hisob (batafsil)'!$C$5:$C$204,"Perila")</f>
        <v>0</v>
      </c>
      <c r="L17" s="10" t="n">
        <f aca="false">C17+E17+G17+I17+K17</f>
        <v>1284.77</v>
      </c>
    </row>
    <row r="18" customFormat="false" ht="15" hidden="false" customHeight="false" outlineLevel="0" collapsed="false">
      <c r="A18" s="6" t="s">
        <v>26</v>
      </c>
      <c r="B18" s="7" t="n">
        <f aca="false">SUMIFS('Hisob (batafsil)'!$G$5:$G$204,'Hisob (batafsil)'!$B$5:$B$204,$A18,'Hisob (batafsil)'!$C$5:$C$204,"Shisha devor")</f>
        <v>4.75</v>
      </c>
      <c r="C18" s="8" t="n">
        <f aca="false">SUMIFS('Hisob (batafsil)'!$J$5:$J$204,'Hisob (batafsil)'!$B$5:$B$204,$A18,'Hisob (batafsil)'!$C$5:$C$204,"Shisha devor")</f>
        <v>261.25</v>
      </c>
      <c r="D18" s="7" t="n">
        <f aca="false">SUMIFS('Hisob (batafsil)'!$G$5:$G$204,'Hisob (batafsil)'!$B$5:$B$204,$A18,'Hisob (batafsil)'!$C$5:$C$204,"Gips karton (GKL)")</f>
        <v>35.71</v>
      </c>
      <c r="E18" s="8" t="n">
        <f aca="false">SUMIFS('Hisob (batafsil)'!$J$5:$J$204,'Hisob (batafsil)'!$B$5:$B$204,$A18,'Hisob (batafsil)'!$C$5:$C$204,"Gips karton (GKL)")</f>
        <v>428.52</v>
      </c>
      <c r="F18" s="7" t="n">
        <f aca="false">SUMIFS('Hisob (batafsil)'!$G$5:$G$204,'Hisob (batafsil)'!$B$5:$B$204,$A18,'Hisob (batafsil)'!$C$5:$C$204,"Bambuk panel")</f>
        <v>39.2</v>
      </c>
      <c r="G18" s="8" t="n">
        <f aca="false">SUMIFS('Hisob (batafsil)'!$J$5:$J$204,'Hisob (batafsil)'!$B$5:$B$204,$A18,'Hisob (batafsil)'!$C$5:$C$204,"Bambuk panel")</f>
        <v>607.6</v>
      </c>
      <c r="H18" s="9" t="n">
        <f aca="false">SUMIFS('Hisob (batafsil)'!$G$5:$G$204,'Hisob (batafsil)'!$B$5:$B$204,$A18,'Hisob (batafsil)'!$C$5:$C$204,"Interaktiv doska")</f>
        <v>0</v>
      </c>
      <c r="I18" s="8" t="n">
        <f aca="false">SUMIFS('Hisob (batafsil)'!$J$5:$J$204,'Hisob (batafsil)'!$B$5:$B$204,$A18,'Hisob (batafsil)'!$C$5:$C$204,"Interaktiv doska")</f>
        <v>0</v>
      </c>
      <c r="J18" s="7" t="n">
        <f aca="false">SUMIFS('Hisob (batafsil)'!$G$5:$G$204,'Hisob (batafsil)'!$B$5:$B$204,$A18,'Hisob (batafsil)'!$C$5:$C$204,"Perila")</f>
        <v>0</v>
      </c>
      <c r="K18" s="8" t="n">
        <f aca="false">SUMIFS('Hisob (batafsil)'!$J$5:$J$204,'Hisob (batafsil)'!$B$5:$B$204,$A18,'Hisob (batafsil)'!$C$5:$C$204,"Perila")</f>
        <v>0</v>
      </c>
      <c r="L18" s="10" t="n">
        <f aca="false">C18+E18+G18+I18+K18</f>
        <v>1297.37</v>
      </c>
    </row>
    <row r="19" customFormat="false" ht="15" hidden="false" customHeight="false" outlineLevel="0" collapsed="false">
      <c r="A19" s="6" t="s">
        <v>27</v>
      </c>
      <c r="B19" s="7" t="n">
        <f aca="false">SUMIFS('Hisob (batafsil)'!$G$5:$G$204,'Hisob (batafsil)'!$B$5:$B$204,$A19,'Hisob (batafsil)'!$C$5:$C$204,"Shisha devor")</f>
        <v>0</v>
      </c>
      <c r="C19" s="8" t="n">
        <f aca="false">SUMIFS('Hisob (batafsil)'!$J$5:$J$204,'Hisob (batafsil)'!$B$5:$B$204,$A19,'Hisob (batafsil)'!$C$5:$C$204,"Shisha devor")</f>
        <v>0</v>
      </c>
      <c r="D19" s="7" t="n">
        <f aca="false">SUMIFS('Hisob (batafsil)'!$G$5:$G$204,'Hisob (batafsil)'!$B$5:$B$204,$A19,'Hisob (batafsil)'!$C$5:$C$204,"Gips karton (GKL)")</f>
        <v>40.81</v>
      </c>
      <c r="E19" s="8" t="n">
        <f aca="false">SUMIFS('Hisob (batafsil)'!$J$5:$J$204,'Hisob (batafsil)'!$B$5:$B$204,$A19,'Hisob (batafsil)'!$C$5:$C$204,"Gips karton (GKL)")</f>
        <v>489.72</v>
      </c>
      <c r="F19" s="7" t="n">
        <f aca="false">SUMIFS('Hisob (batafsil)'!$G$5:$G$204,'Hisob (batafsil)'!$B$5:$B$204,$A19,'Hisob (batafsil)'!$C$5:$C$204,"Bambuk panel")</f>
        <v>39.2</v>
      </c>
      <c r="G19" s="8" t="n">
        <f aca="false">SUMIFS('Hisob (batafsil)'!$J$5:$J$204,'Hisob (batafsil)'!$B$5:$B$204,$A19,'Hisob (batafsil)'!$C$5:$C$204,"Bambuk panel")</f>
        <v>607.6</v>
      </c>
      <c r="H19" s="9" t="n">
        <f aca="false">SUMIFS('Hisob (batafsil)'!$G$5:$G$204,'Hisob (batafsil)'!$B$5:$B$204,$A19,'Hisob (batafsil)'!$C$5:$C$204,"Interaktiv doska")</f>
        <v>0</v>
      </c>
      <c r="I19" s="8" t="n">
        <f aca="false">SUMIFS('Hisob (batafsil)'!$J$5:$J$204,'Hisob (batafsil)'!$B$5:$B$204,$A19,'Hisob (batafsil)'!$C$5:$C$204,"Interaktiv doska")</f>
        <v>0</v>
      </c>
      <c r="J19" s="7" t="n">
        <f aca="false">SUMIFS('Hisob (batafsil)'!$G$5:$G$204,'Hisob (batafsil)'!$B$5:$B$204,$A19,'Hisob (batafsil)'!$C$5:$C$204,"Perila")</f>
        <v>0</v>
      </c>
      <c r="K19" s="8" t="n">
        <f aca="false">SUMIFS('Hisob (batafsil)'!$J$5:$J$204,'Hisob (batafsil)'!$B$5:$B$204,$A19,'Hisob (batafsil)'!$C$5:$C$204,"Perila")</f>
        <v>0</v>
      </c>
      <c r="L19" s="10" t="n">
        <f aca="false">C19+E19+G19+I19+K19</f>
        <v>1097.32</v>
      </c>
    </row>
    <row r="20" customFormat="false" ht="15" hidden="false" customHeight="false" outlineLevel="0" collapsed="false">
      <c r="A20" s="6" t="s">
        <v>28</v>
      </c>
      <c r="B20" s="7" t="n">
        <f aca="false">SUMIFS('Hisob (batafsil)'!$G$5:$G$204,'Hisob (batafsil)'!$B$5:$B$204,$A20,'Hisob (batafsil)'!$C$5:$C$204,"Shisha devor")</f>
        <v>0</v>
      </c>
      <c r="C20" s="8" t="n">
        <f aca="false">SUMIFS('Hisob (batafsil)'!$J$5:$J$204,'Hisob (batafsil)'!$B$5:$B$204,$A20,'Hisob (batafsil)'!$C$5:$C$204,"Shisha devor")</f>
        <v>0</v>
      </c>
      <c r="D20" s="7" t="n">
        <f aca="false">SUMIFS('Hisob (batafsil)'!$G$5:$G$204,'Hisob (batafsil)'!$B$5:$B$204,$A20,'Hisob (batafsil)'!$C$5:$C$204,"Gips karton (GKL)")</f>
        <v>41.16</v>
      </c>
      <c r="E20" s="8" t="n">
        <f aca="false">SUMIFS('Hisob (batafsil)'!$J$5:$J$204,'Hisob (batafsil)'!$B$5:$B$204,$A20,'Hisob (batafsil)'!$C$5:$C$204,"Gips karton (GKL)")</f>
        <v>493.92</v>
      </c>
      <c r="F20" s="7" t="n">
        <f aca="false">SUMIFS('Hisob (batafsil)'!$G$5:$G$204,'Hisob (batafsil)'!$B$5:$B$204,$A20,'Hisob (batafsil)'!$C$5:$C$204,"Bambuk panel")</f>
        <v>39.2</v>
      </c>
      <c r="G20" s="8" t="n">
        <f aca="false">SUMIFS('Hisob (batafsil)'!$J$5:$J$204,'Hisob (batafsil)'!$B$5:$B$204,$A20,'Hisob (batafsil)'!$C$5:$C$204,"Bambuk panel")</f>
        <v>607.6</v>
      </c>
      <c r="H20" s="9" t="n">
        <f aca="false">SUMIFS('Hisob (batafsil)'!$G$5:$G$204,'Hisob (batafsil)'!$B$5:$B$204,$A20,'Hisob (batafsil)'!$C$5:$C$204,"Interaktiv doska")</f>
        <v>0</v>
      </c>
      <c r="I20" s="8" t="n">
        <f aca="false">SUMIFS('Hisob (batafsil)'!$J$5:$J$204,'Hisob (batafsil)'!$B$5:$B$204,$A20,'Hisob (batafsil)'!$C$5:$C$204,"Interaktiv doska")</f>
        <v>0</v>
      </c>
      <c r="J20" s="7" t="n">
        <f aca="false">SUMIFS('Hisob (batafsil)'!$G$5:$G$204,'Hisob (batafsil)'!$B$5:$B$204,$A20,'Hisob (batafsil)'!$C$5:$C$204,"Perila")</f>
        <v>0</v>
      </c>
      <c r="K20" s="8" t="n">
        <f aca="false">SUMIFS('Hisob (batafsil)'!$J$5:$J$204,'Hisob (batafsil)'!$B$5:$B$204,$A20,'Hisob (batafsil)'!$C$5:$C$204,"Perila")</f>
        <v>0</v>
      </c>
      <c r="L20" s="10" t="n">
        <f aca="false">C20+E20+G20+I20+K20</f>
        <v>1101.52</v>
      </c>
    </row>
    <row r="21" customFormat="false" ht="15" hidden="false" customHeight="false" outlineLevel="0" collapsed="false">
      <c r="A21" s="6" t="s">
        <v>29</v>
      </c>
      <c r="B21" s="7" t="n">
        <f aca="false">SUMIFS('Hisob (batafsil)'!$G$5:$G$204,'Hisob (batafsil)'!$B$5:$B$204,$A21,'Hisob (batafsil)'!$C$5:$C$204,"Shisha devor")</f>
        <v>0</v>
      </c>
      <c r="C21" s="8" t="n">
        <f aca="false">SUMIFS('Hisob (batafsil)'!$J$5:$J$204,'Hisob (batafsil)'!$B$5:$B$204,$A21,'Hisob (batafsil)'!$C$5:$C$204,"Shisha devor")</f>
        <v>0</v>
      </c>
      <c r="D21" s="7" t="n">
        <f aca="false">SUMIFS('Hisob (batafsil)'!$G$5:$G$204,'Hisob (batafsil)'!$B$5:$B$204,$A21,'Hisob (batafsil)'!$C$5:$C$204,"Gips karton (GKL)")</f>
        <v>0</v>
      </c>
      <c r="E21" s="8" t="n">
        <f aca="false">SUMIFS('Hisob (batafsil)'!$J$5:$J$204,'Hisob (batafsil)'!$B$5:$B$204,$A21,'Hisob (batafsil)'!$C$5:$C$204,"Gips karton (GKL)")</f>
        <v>0</v>
      </c>
      <c r="F21" s="7" t="n">
        <f aca="false">SUMIFS('Hisob (batafsil)'!$G$5:$G$204,'Hisob (batafsil)'!$B$5:$B$204,$A21,'Hisob (batafsil)'!$C$5:$C$204,"Bambuk panel")</f>
        <v>29.26</v>
      </c>
      <c r="G21" s="8" t="n">
        <f aca="false">SUMIFS('Hisob (batafsil)'!$J$5:$J$204,'Hisob (batafsil)'!$B$5:$B$204,$A21,'Hisob (batafsil)'!$C$5:$C$204,"Bambuk panel")</f>
        <v>453.53</v>
      </c>
      <c r="H21" s="9" t="n">
        <f aca="false">SUMIFS('Hisob (batafsil)'!$G$5:$G$204,'Hisob (batafsil)'!$B$5:$B$204,$A21,'Hisob (batafsil)'!$C$5:$C$204,"Interaktiv doska")</f>
        <v>0</v>
      </c>
      <c r="I21" s="8" t="n">
        <f aca="false">SUMIFS('Hisob (batafsil)'!$J$5:$J$204,'Hisob (batafsil)'!$B$5:$B$204,$A21,'Hisob (batafsil)'!$C$5:$C$204,"Interaktiv doska")</f>
        <v>0</v>
      </c>
      <c r="J21" s="7" t="n">
        <f aca="false">SUMIFS('Hisob (batafsil)'!$G$5:$G$204,'Hisob (batafsil)'!$B$5:$B$204,$A21,'Hisob (batafsil)'!$C$5:$C$204,"Perila")</f>
        <v>0</v>
      </c>
      <c r="K21" s="8" t="n">
        <f aca="false">SUMIFS('Hisob (batafsil)'!$J$5:$J$204,'Hisob (batafsil)'!$B$5:$B$204,$A21,'Hisob (batafsil)'!$C$5:$C$204,"Perila")</f>
        <v>0</v>
      </c>
      <c r="L21" s="10" t="n">
        <f aca="false">C21+E21+G21+I21+K21</f>
        <v>453.53</v>
      </c>
    </row>
    <row r="22" customFormat="false" ht="15" hidden="false" customHeight="false" outlineLevel="0" collapsed="false">
      <c r="A22" s="11" t="s">
        <v>30</v>
      </c>
      <c r="B22" s="12" t="n">
        <f aca="false">SUM(B17:B21)</f>
        <v>9.5</v>
      </c>
      <c r="C22" s="13" t="n">
        <f aca="false">SUM(C17:C21)</f>
        <v>522.5</v>
      </c>
      <c r="D22" s="12" t="n">
        <f aca="false">SUM(D17:D21)</f>
        <v>152.34</v>
      </c>
      <c r="E22" s="13" t="n">
        <f aca="false">SUM(E17:E21)</f>
        <v>1828.08</v>
      </c>
      <c r="F22" s="12" t="n">
        <f aca="false">SUM(F17:F21)</f>
        <v>186.06</v>
      </c>
      <c r="G22" s="13" t="n">
        <f aca="false">SUM(G17:G21)</f>
        <v>2883.93</v>
      </c>
      <c r="H22" s="14" t="n">
        <f aca="false">SUM(H17:H21)</f>
        <v>0</v>
      </c>
      <c r="I22" s="13" t="n">
        <f aca="false">SUM(I17:I21)</f>
        <v>0</v>
      </c>
      <c r="J22" s="12" t="n">
        <f aca="false">SUM(J17:J21)</f>
        <v>0</v>
      </c>
      <c r="K22" s="13" t="n">
        <f aca="false">SUM(K17:K21)</f>
        <v>0</v>
      </c>
      <c r="L22" s="13" t="n">
        <f aca="false">SUM(L17:L21)</f>
        <v>5234.51</v>
      </c>
    </row>
    <row r="24" customFormat="false" ht="15" hidden="false" customHeight="false" outlineLevel="0" collapsed="false">
      <c r="A24" s="4" t="s">
        <v>31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15" hidden="false" customHeight="false" outlineLevel="0" collapsed="false">
      <c r="A25" s="6" t="s">
        <v>32</v>
      </c>
      <c r="B25" s="7" t="n">
        <f aca="false">SUMIFS('Hisob (batafsil)'!$G$5:$G$204,'Hisob (batafsil)'!$B$5:$B$204,$A25,'Hisob (batafsil)'!$C$5:$C$204,"Shisha devor")</f>
        <v>0</v>
      </c>
      <c r="C25" s="8" t="n">
        <f aca="false">SUMIFS('Hisob (batafsil)'!$J$5:$J$204,'Hisob (batafsil)'!$B$5:$B$204,$A25,'Hisob (batafsil)'!$C$5:$C$204,"Shisha devor")</f>
        <v>0</v>
      </c>
      <c r="D25" s="7" t="n">
        <f aca="false">SUMIFS('Hisob (batafsil)'!$G$5:$G$204,'Hisob (batafsil)'!$B$5:$B$204,$A25,'Hisob (batafsil)'!$C$5:$C$204,"Gips karton (GKL)")</f>
        <v>57.275</v>
      </c>
      <c r="E25" s="8" t="n">
        <f aca="false">SUMIFS('Hisob (batafsil)'!$J$5:$J$204,'Hisob (batafsil)'!$B$5:$B$204,$A25,'Hisob (batafsil)'!$C$5:$C$204,"Gips karton (GKL)")</f>
        <v>687.3</v>
      </c>
      <c r="F25" s="7" t="n">
        <f aca="false">SUMIFS('Hisob (batafsil)'!$G$5:$G$204,'Hisob (batafsil)'!$B$5:$B$204,$A25,'Hisob (batafsil)'!$C$5:$C$204,"Bambuk panel")</f>
        <v>0</v>
      </c>
      <c r="G25" s="8" t="n">
        <f aca="false">SUMIFS('Hisob (batafsil)'!$J$5:$J$204,'Hisob (batafsil)'!$B$5:$B$204,$A25,'Hisob (batafsil)'!$C$5:$C$204,"Bambuk panel")</f>
        <v>0</v>
      </c>
      <c r="H25" s="9" t="n">
        <f aca="false">SUMIFS('Hisob (batafsil)'!$G$5:$G$204,'Hisob (batafsil)'!$B$5:$B$204,$A25,'Hisob (batafsil)'!$C$5:$C$204,"Interaktiv doska")</f>
        <v>0</v>
      </c>
      <c r="I25" s="8" t="n">
        <f aca="false">SUMIFS('Hisob (batafsil)'!$J$5:$J$204,'Hisob (batafsil)'!$B$5:$B$204,$A25,'Hisob (batafsil)'!$C$5:$C$204,"Interaktiv doska")</f>
        <v>0</v>
      </c>
      <c r="J25" s="7" t="n">
        <f aca="false">SUMIFS('Hisob (batafsil)'!$G$5:$G$204,'Hisob (batafsil)'!$B$5:$B$204,$A25,'Hisob (batafsil)'!$C$5:$C$204,"Perila")</f>
        <v>0</v>
      </c>
      <c r="K25" s="8" t="n">
        <f aca="false">SUMIFS('Hisob (batafsil)'!$J$5:$J$204,'Hisob (batafsil)'!$B$5:$B$204,$A25,'Hisob (batafsil)'!$C$5:$C$204,"Perila")</f>
        <v>0</v>
      </c>
      <c r="L25" s="10" t="n">
        <f aca="false">C25+E25+G25+I25+K25</f>
        <v>687.3</v>
      </c>
    </row>
    <row r="26" customFormat="false" ht="15" hidden="false" customHeight="false" outlineLevel="0" collapsed="false">
      <c r="A26" s="6" t="s">
        <v>33</v>
      </c>
      <c r="B26" s="7" t="n">
        <f aca="false">SUMIFS('Hisob (batafsil)'!$G$5:$G$204,'Hisob (batafsil)'!$B$5:$B$204,$A26,'Hisob (batafsil)'!$C$5:$C$204,"Shisha devor")</f>
        <v>0</v>
      </c>
      <c r="C26" s="8" t="n">
        <f aca="false">SUMIFS('Hisob (batafsil)'!$J$5:$J$204,'Hisob (batafsil)'!$B$5:$B$204,$A26,'Hisob (batafsil)'!$C$5:$C$204,"Shisha devor")</f>
        <v>0</v>
      </c>
      <c r="D26" s="7" t="n">
        <f aca="false">SUMIFS('Hisob (batafsil)'!$G$5:$G$204,'Hisob (batafsil)'!$B$5:$B$204,$A26,'Hisob (batafsil)'!$C$5:$C$204,"Gips karton (GKL)")</f>
        <v>48.51</v>
      </c>
      <c r="E26" s="8" t="n">
        <f aca="false">SUMIFS('Hisob (batafsil)'!$J$5:$J$204,'Hisob (batafsil)'!$B$5:$B$204,$A26,'Hisob (batafsil)'!$C$5:$C$204,"Gips karton (GKL)")</f>
        <v>582.12</v>
      </c>
      <c r="F26" s="7" t="n">
        <f aca="false">SUMIFS('Hisob (batafsil)'!$G$5:$G$204,'Hisob (batafsil)'!$B$5:$B$204,$A26,'Hisob (batafsil)'!$C$5:$C$204,"Bambuk panel")</f>
        <v>0</v>
      </c>
      <c r="G26" s="8" t="n">
        <f aca="false">SUMIFS('Hisob (batafsil)'!$J$5:$J$204,'Hisob (batafsil)'!$B$5:$B$204,$A26,'Hisob (batafsil)'!$C$5:$C$204,"Bambuk panel")</f>
        <v>0</v>
      </c>
      <c r="H26" s="9" t="n">
        <f aca="false">SUMIFS('Hisob (batafsil)'!$G$5:$G$204,'Hisob (batafsil)'!$B$5:$B$204,$A26,'Hisob (batafsil)'!$C$5:$C$204,"Interaktiv doska")</f>
        <v>0</v>
      </c>
      <c r="I26" s="8" t="n">
        <f aca="false">SUMIFS('Hisob (batafsil)'!$J$5:$J$204,'Hisob (batafsil)'!$B$5:$B$204,$A26,'Hisob (batafsil)'!$C$5:$C$204,"Interaktiv doska")</f>
        <v>0</v>
      </c>
      <c r="J26" s="7" t="n">
        <f aca="false">SUMIFS('Hisob (batafsil)'!$G$5:$G$204,'Hisob (batafsil)'!$B$5:$B$204,$A26,'Hisob (batafsil)'!$C$5:$C$204,"Perila")</f>
        <v>0</v>
      </c>
      <c r="K26" s="8" t="n">
        <f aca="false">SUMIFS('Hisob (batafsil)'!$J$5:$J$204,'Hisob (batafsil)'!$B$5:$B$204,$A26,'Hisob (batafsil)'!$C$5:$C$204,"Perila")</f>
        <v>0</v>
      </c>
      <c r="L26" s="10" t="n">
        <f aca="false">C26+E26+G26+I26+K26</f>
        <v>582.12</v>
      </c>
    </row>
    <row r="27" customFormat="false" ht="15" hidden="false" customHeight="false" outlineLevel="0" collapsed="false">
      <c r="A27" s="6" t="s">
        <v>34</v>
      </c>
      <c r="B27" s="7" t="n">
        <f aca="false">SUMIFS('Hisob (batafsil)'!$G$5:$G$204,'Hisob (batafsil)'!$B$5:$B$204,$A27,'Hisob (batafsil)'!$C$5:$C$204,"Shisha devor")</f>
        <v>0</v>
      </c>
      <c r="C27" s="8" t="n">
        <f aca="false">SUMIFS('Hisob (batafsil)'!$J$5:$J$204,'Hisob (batafsil)'!$B$5:$B$204,$A27,'Hisob (batafsil)'!$C$5:$C$204,"Shisha devor")</f>
        <v>0</v>
      </c>
      <c r="D27" s="7" t="n">
        <f aca="false">SUMIFS('Hisob (batafsil)'!$G$5:$G$204,'Hisob (batafsil)'!$B$5:$B$204,$A27,'Hisob (batafsil)'!$C$5:$C$204,"Gips karton (GKL)")</f>
        <v>9.625</v>
      </c>
      <c r="E27" s="8" t="n">
        <f aca="false">SUMIFS('Hisob (batafsil)'!$J$5:$J$204,'Hisob (batafsil)'!$B$5:$B$204,$A27,'Hisob (batafsil)'!$C$5:$C$204,"Gips karton (GKL)")</f>
        <v>115.5</v>
      </c>
      <c r="F27" s="7" t="n">
        <f aca="false">SUMIFS('Hisob (batafsil)'!$G$5:$G$204,'Hisob (batafsil)'!$B$5:$B$204,$A27,'Hisob (batafsil)'!$C$5:$C$204,"Bambuk panel")</f>
        <v>0</v>
      </c>
      <c r="G27" s="8" t="n">
        <f aca="false">SUMIFS('Hisob (batafsil)'!$J$5:$J$204,'Hisob (batafsil)'!$B$5:$B$204,$A27,'Hisob (batafsil)'!$C$5:$C$204,"Bambuk panel")</f>
        <v>0</v>
      </c>
      <c r="H27" s="9" t="n">
        <f aca="false">SUMIFS('Hisob (batafsil)'!$G$5:$G$204,'Hisob (batafsil)'!$B$5:$B$204,$A27,'Hisob (batafsil)'!$C$5:$C$204,"Interaktiv doska")</f>
        <v>0</v>
      </c>
      <c r="I27" s="8" t="n">
        <f aca="false">SUMIFS('Hisob (batafsil)'!$J$5:$J$204,'Hisob (batafsil)'!$B$5:$B$204,$A27,'Hisob (batafsil)'!$C$5:$C$204,"Interaktiv doska")</f>
        <v>0</v>
      </c>
      <c r="J27" s="7" t="n">
        <f aca="false">SUMIFS('Hisob (batafsil)'!$G$5:$G$204,'Hisob (batafsil)'!$B$5:$B$204,$A27,'Hisob (batafsil)'!$C$5:$C$204,"Perila")</f>
        <v>0</v>
      </c>
      <c r="K27" s="8" t="n">
        <f aca="false">SUMIFS('Hisob (batafsil)'!$J$5:$J$204,'Hisob (batafsil)'!$B$5:$B$204,$A27,'Hisob (batafsil)'!$C$5:$C$204,"Perila")</f>
        <v>0</v>
      </c>
      <c r="L27" s="10" t="n">
        <f aca="false">C27+E27+G27+I27+K27</f>
        <v>115.5</v>
      </c>
    </row>
    <row r="28" customFormat="false" ht="15" hidden="false" customHeight="false" outlineLevel="0" collapsed="false">
      <c r="A28" s="6" t="s">
        <v>35</v>
      </c>
      <c r="B28" s="7" t="n">
        <f aca="false">SUMIFS('Hisob (batafsil)'!$G$5:$G$204,'Hisob (batafsil)'!$B$5:$B$204,$A28,'Hisob (batafsil)'!$C$5:$C$204,"Shisha devor")</f>
        <v>0</v>
      </c>
      <c r="C28" s="8" t="n">
        <f aca="false">SUMIFS('Hisob (batafsil)'!$J$5:$J$204,'Hisob (batafsil)'!$B$5:$B$204,$A28,'Hisob (batafsil)'!$C$5:$C$204,"Shisha devor")</f>
        <v>0</v>
      </c>
      <c r="D28" s="7" t="n">
        <f aca="false">SUMIFS('Hisob (batafsil)'!$G$5:$G$204,'Hisob (batafsil)'!$B$5:$B$204,$A28,'Hisob (batafsil)'!$C$5:$C$204,"Gips karton (GKL)")</f>
        <v>9.1</v>
      </c>
      <c r="E28" s="8" t="n">
        <f aca="false">SUMIFS('Hisob (batafsil)'!$J$5:$J$204,'Hisob (batafsil)'!$B$5:$B$204,$A28,'Hisob (batafsil)'!$C$5:$C$204,"Gips karton (GKL)")</f>
        <v>109.2</v>
      </c>
      <c r="F28" s="7" t="n">
        <f aca="false">SUMIFS('Hisob (batafsil)'!$G$5:$G$204,'Hisob (batafsil)'!$B$5:$B$204,$A28,'Hisob (batafsil)'!$C$5:$C$204,"Bambuk panel")</f>
        <v>0</v>
      </c>
      <c r="G28" s="8" t="n">
        <f aca="false">SUMIFS('Hisob (batafsil)'!$J$5:$J$204,'Hisob (batafsil)'!$B$5:$B$204,$A28,'Hisob (batafsil)'!$C$5:$C$204,"Bambuk panel")</f>
        <v>0</v>
      </c>
      <c r="H28" s="9" t="n">
        <f aca="false">SUMIFS('Hisob (batafsil)'!$G$5:$G$204,'Hisob (batafsil)'!$B$5:$B$204,$A28,'Hisob (batafsil)'!$C$5:$C$204,"Interaktiv doska")</f>
        <v>0</v>
      </c>
      <c r="I28" s="8" t="n">
        <f aca="false">SUMIFS('Hisob (batafsil)'!$J$5:$J$204,'Hisob (batafsil)'!$B$5:$B$204,$A28,'Hisob (batafsil)'!$C$5:$C$204,"Interaktiv doska")</f>
        <v>0</v>
      </c>
      <c r="J28" s="7" t="n">
        <f aca="false">SUMIFS('Hisob (batafsil)'!$G$5:$G$204,'Hisob (batafsil)'!$B$5:$B$204,$A28,'Hisob (batafsil)'!$C$5:$C$204,"Perila")</f>
        <v>0</v>
      </c>
      <c r="K28" s="8" t="n">
        <f aca="false">SUMIFS('Hisob (batafsil)'!$J$5:$J$204,'Hisob (batafsil)'!$B$5:$B$204,$A28,'Hisob (batafsil)'!$C$5:$C$204,"Perila")</f>
        <v>0</v>
      </c>
      <c r="L28" s="10" t="n">
        <f aca="false">C28+E28+G28+I28+K28</f>
        <v>109.2</v>
      </c>
    </row>
    <row r="29" customFormat="false" ht="15" hidden="false" customHeight="false" outlineLevel="0" collapsed="false">
      <c r="A29" s="6" t="s">
        <v>36</v>
      </c>
      <c r="B29" s="7" t="n">
        <f aca="false">SUMIFS('Hisob (batafsil)'!$G$5:$G$204,'Hisob (batafsil)'!$B$5:$B$204,$A29,'Hisob (batafsil)'!$C$5:$C$204,"Shisha devor")</f>
        <v>0</v>
      </c>
      <c r="C29" s="8" t="n">
        <f aca="false">SUMIFS('Hisob (batafsil)'!$J$5:$J$204,'Hisob (batafsil)'!$B$5:$B$204,$A29,'Hisob (batafsil)'!$C$5:$C$204,"Shisha devor")</f>
        <v>0</v>
      </c>
      <c r="D29" s="7" t="n">
        <f aca="false">SUMIFS('Hisob (batafsil)'!$G$5:$G$204,'Hisob (batafsil)'!$B$5:$B$204,$A29,'Hisob (batafsil)'!$C$5:$C$204,"Gips karton (GKL)")</f>
        <v>0</v>
      </c>
      <c r="E29" s="8" t="n">
        <f aca="false">SUMIFS('Hisob (batafsil)'!$J$5:$J$204,'Hisob (batafsil)'!$B$5:$B$204,$A29,'Hisob (batafsil)'!$C$5:$C$204,"Gips karton (GKL)")</f>
        <v>0</v>
      </c>
      <c r="F29" s="7" t="n">
        <f aca="false">SUMIFS('Hisob (batafsil)'!$G$5:$G$204,'Hisob (batafsil)'!$B$5:$B$204,$A29,'Hisob (batafsil)'!$C$5:$C$204,"Bambuk panel")</f>
        <v>0</v>
      </c>
      <c r="G29" s="8" t="n">
        <f aca="false">SUMIFS('Hisob (batafsil)'!$J$5:$J$204,'Hisob (batafsil)'!$B$5:$B$204,$A29,'Hisob (batafsil)'!$C$5:$C$204,"Bambuk panel")</f>
        <v>0</v>
      </c>
      <c r="H29" s="9" t="n">
        <f aca="false">SUMIFS('Hisob (batafsil)'!$G$5:$G$204,'Hisob (batafsil)'!$B$5:$B$204,$A29,'Hisob (batafsil)'!$C$5:$C$204,"Interaktiv doska")</f>
        <v>0</v>
      </c>
      <c r="I29" s="8" t="n">
        <f aca="false">SUMIFS('Hisob (batafsil)'!$J$5:$J$204,'Hisob (batafsil)'!$B$5:$B$204,$A29,'Hisob (batafsil)'!$C$5:$C$204,"Interaktiv doska")</f>
        <v>0</v>
      </c>
      <c r="J29" s="7" t="n">
        <f aca="false">SUMIFS('Hisob (batafsil)'!$G$5:$G$204,'Hisob (batafsil)'!$B$5:$B$204,$A29,'Hisob (batafsil)'!$C$5:$C$204,"Perila")</f>
        <v>24</v>
      </c>
      <c r="K29" s="8" t="n">
        <f aca="false">SUMIFS('Hisob (batafsil)'!$J$5:$J$204,'Hisob (batafsil)'!$B$5:$B$204,$A29,'Hisob (batafsil)'!$C$5:$C$204,"Perila")</f>
        <v>2016</v>
      </c>
      <c r="L29" s="10" t="n">
        <f aca="false">C29+E29+G29+I29+K29</f>
        <v>2016</v>
      </c>
    </row>
    <row r="30" customFormat="false" ht="15" hidden="false" customHeight="false" outlineLevel="0" collapsed="false">
      <c r="A30" s="11" t="s">
        <v>37</v>
      </c>
      <c r="B30" s="12" t="n">
        <f aca="false">SUM(B25:B29)</f>
        <v>0</v>
      </c>
      <c r="C30" s="13" t="n">
        <f aca="false">SUM(C25:C29)</f>
        <v>0</v>
      </c>
      <c r="D30" s="12" t="n">
        <f aca="false">SUM(D25:D29)</f>
        <v>124.51</v>
      </c>
      <c r="E30" s="13" t="n">
        <f aca="false">SUM(E25:E29)</f>
        <v>1494.12</v>
      </c>
      <c r="F30" s="12" t="n">
        <f aca="false">SUM(F25:F29)</f>
        <v>0</v>
      </c>
      <c r="G30" s="13" t="n">
        <f aca="false">SUM(G25:G29)</f>
        <v>0</v>
      </c>
      <c r="H30" s="14" t="n">
        <f aca="false">SUM(H25:H29)</f>
        <v>0</v>
      </c>
      <c r="I30" s="13" t="n">
        <f aca="false">SUM(I25:I29)</f>
        <v>0</v>
      </c>
      <c r="J30" s="12" t="n">
        <f aca="false">SUM(J25:J29)</f>
        <v>24</v>
      </c>
      <c r="K30" s="13" t="n">
        <f aca="false">SUM(K25:K29)</f>
        <v>2016</v>
      </c>
      <c r="L30" s="13" t="n">
        <f aca="false">SUM(L25:L29)</f>
        <v>3510.12</v>
      </c>
    </row>
    <row r="32" customFormat="false" ht="15" hidden="false" customHeight="false" outlineLevel="0" collapsed="false">
      <c r="A32" s="15" t="s">
        <v>38</v>
      </c>
      <c r="B32" s="16" t="n">
        <f aca="false">B14+B22+B30</f>
        <v>66.625</v>
      </c>
      <c r="C32" s="17" t="n">
        <f aca="false">C14+C22+C30</f>
        <v>3664.375</v>
      </c>
      <c r="D32" s="16" t="n">
        <f aca="false">D14+D22+D30</f>
        <v>435.92</v>
      </c>
      <c r="E32" s="17" t="n">
        <f aca="false">E14+E22+E30</f>
        <v>5231.04</v>
      </c>
      <c r="F32" s="16" t="n">
        <f aca="false">F14+F22+F30</f>
        <v>606.72</v>
      </c>
      <c r="G32" s="17" t="n">
        <f aca="false">G14+G22+G30</f>
        <v>9404.16</v>
      </c>
      <c r="H32" s="18" t="n">
        <f aca="false">H14+H22+H30</f>
        <v>8</v>
      </c>
      <c r="I32" s="17" t="n">
        <f aca="false">I14+I22+I30</f>
        <v>8256</v>
      </c>
      <c r="J32" s="16" t="n">
        <f aca="false">J14+J22+J30</f>
        <v>24</v>
      </c>
      <c r="K32" s="17" t="n">
        <f aca="false">K14+K22+K30</f>
        <v>2016</v>
      </c>
      <c r="L32" s="17" t="n">
        <f aca="false">L14+L22+L30</f>
        <v>28571.575</v>
      </c>
    </row>
    <row r="34" customFormat="false" ht="15" hidden="false" customHeight="false" outlineLevel="0" collapsed="false">
      <c r="A34" s="2" t="s">
        <v>39</v>
      </c>
      <c r="L34" s="19" t="n">
        <f aca="false">L32-'Hisob (batafsil)'!J205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3" t="s">
        <v>42</v>
      </c>
      <c r="B4" s="3" t="s">
        <v>43</v>
      </c>
      <c r="C4" s="3" t="s">
        <v>44</v>
      </c>
      <c r="D4" s="3" t="s">
        <v>45</v>
      </c>
      <c r="E4" s="3" t="s">
        <v>46</v>
      </c>
    </row>
    <row r="5" customFormat="false" ht="15" hidden="false" customHeight="false" outlineLevel="0" collapsed="false">
      <c r="A5" s="20" t="n">
        <v>1</v>
      </c>
      <c r="B5" s="6" t="s">
        <v>47</v>
      </c>
      <c r="C5" s="21" t="n">
        <v>55</v>
      </c>
      <c r="D5" s="6" t="s">
        <v>48</v>
      </c>
      <c r="E5" s="6" t="s">
        <v>49</v>
      </c>
    </row>
    <row r="6" customFormat="false" ht="15" hidden="false" customHeight="false" outlineLevel="0" collapsed="false">
      <c r="A6" s="20" t="n">
        <v>2</v>
      </c>
      <c r="B6" s="6" t="s">
        <v>50</v>
      </c>
      <c r="C6" s="21" t="n">
        <v>12</v>
      </c>
      <c r="D6" s="6" t="s">
        <v>48</v>
      </c>
      <c r="E6" s="6" t="s">
        <v>51</v>
      </c>
    </row>
    <row r="7" customFormat="false" ht="15" hidden="false" customHeight="false" outlineLevel="0" collapsed="false">
      <c r="A7" s="20" t="n">
        <v>3</v>
      </c>
      <c r="B7" s="6" t="s">
        <v>52</v>
      </c>
      <c r="C7" s="21" t="n">
        <v>15.5</v>
      </c>
      <c r="D7" s="6" t="s">
        <v>48</v>
      </c>
      <c r="E7" s="6" t="s">
        <v>49</v>
      </c>
    </row>
    <row r="8" customFormat="false" ht="15" hidden="false" customHeight="false" outlineLevel="0" collapsed="false">
      <c r="A8" s="20" t="n">
        <v>4</v>
      </c>
      <c r="B8" s="6" t="s">
        <v>53</v>
      </c>
      <c r="C8" s="21" t="n">
        <v>1032</v>
      </c>
      <c r="D8" s="6" t="s">
        <v>54</v>
      </c>
      <c r="E8" s="6" t="s">
        <v>55</v>
      </c>
    </row>
    <row r="9" customFormat="false" ht="15" hidden="false" customHeight="false" outlineLevel="0" collapsed="false">
      <c r="A9" s="20" t="n">
        <v>5</v>
      </c>
      <c r="B9" s="6" t="s">
        <v>56</v>
      </c>
      <c r="C9" s="21" t="n">
        <v>84</v>
      </c>
      <c r="D9" s="6" t="s">
        <v>57</v>
      </c>
      <c r="E9" s="6" t="s">
        <v>49</v>
      </c>
    </row>
    <row r="10" customFormat="false" ht="15" hidden="false" customHeight="false" outlineLevel="0" collapsed="false">
      <c r="A10" s="20" t="n">
        <v>6</v>
      </c>
      <c r="B10" s="6" t="s">
        <v>58</v>
      </c>
      <c r="C10" s="22" t="n">
        <v>24</v>
      </c>
      <c r="D10" s="6" t="s">
        <v>59</v>
      </c>
      <c r="E10" s="6" t="s">
        <v>49</v>
      </c>
    </row>
    <row r="11" customFormat="false" ht="15" hidden="false" customHeight="false" outlineLevel="0" collapsed="false">
      <c r="A11" s="20" t="n">
        <v>7</v>
      </c>
      <c r="B11" s="6" t="s">
        <v>60</v>
      </c>
      <c r="C11" s="22" t="n">
        <v>3.5</v>
      </c>
      <c r="D11" s="6" t="s">
        <v>59</v>
      </c>
      <c r="E11" s="6" t="s">
        <v>61</v>
      </c>
    </row>
    <row r="12" customFormat="false" ht="15" hidden="false" customHeight="false" outlineLevel="0" collapsed="false">
      <c r="A12" s="20" t="n">
        <v>8</v>
      </c>
      <c r="B12" s="6" t="s">
        <v>62</v>
      </c>
      <c r="C12" s="22" t="n">
        <v>2.5</v>
      </c>
      <c r="D12" s="6" t="s">
        <v>59</v>
      </c>
      <c r="E12" s="6" t="s">
        <v>49</v>
      </c>
    </row>
    <row r="13" customFormat="false" ht="15" hidden="false" customHeight="false" outlineLevel="0" collapsed="false">
      <c r="A13" s="20" t="n">
        <v>9</v>
      </c>
      <c r="B13" s="6" t="s">
        <v>63</v>
      </c>
      <c r="C13" s="23" t="n">
        <f aca="false">C11-C12</f>
        <v>1</v>
      </c>
      <c r="D13" s="6" t="s">
        <v>59</v>
      </c>
      <c r="E13" s="6" t="s">
        <v>64</v>
      </c>
    </row>
    <row r="14" customFormat="false" ht="15" hidden="false" customHeight="false" outlineLevel="0" collapsed="false">
      <c r="A14" s="20" t="n">
        <v>10</v>
      </c>
      <c r="B14" s="6" t="s">
        <v>65</v>
      </c>
      <c r="C14" s="22" t="n">
        <v>2.1</v>
      </c>
      <c r="D14" s="6" t="s">
        <v>59</v>
      </c>
      <c r="E14" s="6" t="s">
        <v>66</v>
      </c>
    </row>
    <row r="15" customFormat="false" ht="15" hidden="false" customHeight="false" outlineLevel="0" collapsed="false">
      <c r="A15" s="20" t="n">
        <v>11</v>
      </c>
      <c r="B15" s="6" t="s">
        <v>67</v>
      </c>
      <c r="C15" s="23" t="n">
        <f aca="false">C11-C14</f>
        <v>1.4</v>
      </c>
      <c r="D15" s="6" t="s">
        <v>59</v>
      </c>
      <c r="E15" s="6" t="s">
        <v>68</v>
      </c>
    </row>
    <row r="16" customFormat="false" ht="15" hidden="false" customHeight="false" outlineLevel="0" collapsed="false">
      <c r="A16" s="20" t="n">
        <v>12</v>
      </c>
      <c r="B16" s="6" t="s">
        <v>69</v>
      </c>
      <c r="C16" s="22" t="n">
        <v>0.9</v>
      </c>
      <c r="D16" s="6" t="s">
        <v>59</v>
      </c>
      <c r="E16" s="6" t="s">
        <v>70</v>
      </c>
    </row>
    <row r="17" customFormat="false" ht="15" hidden="false" customHeight="false" outlineLevel="0" collapsed="false">
      <c r="A17" s="20" t="n">
        <v>13</v>
      </c>
      <c r="B17" s="6" t="s">
        <v>71</v>
      </c>
      <c r="C17" s="24" t="n">
        <f aca="false">C11</f>
        <v>3.5</v>
      </c>
      <c r="D17" s="6" t="s">
        <v>59</v>
      </c>
      <c r="E17" s="6" t="s">
        <v>72</v>
      </c>
    </row>
    <row r="18" customFormat="false" ht="15" hidden="false" customHeight="false" outlineLevel="0" collapsed="false">
      <c r="A18" s="20" t="n">
        <v>14</v>
      </c>
      <c r="B18" s="6" t="s">
        <v>73</v>
      </c>
      <c r="C18" s="22" t="n">
        <v>2.5</v>
      </c>
      <c r="D18" s="6" t="s">
        <v>59</v>
      </c>
      <c r="E18" s="6" t="s">
        <v>49</v>
      </c>
    </row>
    <row r="20" customFormat="false" ht="15" hidden="false" customHeight="false" outlineLevel="0" collapsed="false">
      <c r="B20" s="25" t="s">
        <v>74</v>
      </c>
    </row>
    <row r="21" customFormat="false" ht="15" hidden="false" customHeight="false" outlineLevel="0" collapsed="false">
      <c r="B21" s="2" t="s">
        <v>75</v>
      </c>
    </row>
    <row r="22" customFormat="false" ht="15" hidden="false" customHeight="false" outlineLevel="0" collapsed="false">
      <c r="B22" s="2" t="s">
        <v>76</v>
      </c>
    </row>
    <row r="23" customFormat="false" ht="15" hidden="false" customHeight="false" outlineLevel="0" collapsed="false">
      <c r="B23" s="2" t="s">
        <v>77</v>
      </c>
    </row>
    <row r="24" customFormat="false" ht="15" hidden="false" customHeight="false" outlineLevel="0" collapsed="false">
      <c r="B24" s="2" t="s">
        <v>78</v>
      </c>
    </row>
    <row r="25" customFormat="false" ht="15" hidden="false" customHeight="false" outlineLevel="0" collapsed="false">
      <c r="B25" s="2" t="s">
        <v>79</v>
      </c>
    </row>
    <row r="26" customFormat="false" ht="15" hidden="false" customHeight="false" outlineLevel="0" collapsed="false">
      <c r="B26" s="2" t="s">
        <v>80</v>
      </c>
    </row>
    <row r="27" customFormat="false" ht="15" hidden="false" customHeight="false" outlineLevel="0" collapsed="false">
      <c r="B27" s="2" t="s">
        <v>81</v>
      </c>
    </row>
    <row r="28" customFormat="false" ht="15" hidden="false" customHeight="false" outlineLevel="0" collapsed="false">
      <c r="B28" s="2" t="s">
        <v>82</v>
      </c>
    </row>
    <row r="29" customFormat="false" ht="15" hidden="false" customHeight="false" outlineLevel="0" collapsed="false">
      <c r="B29" s="2" t="s">
        <v>83</v>
      </c>
    </row>
    <row r="30" customFormat="false" ht="15" hidden="false" customHeight="false" outlineLevel="0" collapsed="false">
      <c r="B30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3" t="s">
        <v>42</v>
      </c>
      <c r="B4" s="3" t="s">
        <v>2</v>
      </c>
      <c r="C4" s="3" t="s">
        <v>87</v>
      </c>
      <c r="D4" s="3" t="s">
        <v>88</v>
      </c>
      <c r="E4" s="3" t="s">
        <v>89</v>
      </c>
      <c r="F4" s="3" t="s">
        <v>90</v>
      </c>
      <c r="G4" s="3" t="s">
        <v>91</v>
      </c>
      <c r="H4" s="3" t="s">
        <v>45</v>
      </c>
      <c r="I4" s="3" t="s">
        <v>92</v>
      </c>
      <c r="J4" s="3" t="s">
        <v>93</v>
      </c>
    </row>
    <row r="5" customFormat="false" ht="15" hidden="false" customHeight="false" outlineLevel="0" collapsed="false">
      <c r="A5" s="4" t="s">
        <v>15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20" t="n">
        <v>1</v>
      </c>
      <c r="B6" s="6" t="s">
        <v>15</v>
      </c>
      <c r="C6" s="6" t="s">
        <v>47</v>
      </c>
      <c r="D6" s="6" t="s">
        <v>94</v>
      </c>
      <c r="E6" s="26" t="n">
        <v>4.6</v>
      </c>
      <c r="F6" s="7" t="n">
        <f aca="false">Narxlar!$C$12</f>
        <v>2.5</v>
      </c>
      <c r="G6" s="27" t="n">
        <f aca="false">E6*F6</f>
        <v>11.5</v>
      </c>
      <c r="H6" s="20" t="s">
        <v>95</v>
      </c>
      <c r="I6" s="28" t="n">
        <f aca="false">Narxlar!$C$5</f>
        <v>55</v>
      </c>
      <c r="J6" s="29" t="n">
        <f aca="false">G6*I6</f>
        <v>632.5</v>
      </c>
    </row>
    <row r="7" customFormat="false" ht="15" hidden="false" customHeight="false" outlineLevel="0" collapsed="false">
      <c r="A7" s="20" t="n">
        <v>2</v>
      </c>
      <c r="B7" s="6" t="s">
        <v>15</v>
      </c>
      <c r="C7" s="6" t="s">
        <v>96</v>
      </c>
      <c r="D7" s="6" t="s">
        <v>97</v>
      </c>
      <c r="E7" s="26" t="n">
        <v>0.3</v>
      </c>
      <c r="F7" s="7" t="n">
        <f aca="false">Narxlar!$C$11</f>
        <v>3.5</v>
      </c>
      <c r="G7" s="27" t="n">
        <f aca="false">E7*F7</f>
        <v>1.05</v>
      </c>
      <c r="H7" s="20" t="s">
        <v>95</v>
      </c>
      <c r="I7" s="28" t="n">
        <f aca="false">Narxlar!$C$6</f>
        <v>12</v>
      </c>
      <c r="J7" s="29" t="n">
        <f aca="false">G7*I7</f>
        <v>12.6</v>
      </c>
    </row>
    <row r="8" customFormat="false" ht="15" hidden="false" customHeight="false" outlineLevel="0" collapsed="false">
      <c r="A8" s="20" t="n">
        <v>3</v>
      </c>
      <c r="B8" s="6" t="s">
        <v>15</v>
      </c>
      <c r="C8" s="6" t="s">
        <v>96</v>
      </c>
      <c r="D8" s="6" t="s">
        <v>98</v>
      </c>
      <c r="E8" s="26" t="n">
        <v>4.6</v>
      </c>
      <c r="F8" s="7" t="n">
        <f aca="false">Narxlar!$C$13</f>
        <v>1</v>
      </c>
      <c r="G8" s="27" t="n">
        <f aca="false">E8*F8</f>
        <v>4.6</v>
      </c>
      <c r="H8" s="20" t="s">
        <v>95</v>
      </c>
      <c r="I8" s="28" t="n">
        <f aca="false">Narxlar!$C$6</f>
        <v>12</v>
      </c>
      <c r="J8" s="29" t="n">
        <f aca="false">G8*I8</f>
        <v>55.2</v>
      </c>
    </row>
    <row r="9" customFormat="false" ht="15" hidden="false" customHeight="false" outlineLevel="0" collapsed="false">
      <c r="A9" s="20" t="n">
        <v>4</v>
      </c>
      <c r="B9" s="6" t="s">
        <v>15</v>
      </c>
      <c r="C9" s="6" t="s">
        <v>96</v>
      </c>
      <c r="D9" s="6" t="s">
        <v>99</v>
      </c>
      <c r="E9" s="26" t="n">
        <v>0.2</v>
      </c>
      <c r="F9" s="7" t="n">
        <f aca="false">Narxlar!$C$11</f>
        <v>3.5</v>
      </c>
      <c r="G9" s="27" t="n">
        <f aca="false">E9*F9</f>
        <v>0.7</v>
      </c>
      <c r="H9" s="20" t="s">
        <v>95</v>
      </c>
      <c r="I9" s="28" t="n">
        <f aca="false">Narxlar!$C$6</f>
        <v>12</v>
      </c>
      <c r="J9" s="29" t="n">
        <f aca="false">G9*I9</f>
        <v>8.4</v>
      </c>
    </row>
    <row r="10" customFormat="false" ht="15" hidden="false" customHeight="false" outlineLevel="0" collapsed="false">
      <c r="A10" s="20" t="n">
        <v>5</v>
      </c>
      <c r="B10" s="6" t="s">
        <v>15</v>
      </c>
      <c r="C10" s="6" t="s">
        <v>96</v>
      </c>
      <c r="D10" s="6" t="s">
        <v>100</v>
      </c>
      <c r="E10" s="7" t="n">
        <f aca="false">Narxlar!$C$16</f>
        <v>0.9</v>
      </c>
      <c r="F10" s="7" t="n">
        <f aca="false">Narxlar!$C$15</f>
        <v>1.4</v>
      </c>
      <c r="G10" s="27" t="n">
        <f aca="false">E10*F10</f>
        <v>1.26</v>
      </c>
      <c r="H10" s="20" t="s">
        <v>95</v>
      </c>
      <c r="I10" s="28" t="n">
        <f aca="false">Narxlar!$C$6</f>
        <v>12</v>
      </c>
      <c r="J10" s="29" t="n">
        <f aca="false">G10*I10</f>
        <v>15.12</v>
      </c>
    </row>
    <row r="11" customFormat="false" ht="15" hidden="false" customHeight="false" outlineLevel="0" collapsed="false">
      <c r="A11" s="20" t="n">
        <v>6</v>
      </c>
      <c r="B11" s="6" t="s">
        <v>15</v>
      </c>
      <c r="C11" s="6" t="s">
        <v>52</v>
      </c>
      <c r="D11" s="6" t="s">
        <v>101</v>
      </c>
      <c r="E11" s="26" t="n">
        <v>7.7</v>
      </c>
      <c r="F11" s="7" t="n">
        <f aca="false">Narxlar!$C$17</f>
        <v>3.5</v>
      </c>
      <c r="G11" s="27" t="n">
        <f aca="false">E11*F11</f>
        <v>26.95</v>
      </c>
      <c r="H11" s="20" t="s">
        <v>95</v>
      </c>
      <c r="I11" s="28" t="n">
        <f aca="false">Narxlar!$C$7</f>
        <v>15.5</v>
      </c>
      <c r="J11" s="29" t="n">
        <f aca="false">G11*I11</f>
        <v>417.725</v>
      </c>
    </row>
    <row r="12" customFormat="false" ht="15" hidden="false" customHeight="false" outlineLevel="0" collapsed="false">
      <c r="A12" s="20" t="n">
        <v>7</v>
      </c>
      <c r="B12" s="6" t="s">
        <v>15</v>
      </c>
      <c r="C12" s="6" t="s">
        <v>52</v>
      </c>
      <c r="D12" s="6" t="s">
        <v>102</v>
      </c>
      <c r="E12" s="26" t="n">
        <v>7.7</v>
      </c>
      <c r="F12" s="7" t="n">
        <f aca="false">Narxlar!$C$17</f>
        <v>3.5</v>
      </c>
      <c r="G12" s="27" t="n">
        <f aca="false">E12*F12</f>
        <v>26.95</v>
      </c>
      <c r="H12" s="20" t="s">
        <v>95</v>
      </c>
      <c r="I12" s="28" t="n">
        <f aca="false">Narxlar!$C$7</f>
        <v>15.5</v>
      </c>
      <c r="J12" s="29" t="n">
        <f aca="false">G12*I12</f>
        <v>417.725</v>
      </c>
    </row>
    <row r="13" customFormat="false" ht="15" hidden="false" customHeight="false" outlineLevel="0" collapsed="false">
      <c r="A13" s="20" t="n">
        <v>8</v>
      </c>
      <c r="B13" s="6" t="s">
        <v>15</v>
      </c>
      <c r="C13" s="6" t="s">
        <v>53</v>
      </c>
      <c r="D13" s="6" t="s">
        <v>103</v>
      </c>
      <c r="E13" s="26"/>
      <c r="F13" s="27"/>
      <c r="G13" s="30" t="n">
        <v>1</v>
      </c>
      <c r="H13" s="20" t="s">
        <v>104</v>
      </c>
      <c r="I13" s="28" t="n">
        <f aca="false">Narxlar!$C$8</f>
        <v>1032</v>
      </c>
      <c r="J13" s="29" t="n">
        <f aca="false">G13*I13</f>
        <v>1032</v>
      </c>
    </row>
    <row r="14" customFormat="false" ht="15" hidden="false" customHeight="false" outlineLevel="0" collapsed="false">
      <c r="A14" s="31"/>
      <c r="B14" s="31"/>
      <c r="C14" s="31"/>
      <c r="D14" s="11" t="s">
        <v>105</v>
      </c>
      <c r="E14" s="31"/>
      <c r="F14" s="31"/>
      <c r="G14" s="31"/>
      <c r="H14" s="31"/>
      <c r="I14" s="31"/>
      <c r="J14" s="32" t="n">
        <f aca="false">SUM(J6:J13)</f>
        <v>2591.27</v>
      </c>
    </row>
    <row r="16" customFormat="false" ht="15" hidden="false" customHeight="false" outlineLevel="0" collapsed="false">
      <c r="A16" s="4" t="s">
        <v>16</v>
      </c>
      <c r="B16" s="5"/>
      <c r="C16" s="5"/>
      <c r="D16" s="5"/>
      <c r="E16" s="5"/>
      <c r="F16" s="5"/>
      <c r="G16" s="5"/>
      <c r="H16" s="5"/>
      <c r="I16" s="5"/>
      <c r="J16" s="5"/>
    </row>
    <row r="17" customFormat="false" ht="15" hidden="false" customHeight="false" outlineLevel="0" collapsed="false">
      <c r="A17" s="20" t="n">
        <v>9</v>
      </c>
      <c r="B17" s="6" t="s">
        <v>16</v>
      </c>
      <c r="C17" s="6" t="s">
        <v>47</v>
      </c>
      <c r="D17" s="6" t="s">
        <v>94</v>
      </c>
      <c r="E17" s="26" t="n">
        <v>4.7</v>
      </c>
      <c r="F17" s="7" t="n">
        <f aca="false">Narxlar!$C$12</f>
        <v>2.5</v>
      </c>
      <c r="G17" s="27" t="n">
        <f aca="false">E17*F17</f>
        <v>11.75</v>
      </c>
      <c r="H17" s="20" t="s">
        <v>95</v>
      </c>
      <c r="I17" s="28" t="n">
        <f aca="false">Narxlar!$C$5</f>
        <v>55</v>
      </c>
      <c r="J17" s="29" t="n">
        <f aca="false">G17*I17</f>
        <v>646.25</v>
      </c>
    </row>
    <row r="18" customFormat="false" ht="15" hidden="false" customHeight="false" outlineLevel="0" collapsed="false">
      <c r="A18" s="20" t="n">
        <v>10</v>
      </c>
      <c r="B18" s="6" t="s">
        <v>16</v>
      </c>
      <c r="C18" s="6" t="s">
        <v>96</v>
      </c>
      <c r="D18" s="6" t="s">
        <v>98</v>
      </c>
      <c r="E18" s="26" t="n">
        <v>4.7</v>
      </c>
      <c r="F18" s="7" t="n">
        <f aca="false">Narxlar!$C$13</f>
        <v>1</v>
      </c>
      <c r="G18" s="27" t="n">
        <f aca="false">E18*F18</f>
        <v>4.7</v>
      </c>
      <c r="H18" s="20" t="s">
        <v>95</v>
      </c>
      <c r="I18" s="28" t="n">
        <f aca="false">Narxlar!$C$6</f>
        <v>12</v>
      </c>
      <c r="J18" s="29" t="n">
        <f aca="false">G18*I18</f>
        <v>56.4</v>
      </c>
    </row>
    <row r="19" customFormat="false" ht="15" hidden="false" customHeight="false" outlineLevel="0" collapsed="false">
      <c r="A19" s="20" t="n">
        <v>11</v>
      </c>
      <c r="B19" s="6" t="s">
        <v>16</v>
      </c>
      <c r="C19" s="6" t="s">
        <v>96</v>
      </c>
      <c r="D19" s="6" t="s">
        <v>99</v>
      </c>
      <c r="E19" s="26" t="n">
        <v>0.2</v>
      </c>
      <c r="F19" s="7" t="n">
        <f aca="false">Narxlar!$C$11</f>
        <v>3.5</v>
      </c>
      <c r="G19" s="27" t="n">
        <f aca="false">E19*F19</f>
        <v>0.7</v>
      </c>
      <c r="H19" s="20" t="s">
        <v>95</v>
      </c>
      <c r="I19" s="28" t="n">
        <f aca="false">Narxlar!$C$6</f>
        <v>12</v>
      </c>
      <c r="J19" s="29" t="n">
        <f aca="false">G19*I19</f>
        <v>8.4</v>
      </c>
    </row>
    <row r="20" customFormat="false" ht="15" hidden="false" customHeight="false" outlineLevel="0" collapsed="false">
      <c r="A20" s="20" t="n">
        <v>12</v>
      </c>
      <c r="B20" s="6" t="s">
        <v>16</v>
      </c>
      <c r="C20" s="6" t="s">
        <v>96</v>
      </c>
      <c r="D20" s="6" t="s">
        <v>100</v>
      </c>
      <c r="E20" s="7" t="n">
        <f aca="false">Narxlar!$C$16</f>
        <v>0.9</v>
      </c>
      <c r="F20" s="7" t="n">
        <f aca="false">Narxlar!$C$15</f>
        <v>1.4</v>
      </c>
      <c r="G20" s="27" t="n">
        <f aca="false">E20*F20</f>
        <v>1.26</v>
      </c>
      <c r="H20" s="20" t="s">
        <v>95</v>
      </c>
      <c r="I20" s="28" t="n">
        <f aca="false">Narxlar!$C$6</f>
        <v>12</v>
      </c>
      <c r="J20" s="29" t="n">
        <f aca="false">G20*I20</f>
        <v>15.12</v>
      </c>
    </row>
    <row r="21" customFormat="false" ht="15" hidden="false" customHeight="false" outlineLevel="0" collapsed="false">
      <c r="A21" s="20" t="n">
        <v>13</v>
      </c>
      <c r="B21" s="6" t="s">
        <v>16</v>
      </c>
      <c r="C21" s="6" t="s">
        <v>52</v>
      </c>
      <c r="D21" s="6" t="s">
        <v>101</v>
      </c>
      <c r="E21" s="26" t="n">
        <v>7.7</v>
      </c>
      <c r="F21" s="7" t="n">
        <f aca="false">Narxlar!$C$17</f>
        <v>3.5</v>
      </c>
      <c r="G21" s="27" t="n">
        <f aca="false">E21*F21</f>
        <v>26.95</v>
      </c>
      <c r="H21" s="20" t="s">
        <v>95</v>
      </c>
      <c r="I21" s="28" t="n">
        <f aca="false">Narxlar!$C$7</f>
        <v>15.5</v>
      </c>
      <c r="J21" s="29" t="n">
        <f aca="false">G21*I21</f>
        <v>417.725</v>
      </c>
    </row>
    <row r="22" customFormat="false" ht="15" hidden="false" customHeight="false" outlineLevel="0" collapsed="false">
      <c r="A22" s="20" t="n">
        <v>14</v>
      </c>
      <c r="B22" s="6" t="s">
        <v>16</v>
      </c>
      <c r="C22" s="6" t="s">
        <v>52</v>
      </c>
      <c r="D22" s="6" t="s">
        <v>102</v>
      </c>
      <c r="E22" s="26" t="n">
        <v>7.7</v>
      </c>
      <c r="F22" s="7" t="n">
        <f aca="false">Narxlar!$C$17</f>
        <v>3.5</v>
      </c>
      <c r="G22" s="27" t="n">
        <f aca="false">E22*F22</f>
        <v>26.95</v>
      </c>
      <c r="H22" s="20" t="s">
        <v>95</v>
      </c>
      <c r="I22" s="28" t="n">
        <f aca="false">Narxlar!$C$7</f>
        <v>15.5</v>
      </c>
      <c r="J22" s="29" t="n">
        <f aca="false">G22*I22</f>
        <v>417.725</v>
      </c>
    </row>
    <row r="23" customFormat="false" ht="15" hidden="false" customHeight="false" outlineLevel="0" collapsed="false">
      <c r="A23" s="20" t="n">
        <v>15</v>
      </c>
      <c r="B23" s="6" t="s">
        <v>16</v>
      </c>
      <c r="C23" s="6" t="s">
        <v>53</v>
      </c>
      <c r="D23" s="6" t="s">
        <v>103</v>
      </c>
      <c r="E23" s="26"/>
      <c r="F23" s="27"/>
      <c r="G23" s="30" t="n">
        <v>1</v>
      </c>
      <c r="H23" s="20" t="s">
        <v>104</v>
      </c>
      <c r="I23" s="28" t="n">
        <f aca="false">Narxlar!$C$8</f>
        <v>1032</v>
      </c>
      <c r="J23" s="29" t="n">
        <f aca="false">G23*I23</f>
        <v>1032</v>
      </c>
    </row>
    <row r="24" customFormat="false" ht="15" hidden="false" customHeight="false" outlineLevel="0" collapsed="false">
      <c r="A24" s="31"/>
      <c r="B24" s="31"/>
      <c r="C24" s="31"/>
      <c r="D24" s="11" t="s">
        <v>106</v>
      </c>
      <c r="E24" s="31"/>
      <c r="F24" s="31"/>
      <c r="G24" s="31"/>
      <c r="H24" s="31"/>
      <c r="I24" s="31"/>
      <c r="J24" s="32" t="n">
        <f aca="false">SUM(J17:J23)</f>
        <v>2593.62</v>
      </c>
    </row>
    <row r="26" customFormat="false" ht="15" hidden="false" customHeight="false" outlineLevel="0" collapsed="false">
      <c r="A26" s="4" t="s">
        <v>17</v>
      </c>
      <c r="B26" s="5"/>
      <c r="C26" s="5"/>
      <c r="D26" s="5"/>
      <c r="E26" s="5"/>
      <c r="F26" s="5"/>
      <c r="G26" s="5"/>
      <c r="H26" s="5"/>
      <c r="I26" s="5"/>
      <c r="J26" s="5"/>
    </row>
    <row r="27" customFormat="false" ht="15" hidden="false" customHeight="false" outlineLevel="0" collapsed="false">
      <c r="A27" s="20" t="n">
        <v>16</v>
      </c>
      <c r="B27" s="6" t="s">
        <v>17</v>
      </c>
      <c r="C27" s="6" t="s">
        <v>96</v>
      </c>
      <c r="D27" s="6" t="s">
        <v>99</v>
      </c>
      <c r="E27" s="26" t="n">
        <v>0.15</v>
      </c>
      <c r="F27" s="7" t="n">
        <f aca="false">Narxlar!$C$11</f>
        <v>3.5</v>
      </c>
      <c r="G27" s="27" t="n">
        <f aca="false">E27*F27</f>
        <v>0.525</v>
      </c>
      <c r="H27" s="20" t="s">
        <v>95</v>
      </c>
      <c r="I27" s="28" t="n">
        <f aca="false">Narxlar!$C$6</f>
        <v>12</v>
      </c>
      <c r="J27" s="29" t="n">
        <f aca="false">G27*I27</f>
        <v>6.3</v>
      </c>
    </row>
    <row r="28" customFormat="false" ht="15" hidden="false" customHeight="false" outlineLevel="0" collapsed="false">
      <c r="A28" s="20" t="n">
        <v>17</v>
      </c>
      <c r="B28" s="6" t="s">
        <v>17</v>
      </c>
      <c r="C28" s="6" t="s">
        <v>96</v>
      </c>
      <c r="D28" s="6" t="s">
        <v>107</v>
      </c>
      <c r="E28" s="26" t="n">
        <v>4.7</v>
      </c>
      <c r="F28" s="7" t="n">
        <f aca="false">Narxlar!$C$11</f>
        <v>3.5</v>
      </c>
      <c r="G28" s="27" t="n">
        <f aca="false">E28*F28</f>
        <v>16.45</v>
      </c>
      <c r="H28" s="20" t="s">
        <v>95</v>
      </c>
      <c r="I28" s="28" t="n">
        <f aca="false">Narxlar!$C$6</f>
        <v>12</v>
      </c>
      <c r="J28" s="29" t="n">
        <f aca="false">G28*I28</f>
        <v>197.4</v>
      </c>
    </row>
    <row r="29" customFormat="false" ht="15" hidden="false" customHeight="false" outlineLevel="0" collapsed="false">
      <c r="A29" s="20" t="n">
        <v>18</v>
      </c>
      <c r="B29" s="6" t="s">
        <v>17</v>
      </c>
      <c r="C29" s="6" t="s">
        <v>96</v>
      </c>
      <c r="D29" s="6" t="s">
        <v>100</v>
      </c>
      <c r="E29" s="7" t="n">
        <f aca="false">Narxlar!$C$16</f>
        <v>0.9</v>
      </c>
      <c r="F29" s="7" t="n">
        <f aca="false">Narxlar!$C$15</f>
        <v>1.4</v>
      </c>
      <c r="G29" s="27" t="n">
        <f aca="false">E29*F29</f>
        <v>1.26</v>
      </c>
      <c r="H29" s="20" t="s">
        <v>95</v>
      </c>
      <c r="I29" s="28" t="n">
        <f aca="false">Narxlar!$C$6</f>
        <v>12</v>
      </c>
      <c r="J29" s="29" t="n">
        <f aca="false">G29*I29</f>
        <v>15.12</v>
      </c>
    </row>
    <row r="30" customFormat="false" ht="15" hidden="false" customHeight="false" outlineLevel="0" collapsed="false">
      <c r="A30" s="20" t="n">
        <v>19</v>
      </c>
      <c r="B30" s="6" t="s">
        <v>17</v>
      </c>
      <c r="C30" s="6" t="s">
        <v>52</v>
      </c>
      <c r="D30" s="6" t="s">
        <v>101</v>
      </c>
      <c r="E30" s="26" t="n">
        <v>7.7</v>
      </c>
      <c r="F30" s="7" t="n">
        <f aca="false">Narxlar!$C$17</f>
        <v>3.5</v>
      </c>
      <c r="G30" s="27" t="n">
        <f aca="false">E30*F30</f>
        <v>26.95</v>
      </c>
      <c r="H30" s="20" t="s">
        <v>95</v>
      </c>
      <c r="I30" s="28" t="n">
        <f aca="false">Narxlar!$C$7</f>
        <v>15.5</v>
      </c>
      <c r="J30" s="29" t="n">
        <f aca="false">G30*I30</f>
        <v>417.725</v>
      </c>
    </row>
    <row r="31" customFormat="false" ht="15" hidden="false" customHeight="false" outlineLevel="0" collapsed="false">
      <c r="A31" s="20" t="n">
        <v>20</v>
      </c>
      <c r="B31" s="6" t="s">
        <v>17</v>
      </c>
      <c r="C31" s="6" t="s">
        <v>52</v>
      </c>
      <c r="D31" s="6" t="s">
        <v>102</v>
      </c>
      <c r="E31" s="26" t="n">
        <v>7.7</v>
      </c>
      <c r="F31" s="7" t="n">
        <f aca="false">Narxlar!$C$17</f>
        <v>3.5</v>
      </c>
      <c r="G31" s="27" t="n">
        <f aca="false">E31*F31</f>
        <v>26.95</v>
      </c>
      <c r="H31" s="20" t="s">
        <v>95</v>
      </c>
      <c r="I31" s="28" t="n">
        <f aca="false">Narxlar!$C$7</f>
        <v>15.5</v>
      </c>
      <c r="J31" s="29" t="n">
        <f aca="false">G31*I31</f>
        <v>417.725</v>
      </c>
    </row>
    <row r="32" customFormat="false" ht="15" hidden="false" customHeight="false" outlineLevel="0" collapsed="false">
      <c r="A32" s="20" t="n">
        <v>21</v>
      </c>
      <c r="B32" s="6" t="s">
        <v>17</v>
      </c>
      <c r="C32" s="6" t="s">
        <v>53</v>
      </c>
      <c r="D32" s="6" t="s">
        <v>103</v>
      </c>
      <c r="E32" s="26"/>
      <c r="F32" s="27"/>
      <c r="G32" s="30" t="n">
        <v>1</v>
      </c>
      <c r="H32" s="20" t="s">
        <v>104</v>
      </c>
      <c r="I32" s="28" t="n">
        <f aca="false">Narxlar!$C$8</f>
        <v>1032</v>
      </c>
      <c r="J32" s="29" t="n">
        <f aca="false">G32*I32</f>
        <v>1032</v>
      </c>
    </row>
    <row r="33" customFormat="false" ht="15" hidden="false" customHeight="false" outlineLevel="0" collapsed="false">
      <c r="A33" s="31"/>
      <c r="B33" s="31"/>
      <c r="C33" s="31"/>
      <c r="D33" s="11" t="s">
        <v>108</v>
      </c>
      <c r="E33" s="31"/>
      <c r="F33" s="31"/>
      <c r="G33" s="31"/>
      <c r="H33" s="31"/>
      <c r="I33" s="31"/>
      <c r="J33" s="32" t="n">
        <f aca="false">SUM(J27:J32)</f>
        <v>2086.27</v>
      </c>
    </row>
    <row r="35" customFormat="false" ht="15" hidden="false" customHeight="false" outlineLevel="0" collapsed="false">
      <c r="A35" s="4" t="s">
        <v>18</v>
      </c>
      <c r="B35" s="5"/>
      <c r="C35" s="5"/>
      <c r="D35" s="5"/>
      <c r="E35" s="5"/>
      <c r="F35" s="5"/>
      <c r="G35" s="5"/>
      <c r="H35" s="5"/>
      <c r="I35" s="5"/>
      <c r="J35" s="5"/>
    </row>
    <row r="36" customFormat="false" ht="15" hidden="false" customHeight="false" outlineLevel="0" collapsed="false">
      <c r="A36" s="20" t="n">
        <v>22</v>
      </c>
      <c r="B36" s="6" t="s">
        <v>18</v>
      </c>
      <c r="C36" s="6" t="s">
        <v>47</v>
      </c>
      <c r="D36" s="6" t="s">
        <v>94</v>
      </c>
      <c r="E36" s="26" t="n">
        <v>1.5</v>
      </c>
      <c r="F36" s="7" t="n">
        <f aca="false">Narxlar!$C$12</f>
        <v>2.5</v>
      </c>
      <c r="G36" s="27" t="n">
        <f aca="false">E36*F36</f>
        <v>3.75</v>
      </c>
      <c r="H36" s="20" t="s">
        <v>95</v>
      </c>
      <c r="I36" s="28" t="n">
        <f aca="false">Narxlar!$C$5</f>
        <v>55</v>
      </c>
      <c r="J36" s="29" t="n">
        <f aca="false">G36*I36</f>
        <v>206.25</v>
      </c>
    </row>
    <row r="37" customFormat="false" ht="15" hidden="false" customHeight="false" outlineLevel="0" collapsed="false">
      <c r="A37" s="20" t="n">
        <v>23</v>
      </c>
      <c r="B37" s="6" t="s">
        <v>18</v>
      </c>
      <c r="C37" s="6" t="s">
        <v>47</v>
      </c>
      <c r="D37" s="6" t="s">
        <v>94</v>
      </c>
      <c r="E37" s="26" t="n">
        <v>1.15</v>
      </c>
      <c r="F37" s="7" t="n">
        <f aca="false">Narxlar!$C$12</f>
        <v>2.5</v>
      </c>
      <c r="G37" s="27" t="n">
        <f aca="false">E37*F37</f>
        <v>2.875</v>
      </c>
      <c r="H37" s="20" t="s">
        <v>95</v>
      </c>
      <c r="I37" s="28" t="n">
        <f aca="false">Narxlar!$C$5</f>
        <v>55</v>
      </c>
      <c r="J37" s="29" t="n">
        <f aca="false">G37*I37</f>
        <v>158.125</v>
      </c>
    </row>
    <row r="38" customFormat="false" ht="15" hidden="false" customHeight="false" outlineLevel="0" collapsed="false">
      <c r="A38" s="20" t="n">
        <v>24</v>
      </c>
      <c r="B38" s="6" t="s">
        <v>18</v>
      </c>
      <c r="C38" s="6" t="s">
        <v>47</v>
      </c>
      <c r="D38" s="6" t="s">
        <v>109</v>
      </c>
      <c r="E38" s="26" t="n">
        <v>1.5</v>
      </c>
      <c r="F38" s="7" t="n">
        <f aca="false">Narxlar!$C$12</f>
        <v>2.5</v>
      </c>
      <c r="G38" s="27" t="n">
        <f aca="false">E38*F38</f>
        <v>3.75</v>
      </c>
      <c r="H38" s="20" t="s">
        <v>95</v>
      </c>
      <c r="I38" s="28" t="n">
        <f aca="false">Narxlar!$C$5</f>
        <v>55</v>
      </c>
      <c r="J38" s="29" t="n">
        <f aca="false">G38*I38</f>
        <v>206.25</v>
      </c>
    </row>
    <row r="39" customFormat="false" ht="15" hidden="false" customHeight="false" outlineLevel="0" collapsed="false">
      <c r="A39" s="20" t="n">
        <v>25</v>
      </c>
      <c r="B39" s="6" t="s">
        <v>18</v>
      </c>
      <c r="C39" s="6" t="s">
        <v>96</v>
      </c>
      <c r="D39" s="6" t="s">
        <v>110</v>
      </c>
      <c r="E39" s="26" t="n">
        <v>1</v>
      </c>
      <c r="F39" s="7" t="n">
        <f aca="false">Narxlar!$C$11</f>
        <v>3.5</v>
      </c>
      <c r="G39" s="27" t="n">
        <f aca="false">E39*F39</f>
        <v>3.5</v>
      </c>
      <c r="H39" s="20" t="s">
        <v>95</v>
      </c>
      <c r="I39" s="28" t="n">
        <f aca="false">Narxlar!$C$6</f>
        <v>12</v>
      </c>
      <c r="J39" s="29" t="n">
        <f aca="false">G39*I39</f>
        <v>42</v>
      </c>
    </row>
    <row r="40" customFormat="false" ht="15" hidden="false" customHeight="false" outlineLevel="0" collapsed="false">
      <c r="A40" s="20" t="n">
        <v>26</v>
      </c>
      <c r="B40" s="6" t="s">
        <v>18</v>
      </c>
      <c r="C40" s="6" t="s">
        <v>96</v>
      </c>
      <c r="D40" s="6" t="s">
        <v>111</v>
      </c>
      <c r="E40" s="26" t="n">
        <v>4.5</v>
      </c>
      <c r="F40" s="7" t="n">
        <f aca="false">Narxlar!$C$11</f>
        <v>3.5</v>
      </c>
      <c r="G40" s="27" t="n">
        <f aca="false">E40*F40</f>
        <v>15.75</v>
      </c>
      <c r="H40" s="20" t="s">
        <v>95</v>
      </c>
      <c r="I40" s="28" t="n">
        <f aca="false">Narxlar!$C$6</f>
        <v>12</v>
      </c>
      <c r="J40" s="29" t="n">
        <f aca="false">G40*I40</f>
        <v>189</v>
      </c>
    </row>
    <row r="41" customFormat="false" ht="15" hidden="false" customHeight="false" outlineLevel="0" collapsed="false">
      <c r="A41" s="20" t="n">
        <v>27</v>
      </c>
      <c r="B41" s="6" t="s">
        <v>18</v>
      </c>
      <c r="C41" s="6" t="s">
        <v>96</v>
      </c>
      <c r="D41" s="6" t="s">
        <v>98</v>
      </c>
      <c r="E41" s="26" t="n">
        <v>1.5</v>
      </c>
      <c r="F41" s="7" t="n">
        <f aca="false">Narxlar!$C$13</f>
        <v>1</v>
      </c>
      <c r="G41" s="27" t="n">
        <f aca="false">E41*F41</f>
        <v>1.5</v>
      </c>
      <c r="H41" s="20" t="s">
        <v>95</v>
      </c>
      <c r="I41" s="28" t="n">
        <f aca="false">Narxlar!$C$6</f>
        <v>12</v>
      </c>
      <c r="J41" s="29" t="n">
        <f aca="false">G41*I41</f>
        <v>18</v>
      </c>
    </row>
    <row r="42" customFormat="false" ht="15" hidden="false" customHeight="false" outlineLevel="0" collapsed="false">
      <c r="A42" s="20" t="n">
        <v>28</v>
      </c>
      <c r="B42" s="6" t="s">
        <v>18</v>
      </c>
      <c r="C42" s="6" t="s">
        <v>96</v>
      </c>
      <c r="D42" s="6" t="s">
        <v>98</v>
      </c>
      <c r="E42" s="26" t="n">
        <v>1.15</v>
      </c>
      <c r="F42" s="7" t="n">
        <f aca="false">Narxlar!$C$13</f>
        <v>1</v>
      </c>
      <c r="G42" s="27" t="n">
        <f aca="false">E42*F42</f>
        <v>1.15</v>
      </c>
      <c r="H42" s="20" t="s">
        <v>95</v>
      </c>
      <c r="I42" s="28" t="n">
        <f aca="false">Narxlar!$C$6</f>
        <v>12</v>
      </c>
      <c r="J42" s="29" t="n">
        <f aca="false">G42*I42</f>
        <v>13.8</v>
      </c>
    </row>
    <row r="43" customFormat="false" ht="15" hidden="false" customHeight="false" outlineLevel="0" collapsed="false">
      <c r="A43" s="20" t="n">
        <v>29</v>
      </c>
      <c r="B43" s="6" t="s">
        <v>18</v>
      </c>
      <c r="C43" s="6" t="s">
        <v>96</v>
      </c>
      <c r="D43" s="6" t="s">
        <v>112</v>
      </c>
      <c r="E43" s="26" t="n">
        <v>0.1</v>
      </c>
      <c r="F43" s="7" t="n">
        <f aca="false">Narxlar!$C$11</f>
        <v>3.5</v>
      </c>
      <c r="G43" s="27" t="n">
        <f aca="false">E43*F43</f>
        <v>0.35</v>
      </c>
      <c r="H43" s="20" t="s">
        <v>95</v>
      </c>
      <c r="I43" s="28" t="n">
        <f aca="false">Narxlar!$C$6</f>
        <v>12</v>
      </c>
      <c r="J43" s="29" t="n">
        <f aca="false">G43*I43</f>
        <v>4.2</v>
      </c>
    </row>
    <row r="44" customFormat="false" ht="15" hidden="false" customHeight="false" outlineLevel="0" collapsed="false">
      <c r="A44" s="20" t="n">
        <v>30</v>
      </c>
      <c r="B44" s="6" t="s">
        <v>18</v>
      </c>
      <c r="C44" s="6" t="s">
        <v>96</v>
      </c>
      <c r="D44" s="6" t="s">
        <v>113</v>
      </c>
      <c r="E44" s="26" t="n">
        <v>0.1</v>
      </c>
      <c r="F44" s="7" t="n">
        <f aca="false">Narxlar!$C$11</f>
        <v>3.5</v>
      </c>
      <c r="G44" s="27" t="n">
        <f aca="false">E44*F44</f>
        <v>0.35</v>
      </c>
      <c r="H44" s="20" t="s">
        <v>95</v>
      </c>
      <c r="I44" s="28" t="n">
        <f aca="false">Narxlar!$C$6</f>
        <v>12</v>
      </c>
      <c r="J44" s="29" t="n">
        <f aca="false">G44*I44</f>
        <v>4.2</v>
      </c>
    </row>
    <row r="45" customFormat="false" ht="15" hidden="false" customHeight="false" outlineLevel="0" collapsed="false">
      <c r="A45" s="20" t="n">
        <v>31</v>
      </c>
      <c r="B45" s="6" t="s">
        <v>18</v>
      </c>
      <c r="C45" s="6" t="s">
        <v>96</v>
      </c>
      <c r="D45" s="6" t="s">
        <v>113</v>
      </c>
      <c r="E45" s="26" t="n">
        <v>0.25</v>
      </c>
      <c r="F45" s="7" t="n">
        <f aca="false">Narxlar!$C$11</f>
        <v>3.5</v>
      </c>
      <c r="G45" s="27" t="n">
        <f aca="false">E45*F45</f>
        <v>0.875</v>
      </c>
      <c r="H45" s="20" t="s">
        <v>95</v>
      </c>
      <c r="I45" s="28" t="n">
        <f aca="false">Narxlar!$C$6</f>
        <v>12</v>
      </c>
      <c r="J45" s="29" t="n">
        <f aca="false">G45*I45</f>
        <v>10.5</v>
      </c>
    </row>
    <row r="46" customFormat="false" ht="15" hidden="false" customHeight="false" outlineLevel="0" collapsed="false">
      <c r="A46" s="20" t="n">
        <v>32</v>
      </c>
      <c r="B46" s="6" t="s">
        <v>18</v>
      </c>
      <c r="C46" s="6" t="s">
        <v>96</v>
      </c>
      <c r="D46" s="6" t="s">
        <v>114</v>
      </c>
      <c r="E46" s="26" t="n">
        <v>1.5</v>
      </c>
      <c r="F46" s="7" t="n">
        <f aca="false">Narxlar!$C$13</f>
        <v>1</v>
      </c>
      <c r="G46" s="27" t="n">
        <f aca="false">E46*F46</f>
        <v>1.5</v>
      </c>
      <c r="H46" s="20" t="s">
        <v>95</v>
      </c>
      <c r="I46" s="28" t="n">
        <f aca="false">Narxlar!$C$6</f>
        <v>12</v>
      </c>
      <c r="J46" s="29" t="n">
        <f aca="false">G46*I46</f>
        <v>18</v>
      </c>
    </row>
    <row r="47" customFormat="false" ht="15" hidden="false" customHeight="false" outlineLevel="0" collapsed="false">
      <c r="A47" s="20" t="n">
        <v>33</v>
      </c>
      <c r="B47" s="6" t="s">
        <v>18</v>
      </c>
      <c r="C47" s="6" t="s">
        <v>96</v>
      </c>
      <c r="D47" s="6" t="s">
        <v>115</v>
      </c>
      <c r="E47" s="26" t="n">
        <v>4.5</v>
      </c>
      <c r="F47" s="7" t="n">
        <f aca="false">Narxlar!$C$11</f>
        <v>3.5</v>
      </c>
      <c r="G47" s="27" t="n">
        <f aca="false">E47*F47</f>
        <v>15.75</v>
      </c>
      <c r="H47" s="20" t="s">
        <v>95</v>
      </c>
      <c r="I47" s="28" t="n">
        <f aca="false">Narxlar!$C$6</f>
        <v>12</v>
      </c>
      <c r="J47" s="29" t="n">
        <f aca="false">G47*I47</f>
        <v>189</v>
      </c>
    </row>
    <row r="48" customFormat="false" ht="15" hidden="false" customHeight="false" outlineLevel="0" collapsed="false">
      <c r="A48" s="20" t="n">
        <v>34</v>
      </c>
      <c r="B48" s="6" t="s">
        <v>18</v>
      </c>
      <c r="C48" s="6" t="s">
        <v>96</v>
      </c>
      <c r="D48" s="6" t="s">
        <v>116</v>
      </c>
      <c r="E48" s="7" t="n">
        <f aca="false">Narxlar!$C$16</f>
        <v>0.9</v>
      </c>
      <c r="F48" s="7" t="n">
        <f aca="false">Narxlar!$C$15</f>
        <v>1.4</v>
      </c>
      <c r="G48" s="27" t="n">
        <f aca="false">E48*F48</f>
        <v>1.26</v>
      </c>
      <c r="H48" s="20" t="s">
        <v>95</v>
      </c>
      <c r="I48" s="28" t="n">
        <f aca="false">Narxlar!$C$6</f>
        <v>12</v>
      </c>
      <c r="J48" s="29" t="n">
        <f aca="false">G48*I48</f>
        <v>15.12</v>
      </c>
    </row>
    <row r="49" customFormat="false" ht="15" hidden="false" customHeight="false" outlineLevel="0" collapsed="false">
      <c r="A49" s="20" t="n">
        <v>35</v>
      </c>
      <c r="B49" s="6" t="s">
        <v>18</v>
      </c>
      <c r="C49" s="6" t="s">
        <v>52</v>
      </c>
      <c r="D49" s="6" t="s">
        <v>101</v>
      </c>
      <c r="E49" s="26" t="n">
        <v>8.8</v>
      </c>
      <c r="F49" s="7" t="n">
        <f aca="false">Narxlar!$C$17</f>
        <v>3.5</v>
      </c>
      <c r="G49" s="27" t="n">
        <f aca="false">E49*F49</f>
        <v>30.8</v>
      </c>
      <c r="H49" s="20" t="s">
        <v>95</v>
      </c>
      <c r="I49" s="28" t="n">
        <f aca="false">Narxlar!$C$7</f>
        <v>15.5</v>
      </c>
      <c r="J49" s="29" t="n">
        <f aca="false">G49*I49</f>
        <v>477.4</v>
      </c>
    </row>
    <row r="50" customFormat="false" ht="15" hidden="false" customHeight="false" outlineLevel="0" collapsed="false">
      <c r="A50" s="20" t="n">
        <v>36</v>
      </c>
      <c r="B50" s="6" t="s">
        <v>18</v>
      </c>
      <c r="C50" s="6" t="s">
        <v>52</v>
      </c>
      <c r="D50" s="6" t="s">
        <v>117</v>
      </c>
      <c r="E50" s="26" t="n">
        <v>5.6</v>
      </c>
      <c r="F50" s="7" t="n">
        <f aca="false">Narxlar!$C$17</f>
        <v>3.5</v>
      </c>
      <c r="G50" s="27" t="n">
        <f aca="false">E50*F50</f>
        <v>19.6</v>
      </c>
      <c r="H50" s="20" t="s">
        <v>95</v>
      </c>
      <c r="I50" s="28" t="n">
        <f aca="false">Narxlar!$C$7</f>
        <v>15.5</v>
      </c>
      <c r="J50" s="29" t="n">
        <f aca="false">G50*I50</f>
        <v>303.8</v>
      </c>
    </row>
    <row r="51" customFormat="false" ht="15" hidden="false" customHeight="false" outlineLevel="0" collapsed="false">
      <c r="A51" s="20" t="n">
        <v>37</v>
      </c>
      <c r="B51" s="6" t="s">
        <v>18</v>
      </c>
      <c r="C51" s="6" t="s">
        <v>53</v>
      </c>
      <c r="D51" s="6" t="s">
        <v>103</v>
      </c>
      <c r="E51" s="26"/>
      <c r="F51" s="27"/>
      <c r="G51" s="30" t="n">
        <v>1</v>
      </c>
      <c r="H51" s="20" t="s">
        <v>104</v>
      </c>
      <c r="I51" s="28" t="n">
        <f aca="false">Narxlar!$C$8</f>
        <v>1032</v>
      </c>
      <c r="J51" s="29" t="n">
        <f aca="false">G51*I51</f>
        <v>1032</v>
      </c>
    </row>
    <row r="52" customFormat="false" ht="15" hidden="false" customHeight="false" outlineLevel="0" collapsed="false">
      <c r="A52" s="31"/>
      <c r="B52" s="31"/>
      <c r="C52" s="31"/>
      <c r="D52" s="11" t="s">
        <v>118</v>
      </c>
      <c r="E52" s="31"/>
      <c r="F52" s="31"/>
      <c r="G52" s="31"/>
      <c r="H52" s="31"/>
      <c r="I52" s="31"/>
      <c r="J52" s="32" t="n">
        <f aca="false">SUM(J36:J51)</f>
        <v>2887.645</v>
      </c>
    </row>
    <row r="54" customFormat="false" ht="15" hidden="false" customHeight="false" outlineLevel="0" collapsed="false">
      <c r="A54" s="4" t="s">
        <v>19</v>
      </c>
      <c r="B54" s="5"/>
      <c r="C54" s="5"/>
      <c r="D54" s="5"/>
      <c r="E54" s="5"/>
      <c r="F54" s="5"/>
      <c r="G54" s="5"/>
      <c r="H54" s="5"/>
      <c r="I54" s="5"/>
      <c r="J54" s="5"/>
    </row>
    <row r="55" customFormat="false" ht="15" hidden="false" customHeight="false" outlineLevel="0" collapsed="false">
      <c r="A55" s="20" t="n">
        <v>38</v>
      </c>
      <c r="B55" s="6" t="s">
        <v>19</v>
      </c>
      <c r="C55" s="6" t="s">
        <v>96</v>
      </c>
      <c r="D55" s="6" t="s">
        <v>119</v>
      </c>
      <c r="E55" s="26" t="n">
        <v>2.75</v>
      </c>
      <c r="F55" s="7" t="n">
        <f aca="false">Narxlar!$C$11</f>
        <v>3.5</v>
      </c>
      <c r="G55" s="27" t="n">
        <f aca="false">E55*F55</f>
        <v>9.625</v>
      </c>
      <c r="H55" s="20" t="s">
        <v>95</v>
      </c>
      <c r="I55" s="28" t="n">
        <f aca="false">Narxlar!$C$6</f>
        <v>12</v>
      </c>
      <c r="J55" s="29" t="n">
        <f aca="false">G55*I55</f>
        <v>115.5</v>
      </c>
    </row>
    <row r="56" customFormat="false" ht="15" hidden="false" customHeight="false" outlineLevel="0" collapsed="false">
      <c r="A56" s="20" t="n">
        <v>39</v>
      </c>
      <c r="B56" s="6" t="s">
        <v>19</v>
      </c>
      <c r="C56" s="6" t="s">
        <v>96</v>
      </c>
      <c r="D56" s="6" t="s">
        <v>113</v>
      </c>
      <c r="E56" s="26" t="n">
        <v>0.15</v>
      </c>
      <c r="F56" s="7" t="n">
        <f aca="false">Narxlar!$C$11</f>
        <v>3.5</v>
      </c>
      <c r="G56" s="27" t="n">
        <f aca="false">E56*F56</f>
        <v>0.525</v>
      </c>
      <c r="H56" s="20" t="s">
        <v>95</v>
      </c>
      <c r="I56" s="28" t="n">
        <f aca="false">Narxlar!$C$6</f>
        <v>12</v>
      </c>
      <c r="J56" s="29" t="n">
        <f aca="false">G56*I56</f>
        <v>6.3</v>
      </c>
    </row>
    <row r="57" customFormat="false" ht="15" hidden="false" customHeight="false" outlineLevel="0" collapsed="false">
      <c r="A57" s="20" t="n">
        <v>40</v>
      </c>
      <c r="B57" s="6" t="s">
        <v>19</v>
      </c>
      <c r="C57" s="6" t="s">
        <v>96</v>
      </c>
      <c r="D57" s="6" t="s">
        <v>120</v>
      </c>
      <c r="E57" s="26" t="n">
        <v>4.7</v>
      </c>
      <c r="F57" s="7" t="n">
        <f aca="false">Narxlar!$C$11</f>
        <v>3.5</v>
      </c>
      <c r="G57" s="27" t="n">
        <f aca="false">E57*F57</f>
        <v>16.45</v>
      </c>
      <c r="H57" s="20" t="s">
        <v>95</v>
      </c>
      <c r="I57" s="28" t="n">
        <f aca="false">Narxlar!$C$6</f>
        <v>12</v>
      </c>
      <c r="J57" s="29" t="n">
        <f aca="false">G57*I57</f>
        <v>197.4</v>
      </c>
    </row>
    <row r="58" customFormat="false" ht="15" hidden="false" customHeight="false" outlineLevel="0" collapsed="false">
      <c r="A58" s="20" t="n">
        <v>41</v>
      </c>
      <c r="B58" s="6" t="s">
        <v>19</v>
      </c>
      <c r="C58" s="6" t="s">
        <v>96</v>
      </c>
      <c r="D58" s="6" t="s">
        <v>116</v>
      </c>
      <c r="E58" s="7" t="n">
        <f aca="false">Narxlar!$C$16</f>
        <v>0.9</v>
      </c>
      <c r="F58" s="7" t="n">
        <f aca="false">Narxlar!$C$15</f>
        <v>1.4</v>
      </c>
      <c r="G58" s="27" t="n">
        <f aca="false">E58*F58</f>
        <v>1.26</v>
      </c>
      <c r="H58" s="20" t="s">
        <v>95</v>
      </c>
      <c r="I58" s="28" t="n">
        <f aca="false">Narxlar!$C$6</f>
        <v>12</v>
      </c>
      <c r="J58" s="29" t="n">
        <f aca="false">G58*I58</f>
        <v>15.12</v>
      </c>
    </row>
    <row r="59" customFormat="false" ht="15" hidden="false" customHeight="false" outlineLevel="0" collapsed="false">
      <c r="A59" s="20" t="n">
        <v>42</v>
      </c>
      <c r="B59" s="6" t="s">
        <v>19</v>
      </c>
      <c r="C59" s="6" t="s">
        <v>52</v>
      </c>
      <c r="D59" s="6" t="s">
        <v>101</v>
      </c>
      <c r="E59" s="26" t="n">
        <v>7.7</v>
      </c>
      <c r="F59" s="7" t="n">
        <f aca="false">Narxlar!$C$17</f>
        <v>3.5</v>
      </c>
      <c r="G59" s="27" t="n">
        <f aca="false">E59*F59</f>
        <v>26.95</v>
      </c>
      <c r="H59" s="20" t="s">
        <v>95</v>
      </c>
      <c r="I59" s="28" t="n">
        <f aca="false">Narxlar!$C$7</f>
        <v>15.5</v>
      </c>
      <c r="J59" s="29" t="n">
        <f aca="false">G59*I59</f>
        <v>417.725</v>
      </c>
    </row>
    <row r="60" customFormat="false" ht="15" hidden="false" customHeight="false" outlineLevel="0" collapsed="false">
      <c r="A60" s="20" t="n">
        <v>43</v>
      </c>
      <c r="B60" s="6" t="s">
        <v>19</v>
      </c>
      <c r="C60" s="6" t="s">
        <v>52</v>
      </c>
      <c r="D60" s="6" t="s">
        <v>102</v>
      </c>
      <c r="E60" s="26" t="n">
        <v>7.7</v>
      </c>
      <c r="F60" s="7" t="n">
        <f aca="false">Narxlar!$C$17</f>
        <v>3.5</v>
      </c>
      <c r="G60" s="27" t="n">
        <f aca="false">E60*F60</f>
        <v>26.95</v>
      </c>
      <c r="H60" s="20" t="s">
        <v>95</v>
      </c>
      <c r="I60" s="28" t="n">
        <f aca="false">Narxlar!$C$7</f>
        <v>15.5</v>
      </c>
      <c r="J60" s="29" t="n">
        <f aca="false">G60*I60</f>
        <v>417.725</v>
      </c>
    </row>
    <row r="61" customFormat="false" ht="15" hidden="false" customHeight="false" outlineLevel="0" collapsed="false">
      <c r="A61" s="20" t="n">
        <v>44</v>
      </c>
      <c r="B61" s="6" t="s">
        <v>19</v>
      </c>
      <c r="C61" s="6" t="s">
        <v>53</v>
      </c>
      <c r="D61" s="6" t="s">
        <v>103</v>
      </c>
      <c r="E61" s="26"/>
      <c r="F61" s="27"/>
      <c r="G61" s="30" t="n">
        <v>1</v>
      </c>
      <c r="H61" s="20" t="s">
        <v>104</v>
      </c>
      <c r="I61" s="28" t="n">
        <f aca="false">Narxlar!$C$8</f>
        <v>1032</v>
      </c>
      <c r="J61" s="29" t="n">
        <f aca="false">G61*I61</f>
        <v>1032</v>
      </c>
    </row>
    <row r="62" customFormat="false" ht="15" hidden="false" customHeight="false" outlineLevel="0" collapsed="false">
      <c r="A62" s="31"/>
      <c r="B62" s="31"/>
      <c r="C62" s="31"/>
      <c r="D62" s="11" t="s">
        <v>121</v>
      </c>
      <c r="E62" s="31"/>
      <c r="F62" s="31"/>
      <c r="G62" s="31"/>
      <c r="H62" s="31"/>
      <c r="I62" s="31"/>
      <c r="J62" s="32" t="n">
        <f aca="false">SUM(J55:J61)</f>
        <v>2201.77</v>
      </c>
    </row>
    <row r="64" customFormat="false" ht="15" hidden="false" customHeight="false" outlineLevel="0" collapsed="false">
      <c r="A64" s="4" t="s">
        <v>20</v>
      </c>
      <c r="B64" s="5"/>
      <c r="C64" s="5"/>
      <c r="D64" s="5"/>
      <c r="E64" s="5"/>
      <c r="F64" s="5"/>
      <c r="G64" s="5"/>
      <c r="H64" s="5"/>
      <c r="I64" s="5"/>
      <c r="J64" s="5"/>
    </row>
    <row r="65" customFormat="false" ht="15" hidden="false" customHeight="false" outlineLevel="0" collapsed="false">
      <c r="A65" s="20" t="n">
        <v>45</v>
      </c>
      <c r="B65" s="6" t="s">
        <v>20</v>
      </c>
      <c r="C65" s="6" t="s">
        <v>47</v>
      </c>
      <c r="D65" s="6" t="s">
        <v>109</v>
      </c>
      <c r="E65" s="26" t="n">
        <v>4.7</v>
      </c>
      <c r="F65" s="7" t="n">
        <f aca="false">Narxlar!$C$12</f>
        <v>2.5</v>
      </c>
      <c r="G65" s="27" t="n">
        <f aca="false">E65*F65</f>
        <v>11.75</v>
      </c>
      <c r="H65" s="20" t="s">
        <v>95</v>
      </c>
      <c r="I65" s="28" t="n">
        <f aca="false">Narxlar!$C$5</f>
        <v>55</v>
      </c>
      <c r="J65" s="29" t="n">
        <f aca="false">G65*I65</f>
        <v>646.25</v>
      </c>
    </row>
    <row r="66" customFormat="false" ht="15" hidden="false" customHeight="false" outlineLevel="0" collapsed="false">
      <c r="A66" s="20" t="n">
        <v>46</v>
      </c>
      <c r="B66" s="6" t="s">
        <v>20</v>
      </c>
      <c r="C66" s="6" t="s">
        <v>96</v>
      </c>
      <c r="D66" s="6" t="s">
        <v>122</v>
      </c>
      <c r="E66" s="26" t="n">
        <v>2.75</v>
      </c>
      <c r="F66" s="7" t="n">
        <f aca="false">Narxlar!$C$11</f>
        <v>3.5</v>
      </c>
      <c r="G66" s="27" t="n">
        <f aca="false">E66*F66</f>
        <v>9.625</v>
      </c>
      <c r="H66" s="20" t="s">
        <v>95</v>
      </c>
      <c r="I66" s="28" t="n">
        <f aca="false">Narxlar!$C$6</f>
        <v>12</v>
      </c>
      <c r="J66" s="29" t="n">
        <f aca="false">G66*I66</f>
        <v>115.5</v>
      </c>
    </row>
    <row r="67" customFormat="false" ht="15" hidden="false" customHeight="false" outlineLevel="0" collapsed="false">
      <c r="A67" s="20" t="n">
        <v>47</v>
      </c>
      <c r="B67" s="6" t="s">
        <v>20</v>
      </c>
      <c r="C67" s="6" t="s">
        <v>96</v>
      </c>
      <c r="D67" s="6" t="s">
        <v>123</v>
      </c>
      <c r="E67" s="26" t="n">
        <v>2.75</v>
      </c>
      <c r="F67" s="7" t="n">
        <f aca="false">Narxlar!$C$11</f>
        <v>3.5</v>
      </c>
      <c r="G67" s="27" t="n">
        <f aca="false">E67*F67</f>
        <v>9.625</v>
      </c>
      <c r="H67" s="20" t="s">
        <v>95</v>
      </c>
      <c r="I67" s="28" t="n">
        <f aca="false">Narxlar!$C$6</f>
        <v>12</v>
      </c>
      <c r="J67" s="29" t="n">
        <f aca="false">G67*I67</f>
        <v>115.5</v>
      </c>
    </row>
    <row r="68" customFormat="false" ht="15" hidden="false" customHeight="false" outlineLevel="0" collapsed="false">
      <c r="A68" s="20" t="n">
        <v>48</v>
      </c>
      <c r="B68" s="6" t="s">
        <v>20</v>
      </c>
      <c r="C68" s="6" t="s">
        <v>96</v>
      </c>
      <c r="D68" s="6" t="s">
        <v>113</v>
      </c>
      <c r="E68" s="26" t="n">
        <v>0.2</v>
      </c>
      <c r="F68" s="7" t="n">
        <f aca="false">Narxlar!$C$11</f>
        <v>3.5</v>
      </c>
      <c r="G68" s="27" t="n">
        <f aca="false">E68*F68</f>
        <v>0.7</v>
      </c>
      <c r="H68" s="20" t="s">
        <v>95</v>
      </c>
      <c r="I68" s="28" t="n">
        <f aca="false">Narxlar!$C$6</f>
        <v>12</v>
      </c>
      <c r="J68" s="29" t="n">
        <f aca="false">G68*I68</f>
        <v>8.4</v>
      </c>
    </row>
    <row r="69" customFormat="false" ht="15" hidden="false" customHeight="false" outlineLevel="0" collapsed="false">
      <c r="A69" s="20" t="n">
        <v>49</v>
      </c>
      <c r="B69" s="6" t="s">
        <v>20</v>
      </c>
      <c r="C69" s="6" t="s">
        <v>96</v>
      </c>
      <c r="D69" s="6" t="s">
        <v>114</v>
      </c>
      <c r="E69" s="26" t="n">
        <v>4.7</v>
      </c>
      <c r="F69" s="7" t="n">
        <f aca="false">Narxlar!$C$13</f>
        <v>1</v>
      </c>
      <c r="G69" s="27" t="n">
        <f aca="false">E69*F69</f>
        <v>4.7</v>
      </c>
      <c r="H69" s="20" t="s">
        <v>95</v>
      </c>
      <c r="I69" s="28" t="n">
        <f aca="false">Narxlar!$C$6</f>
        <v>12</v>
      </c>
      <c r="J69" s="29" t="n">
        <f aca="false">G69*I69</f>
        <v>56.4</v>
      </c>
    </row>
    <row r="70" customFormat="false" ht="15" hidden="false" customHeight="false" outlineLevel="0" collapsed="false">
      <c r="A70" s="20" t="n">
        <v>50</v>
      </c>
      <c r="B70" s="6" t="s">
        <v>20</v>
      </c>
      <c r="C70" s="6" t="s">
        <v>96</v>
      </c>
      <c r="D70" s="6" t="s">
        <v>116</v>
      </c>
      <c r="E70" s="7" t="n">
        <f aca="false">Narxlar!$C$16</f>
        <v>0.9</v>
      </c>
      <c r="F70" s="7" t="n">
        <f aca="false">Narxlar!$C$15</f>
        <v>1.4</v>
      </c>
      <c r="G70" s="27" t="n">
        <f aca="false">E70*F70</f>
        <v>1.26</v>
      </c>
      <c r="H70" s="20" t="s">
        <v>95</v>
      </c>
      <c r="I70" s="28" t="n">
        <f aca="false">Narxlar!$C$6</f>
        <v>12</v>
      </c>
      <c r="J70" s="29" t="n">
        <f aca="false">G70*I70</f>
        <v>15.12</v>
      </c>
    </row>
    <row r="71" customFormat="false" ht="15" hidden="false" customHeight="false" outlineLevel="0" collapsed="false">
      <c r="A71" s="20" t="n">
        <v>51</v>
      </c>
      <c r="B71" s="6" t="s">
        <v>20</v>
      </c>
      <c r="C71" s="6" t="s">
        <v>52</v>
      </c>
      <c r="D71" s="6" t="s">
        <v>101</v>
      </c>
      <c r="E71" s="26" t="n">
        <v>7.7</v>
      </c>
      <c r="F71" s="7" t="n">
        <f aca="false">Narxlar!$C$17</f>
        <v>3.5</v>
      </c>
      <c r="G71" s="27" t="n">
        <f aca="false">E71*F71</f>
        <v>26.95</v>
      </c>
      <c r="H71" s="20" t="s">
        <v>95</v>
      </c>
      <c r="I71" s="28" t="n">
        <f aca="false">Narxlar!$C$7</f>
        <v>15.5</v>
      </c>
      <c r="J71" s="29" t="n">
        <f aca="false">G71*I71</f>
        <v>417.725</v>
      </c>
    </row>
    <row r="72" customFormat="false" ht="15" hidden="false" customHeight="false" outlineLevel="0" collapsed="false">
      <c r="A72" s="20" t="n">
        <v>52</v>
      </c>
      <c r="B72" s="6" t="s">
        <v>20</v>
      </c>
      <c r="C72" s="6" t="s">
        <v>52</v>
      </c>
      <c r="D72" s="6" t="s">
        <v>102</v>
      </c>
      <c r="E72" s="26" t="n">
        <v>7.7</v>
      </c>
      <c r="F72" s="7" t="n">
        <f aca="false">Narxlar!$C$17</f>
        <v>3.5</v>
      </c>
      <c r="G72" s="27" t="n">
        <f aca="false">E72*F72</f>
        <v>26.95</v>
      </c>
      <c r="H72" s="20" t="s">
        <v>95</v>
      </c>
      <c r="I72" s="28" t="n">
        <f aca="false">Narxlar!$C$7</f>
        <v>15.5</v>
      </c>
      <c r="J72" s="29" t="n">
        <f aca="false">G72*I72</f>
        <v>417.725</v>
      </c>
    </row>
    <row r="73" customFormat="false" ht="15" hidden="false" customHeight="false" outlineLevel="0" collapsed="false">
      <c r="A73" s="20" t="n">
        <v>53</v>
      </c>
      <c r="B73" s="6" t="s">
        <v>20</v>
      </c>
      <c r="C73" s="6" t="s">
        <v>53</v>
      </c>
      <c r="D73" s="6" t="s">
        <v>103</v>
      </c>
      <c r="E73" s="26"/>
      <c r="F73" s="27"/>
      <c r="G73" s="30" t="n">
        <v>1</v>
      </c>
      <c r="H73" s="20" t="s">
        <v>104</v>
      </c>
      <c r="I73" s="28" t="n">
        <f aca="false">Narxlar!$C$8</f>
        <v>1032</v>
      </c>
      <c r="J73" s="29" t="n">
        <f aca="false">G73*I73</f>
        <v>1032</v>
      </c>
    </row>
    <row r="74" customFormat="false" ht="15" hidden="false" customHeight="false" outlineLevel="0" collapsed="false">
      <c r="A74" s="31"/>
      <c r="B74" s="31"/>
      <c r="C74" s="31"/>
      <c r="D74" s="11" t="s">
        <v>124</v>
      </c>
      <c r="E74" s="31"/>
      <c r="F74" s="31"/>
      <c r="G74" s="31"/>
      <c r="H74" s="31"/>
      <c r="I74" s="31"/>
      <c r="J74" s="32" t="n">
        <f aca="false">SUM(J65:J73)</f>
        <v>2824.62</v>
      </c>
    </row>
    <row r="76" customFormat="false" ht="15" hidden="false" customHeight="false" outlineLevel="0" collapsed="false">
      <c r="A76" s="4" t="s">
        <v>21</v>
      </c>
      <c r="B76" s="5"/>
      <c r="C76" s="5"/>
      <c r="D76" s="5"/>
      <c r="E76" s="5"/>
      <c r="F76" s="5"/>
      <c r="G76" s="5"/>
      <c r="H76" s="5"/>
      <c r="I76" s="5"/>
      <c r="J76" s="5"/>
    </row>
    <row r="77" customFormat="false" ht="15" hidden="false" customHeight="false" outlineLevel="0" collapsed="false">
      <c r="A77" s="20" t="n">
        <v>54</v>
      </c>
      <c r="B77" s="6" t="s">
        <v>21</v>
      </c>
      <c r="C77" s="6" t="s">
        <v>47</v>
      </c>
      <c r="D77" s="6" t="s">
        <v>109</v>
      </c>
      <c r="E77" s="26" t="n">
        <v>4.7</v>
      </c>
      <c r="F77" s="7" t="n">
        <f aca="false">Narxlar!$C$12</f>
        <v>2.5</v>
      </c>
      <c r="G77" s="27" t="n">
        <f aca="false">E77*F77</f>
        <v>11.75</v>
      </c>
      <c r="H77" s="20" t="s">
        <v>95</v>
      </c>
      <c r="I77" s="28" t="n">
        <f aca="false">Narxlar!$C$5</f>
        <v>55</v>
      </c>
      <c r="J77" s="29" t="n">
        <f aca="false">G77*I77</f>
        <v>646.25</v>
      </c>
    </row>
    <row r="78" customFormat="false" ht="15" hidden="false" customHeight="false" outlineLevel="0" collapsed="false">
      <c r="A78" s="20" t="n">
        <v>55</v>
      </c>
      <c r="B78" s="6" t="s">
        <v>21</v>
      </c>
      <c r="C78" s="6" t="s">
        <v>96</v>
      </c>
      <c r="D78" s="6" t="s">
        <v>97</v>
      </c>
      <c r="E78" s="26" t="n">
        <v>1.55</v>
      </c>
      <c r="F78" s="7" t="n">
        <f aca="false">Narxlar!$C$11</f>
        <v>3.5</v>
      </c>
      <c r="G78" s="27" t="n">
        <f aca="false">E78*F78</f>
        <v>5.425</v>
      </c>
      <c r="H78" s="20" t="s">
        <v>95</v>
      </c>
      <c r="I78" s="28" t="n">
        <f aca="false">Narxlar!$C$6</f>
        <v>12</v>
      </c>
      <c r="J78" s="29" t="n">
        <f aca="false">G78*I78</f>
        <v>65.1</v>
      </c>
    </row>
    <row r="79" customFormat="false" ht="15" hidden="false" customHeight="false" outlineLevel="0" collapsed="false">
      <c r="A79" s="20" t="n">
        <v>56</v>
      </c>
      <c r="B79" s="6" t="s">
        <v>21</v>
      </c>
      <c r="C79" s="6" t="s">
        <v>96</v>
      </c>
      <c r="D79" s="6" t="s">
        <v>125</v>
      </c>
      <c r="E79" s="26" t="n">
        <v>2.6</v>
      </c>
      <c r="F79" s="7" t="n">
        <f aca="false">Narxlar!$C$11</f>
        <v>3.5</v>
      </c>
      <c r="G79" s="27" t="n">
        <f aca="false">E79*F79</f>
        <v>9.1</v>
      </c>
      <c r="H79" s="20" t="s">
        <v>95</v>
      </c>
      <c r="I79" s="28" t="n">
        <f aca="false">Narxlar!$C$6</f>
        <v>12</v>
      </c>
      <c r="J79" s="29" t="n">
        <f aca="false">G79*I79</f>
        <v>109.2</v>
      </c>
    </row>
    <row r="80" customFormat="false" ht="15" hidden="false" customHeight="false" outlineLevel="0" collapsed="false">
      <c r="A80" s="20" t="n">
        <v>57</v>
      </c>
      <c r="B80" s="6" t="s">
        <v>21</v>
      </c>
      <c r="C80" s="6" t="s">
        <v>96</v>
      </c>
      <c r="D80" s="6" t="s">
        <v>119</v>
      </c>
      <c r="E80" s="26" t="n">
        <v>2.75</v>
      </c>
      <c r="F80" s="7" t="n">
        <f aca="false">Narxlar!$C$11</f>
        <v>3.5</v>
      </c>
      <c r="G80" s="27" t="n">
        <f aca="false">E80*F80</f>
        <v>9.625</v>
      </c>
      <c r="H80" s="20" t="s">
        <v>95</v>
      </c>
      <c r="I80" s="28" t="n">
        <f aca="false">Narxlar!$C$6</f>
        <v>12</v>
      </c>
      <c r="J80" s="29" t="n">
        <f aca="false">G80*I80</f>
        <v>115.5</v>
      </c>
    </row>
    <row r="81" customFormat="false" ht="15" hidden="false" customHeight="false" outlineLevel="0" collapsed="false">
      <c r="A81" s="20" t="n">
        <v>58</v>
      </c>
      <c r="B81" s="6" t="s">
        <v>21</v>
      </c>
      <c r="C81" s="6" t="s">
        <v>96</v>
      </c>
      <c r="D81" s="6" t="s">
        <v>113</v>
      </c>
      <c r="E81" s="26" t="n">
        <v>0.2</v>
      </c>
      <c r="F81" s="7" t="n">
        <f aca="false">Narxlar!$C$11</f>
        <v>3.5</v>
      </c>
      <c r="G81" s="27" t="n">
        <f aca="false">E81*F81</f>
        <v>0.7</v>
      </c>
      <c r="H81" s="20" t="s">
        <v>95</v>
      </c>
      <c r="I81" s="28" t="n">
        <f aca="false">Narxlar!$C$6</f>
        <v>12</v>
      </c>
      <c r="J81" s="29" t="n">
        <f aca="false">G81*I81</f>
        <v>8.4</v>
      </c>
    </row>
    <row r="82" customFormat="false" ht="15" hidden="false" customHeight="false" outlineLevel="0" collapsed="false">
      <c r="A82" s="20" t="n">
        <v>59</v>
      </c>
      <c r="B82" s="6" t="s">
        <v>21</v>
      </c>
      <c r="C82" s="6" t="s">
        <v>96</v>
      </c>
      <c r="D82" s="6" t="s">
        <v>114</v>
      </c>
      <c r="E82" s="26" t="n">
        <v>4.7</v>
      </c>
      <c r="F82" s="7" t="n">
        <f aca="false">Narxlar!$C$13</f>
        <v>1</v>
      </c>
      <c r="G82" s="27" t="n">
        <f aca="false">E82*F82</f>
        <v>4.7</v>
      </c>
      <c r="H82" s="20" t="s">
        <v>95</v>
      </c>
      <c r="I82" s="28" t="n">
        <f aca="false">Narxlar!$C$6</f>
        <v>12</v>
      </c>
      <c r="J82" s="29" t="n">
        <f aca="false">G82*I82</f>
        <v>56.4</v>
      </c>
    </row>
    <row r="83" customFormat="false" ht="15" hidden="false" customHeight="false" outlineLevel="0" collapsed="false">
      <c r="A83" s="20" t="n">
        <v>60</v>
      </c>
      <c r="B83" s="6" t="s">
        <v>21</v>
      </c>
      <c r="C83" s="6" t="s">
        <v>96</v>
      </c>
      <c r="D83" s="6" t="s">
        <v>116</v>
      </c>
      <c r="E83" s="7" t="n">
        <f aca="false">Narxlar!$C$16</f>
        <v>0.9</v>
      </c>
      <c r="F83" s="7" t="n">
        <f aca="false">Narxlar!$C$15</f>
        <v>1.4</v>
      </c>
      <c r="G83" s="27" t="n">
        <f aca="false">E83*F83</f>
        <v>1.26</v>
      </c>
      <c r="H83" s="20" t="s">
        <v>95</v>
      </c>
      <c r="I83" s="28" t="n">
        <f aca="false">Narxlar!$C$6</f>
        <v>12</v>
      </c>
      <c r="J83" s="29" t="n">
        <f aca="false">G83*I83</f>
        <v>15.12</v>
      </c>
    </row>
    <row r="84" customFormat="false" ht="15" hidden="false" customHeight="false" outlineLevel="0" collapsed="false">
      <c r="A84" s="20" t="n">
        <v>61</v>
      </c>
      <c r="B84" s="6" t="s">
        <v>21</v>
      </c>
      <c r="C84" s="6" t="s">
        <v>52</v>
      </c>
      <c r="D84" s="6" t="s">
        <v>101</v>
      </c>
      <c r="E84" s="26" t="n">
        <v>7.7</v>
      </c>
      <c r="F84" s="7" t="n">
        <f aca="false">Narxlar!$C$17</f>
        <v>3.5</v>
      </c>
      <c r="G84" s="27" t="n">
        <f aca="false">E84*F84</f>
        <v>26.95</v>
      </c>
      <c r="H84" s="20" t="s">
        <v>95</v>
      </c>
      <c r="I84" s="28" t="n">
        <f aca="false">Narxlar!$C$7</f>
        <v>15.5</v>
      </c>
      <c r="J84" s="29" t="n">
        <f aca="false">G84*I84</f>
        <v>417.725</v>
      </c>
    </row>
    <row r="85" customFormat="false" ht="15" hidden="false" customHeight="false" outlineLevel="0" collapsed="false">
      <c r="A85" s="20" t="n">
        <v>62</v>
      </c>
      <c r="B85" s="6" t="s">
        <v>21</v>
      </c>
      <c r="C85" s="6" t="s">
        <v>52</v>
      </c>
      <c r="D85" s="6" t="s">
        <v>102</v>
      </c>
      <c r="E85" s="26" t="n">
        <v>7.7</v>
      </c>
      <c r="F85" s="7" t="n">
        <f aca="false">Narxlar!$C$17</f>
        <v>3.5</v>
      </c>
      <c r="G85" s="27" t="n">
        <f aca="false">E85*F85</f>
        <v>26.95</v>
      </c>
      <c r="H85" s="20" t="s">
        <v>95</v>
      </c>
      <c r="I85" s="28" t="n">
        <f aca="false">Narxlar!$C$7</f>
        <v>15.5</v>
      </c>
      <c r="J85" s="29" t="n">
        <f aca="false">G85*I85</f>
        <v>417.725</v>
      </c>
    </row>
    <row r="86" customFormat="false" ht="15" hidden="false" customHeight="false" outlineLevel="0" collapsed="false">
      <c r="A86" s="20" t="n">
        <v>63</v>
      </c>
      <c r="B86" s="6" t="s">
        <v>21</v>
      </c>
      <c r="C86" s="6" t="s">
        <v>53</v>
      </c>
      <c r="D86" s="6" t="s">
        <v>103</v>
      </c>
      <c r="E86" s="26"/>
      <c r="F86" s="27"/>
      <c r="G86" s="30" t="n">
        <v>1</v>
      </c>
      <c r="H86" s="20" t="s">
        <v>104</v>
      </c>
      <c r="I86" s="28" t="n">
        <f aca="false">Narxlar!$C$8</f>
        <v>1032</v>
      </c>
      <c r="J86" s="29" t="n">
        <f aca="false">G86*I86</f>
        <v>1032</v>
      </c>
    </row>
    <row r="87" customFormat="false" ht="15" hidden="false" customHeight="false" outlineLevel="0" collapsed="false">
      <c r="A87" s="31"/>
      <c r="B87" s="31"/>
      <c r="C87" s="31"/>
      <c r="D87" s="11" t="s">
        <v>126</v>
      </c>
      <c r="E87" s="31"/>
      <c r="F87" s="31"/>
      <c r="G87" s="31"/>
      <c r="H87" s="31"/>
      <c r="I87" s="31"/>
      <c r="J87" s="32" t="n">
        <f aca="false">SUM(J77:J86)</f>
        <v>2883.42</v>
      </c>
    </row>
    <row r="89" customFormat="false" ht="15" hidden="false" customHeight="false" outlineLevel="0" collapsed="false">
      <c r="A89" s="4" t="s">
        <v>25</v>
      </c>
      <c r="B89" s="5"/>
      <c r="C89" s="5"/>
      <c r="D89" s="5"/>
      <c r="E89" s="5"/>
      <c r="F89" s="5"/>
      <c r="G89" s="5"/>
      <c r="H89" s="5"/>
      <c r="I89" s="5"/>
      <c r="J89" s="5"/>
    </row>
    <row r="90" customFormat="false" ht="15" hidden="false" customHeight="false" outlineLevel="0" collapsed="false">
      <c r="A90" s="20" t="n">
        <v>64</v>
      </c>
      <c r="B90" s="6" t="s">
        <v>25</v>
      </c>
      <c r="C90" s="6" t="s">
        <v>47</v>
      </c>
      <c r="D90" s="6" t="s">
        <v>109</v>
      </c>
      <c r="E90" s="26" t="n">
        <v>0.15</v>
      </c>
      <c r="F90" s="7" t="n">
        <f aca="false">Narxlar!$C$12</f>
        <v>2.5</v>
      </c>
      <c r="G90" s="27" t="n">
        <f aca="false">E90*F90</f>
        <v>0.375</v>
      </c>
      <c r="H90" s="20" t="s">
        <v>95</v>
      </c>
      <c r="I90" s="28" t="n">
        <f aca="false">Narxlar!$C$5</f>
        <v>55</v>
      </c>
      <c r="J90" s="29" t="n">
        <f aca="false">G90*I90</f>
        <v>20.625</v>
      </c>
    </row>
    <row r="91" customFormat="false" ht="15" hidden="false" customHeight="false" outlineLevel="0" collapsed="false">
      <c r="A91" s="20" t="n">
        <v>65</v>
      </c>
      <c r="B91" s="6" t="s">
        <v>25</v>
      </c>
      <c r="C91" s="6" t="s">
        <v>47</v>
      </c>
      <c r="D91" s="6" t="s">
        <v>109</v>
      </c>
      <c r="E91" s="26" t="n">
        <v>1.75</v>
      </c>
      <c r="F91" s="7" t="n">
        <f aca="false">Narxlar!$C$12</f>
        <v>2.5</v>
      </c>
      <c r="G91" s="27" t="n">
        <f aca="false">E91*F91</f>
        <v>4.375</v>
      </c>
      <c r="H91" s="20" t="s">
        <v>95</v>
      </c>
      <c r="I91" s="28" t="n">
        <f aca="false">Narxlar!$C$5</f>
        <v>55</v>
      </c>
      <c r="J91" s="29" t="n">
        <f aca="false">G91*I91</f>
        <v>240.625</v>
      </c>
    </row>
    <row r="92" customFormat="false" ht="15" hidden="false" customHeight="false" outlineLevel="0" collapsed="false">
      <c r="A92" s="20" t="n">
        <v>66</v>
      </c>
      <c r="B92" s="6" t="s">
        <v>25</v>
      </c>
      <c r="C92" s="6" t="s">
        <v>96</v>
      </c>
      <c r="D92" s="6" t="s">
        <v>97</v>
      </c>
      <c r="E92" s="26" t="n">
        <v>0.6</v>
      </c>
      <c r="F92" s="7" t="n">
        <f aca="false">Narxlar!$C$11</f>
        <v>3.5</v>
      </c>
      <c r="G92" s="27" t="n">
        <f aca="false">E92*F92</f>
        <v>2.1</v>
      </c>
      <c r="H92" s="20" t="s">
        <v>95</v>
      </c>
      <c r="I92" s="28" t="n">
        <f aca="false">Narxlar!$C$6</f>
        <v>12</v>
      </c>
      <c r="J92" s="29" t="n">
        <f aca="false">G92*I92</f>
        <v>25.2</v>
      </c>
    </row>
    <row r="93" customFormat="false" ht="15" hidden="false" customHeight="false" outlineLevel="0" collapsed="false">
      <c r="A93" s="20" t="n">
        <v>67</v>
      </c>
      <c r="B93" s="6" t="s">
        <v>25</v>
      </c>
      <c r="C93" s="6" t="s">
        <v>96</v>
      </c>
      <c r="D93" s="6" t="s">
        <v>127</v>
      </c>
      <c r="E93" s="26" t="n">
        <v>2.8</v>
      </c>
      <c r="F93" s="7" t="n">
        <f aca="false">Narxlar!$C$11</f>
        <v>3.5</v>
      </c>
      <c r="G93" s="27" t="n">
        <f aca="false">E93*F93</f>
        <v>9.8</v>
      </c>
      <c r="H93" s="20" t="s">
        <v>95</v>
      </c>
      <c r="I93" s="28" t="n">
        <f aca="false">Narxlar!$C$6</f>
        <v>12</v>
      </c>
      <c r="J93" s="29" t="n">
        <f aca="false">G93*I93</f>
        <v>117.6</v>
      </c>
    </row>
    <row r="94" customFormat="false" ht="15" hidden="false" customHeight="false" outlineLevel="0" collapsed="false">
      <c r="A94" s="20" t="n">
        <v>68</v>
      </c>
      <c r="B94" s="6" t="s">
        <v>25</v>
      </c>
      <c r="C94" s="6" t="s">
        <v>96</v>
      </c>
      <c r="D94" s="6" t="s">
        <v>128</v>
      </c>
      <c r="E94" s="26" t="n">
        <v>5.6</v>
      </c>
      <c r="F94" s="7" t="n">
        <f aca="false">Narxlar!$C$11</f>
        <v>3.5</v>
      </c>
      <c r="G94" s="27" t="n">
        <f aca="false">E94*F94</f>
        <v>19.6</v>
      </c>
      <c r="H94" s="20" t="s">
        <v>95</v>
      </c>
      <c r="I94" s="28" t="n">
        <f aca="false">Narxlar!$C$6</f>
        <v>12</v>
      </c>
      <c r="J94" s="29" t="n">
        <f aca="false">G94*I94</f>
        <v>235.2</v>
      </c>
    </row>
    <row r="95" customFormat="false" ht="15" hidden="false" customHeight="false" outlineLevel="0" collapsed="false">
      <c r="A95" s="20" t="n">
        <v>69</v>
      </c>
      <c r="B95" s="6" t="s">
        <v>25</v>
      </c>
      <c r="C95" s="6" t="s">
        <v>96</v>
      </c>
      <c r="D95" s="6" t="s">
        <v>114</v>
      </c>
      <c r="E95" s="26" t="n">
        <v>0.15</v>
      </c>
      <c r="F95" s="7" t="n">
        <f aca="false">Narxlar!$C$13</f>
        <v>1</v>
      </c>
      <c r="G95" s="27" t="n">
        <f aca="false">E95*F95</f>
        <v>0.15</v>
      </c>
      <c r="H95" s="20" t="s">
        <v>95</v>
      </c>
      <c r="I95" s="28" t="n">
        <f aca="false">Narxlar!$C$6</f>
        <v>12</v>
      </c>
      <c r="J95" s="29" t="n">
        <f aca="false">G95*I95</f>
        <v>1.8</v>
      </c>
    </row>
    <row r="96" customFormat="false" ht="15" hidden="false" customHeight="false" outlineLevel="0" collapsed="false">
      <c r="A96" s="20" t="n">
        <v>70</v>
      </c>
      <c r="B96" s="6" t="s">
        <v>25</v>
      </c>
      <c r="C96" s="6" t="s">
        <v>96</v>
      </c>
      <c r="D96" s="6" t="s">
        <v>114</v>
      </c>
      <c r="E96" s="26" t="n">
        <v>1.75</v>
      </c>
      <c r="F96" s="7" t="n">
        <f aca="false">Narxlar!$C$13</f>
        <v>1</v>
      </c>
      <c r="G96" s="27" t="n">
        <f aca="false">E96*F96</f>
        <v>1.75</v>
      </c>
      <c r="H96" s="20" t="s">
        <v>95</v>
      </c>
      <c r="I96" s="28" t="n">
        <f aca="false">Narxlar!$C$6</f>
        <v>12</v>
      </c>
      <c r="J96" s="29" t="n">
        <f aca="false">G96*I96</f>
        <v>21</v>
      </c>
    </row>
    <row r="97" customFormat="false" ht="15" hidden="false" customHeight="false" outlineLevel="0" collapsed="false">
      <c r="A97" s="20" t="n">
        <v>71</v>
      </c>
      <c r="B97" s="6" t="s">
        <v>25</v>
      </c>
      <c r="C97" s="6" t="s">
        <v>96</v>
      </c>
      <c r="D97" s="6" t="s">
        <v>116</v>
      </c>
      <c r="E97" s="7" t="n">
        <f aca="false">Narxlar!$C$16</f>
        <v>0.9</v>
      </c>
      <c r="F97" s="7" t="n">
        <f aca="false">Narxlar!$C$15</f>
        <v>1.4</v>
      </c>
      <c r="G97" s="27" t="n">
        <f aca="false">E97*F97</f>
        <v>1.26</v>
      </c>
      <c r="H97" s="20" t="s">
        <v>95</v>
      </c>
      <c r="I97" s="28" t="n">
        <f aca="false">Narxlar!$C$6</f>
        <v>12</v>
      </c>
      <c r="J97" s="29" t="n">
        <f aca="false">G97*I97</f>
        <v>15.12</v>
      </c>
    </row>
    <row r="98" customFormat="false" ht="15" hidden="false" customHeight="false" outlineLevel="0" collapsed="false">
      <c r="A98" s="20" t="n">
        <v>72</v>
      </c>
      <c r="B98" s="6" t="s">
        <v>25</v>
      </c>
      <c r="C98" s="6" t="s">
        <v>52</v>
      </c>
      <c r="D98" s="6" t="s">
        <v>129</v>
      </c>
      <c r="E98" s="26" t="n">
        <v>5.6</v>
      </c>
      <c r="F98" s="7" t="n">
        <f aca="false">Narxlar!$C$17</f>
        <v>3.5</v>
      </c>
      <c r="G98" s="27" t="n">
        <f aca="false">E98*F98</f>
        <v>19.6</v>
      </c>
      <c r="H98" s="20" t="s">
        <v>95</v>
      </c>
      <c r="I98" s="28" t="n">
        <f aca="false">Narxlar!$C$7</f>
        <v>15.5</v>
      </c>
      <c r="J98" s="29" t="n">
        <f aca="false">G98*I98</f>
        <v>303.8</v>
      </c>
    </row>
    <row r="99" customFormat="false" ht="15" hidden="false" customHeight="false" outlineLevel="0" collapsed="false">
      <c r="A99" s="20" t="n">
        <v>73</v>
      </c>
      <c r="B99" s="6" t="s">
        <v>25</v>
      </c>
      <c r="C99" s="6" t="s">
        <v>52</v>
      </c>
      <c r="D99" s="6" t="s">
        <v>128</v>
      </c>
      <c r="E99" s="26" t="n">
        <v>5.6</v>
      </c>
      <c r="F99" s="7" t="n">
        <f aca="false">Narxlar!$C$17</f>
        <v>3.5</v>
      </c>
      <c r="G99" s="27" t="n">
        <f aca="false">E99*F99</f>
        <v>19.6</v>
      </c>
      <c r="H99" s="20" t="s">
        <v>95</v>
      </c>
      <c r="I99" s="28" t="n">
        <f aca="false">Narxlar!$C$7</f>
        <v>15.5</v>
      </c>
      <c r="J99" s="29" t="n">
        <f aca="false">G99*I99</f>
        <v>303.8</v>
      </c>
    </row>
    <row r="100" customFormat="false" ht="15" hidden="false" customHeight="false" outlineLevel="0" collapsed="false">
      <c r="A100" s="31"/>
      <c r="B100" s="31"/>
      <c r="C100" s="31"/>
      <c r="D100" s="11" t="s">
        <v>130</v>
      </c>
      <c r="E100" s="31"/>
      <c r="F100" s="31"/>
      <c r="G100" s="31"/>
      <c r="H100" s="31"/>
      <c r="I100" s="31"/>
      <c r="J100" s="32" t="n">
        <f aca="false">SUM(J90:J99)</f>
        <v>1284.77</v>
      </c>
    </row>
    <row r="102" customFormat="false" ht="15" hidden="false" customHeight="false" outlineLevel="0" collapsed="false">
      <c r="A102" s="4" t="s">
        <v>26</v>
      </c>
      <c r="B102" s="5"/>
      <c r="C102" s="5"/>
      <c r="D102" s="5"/>
      <c r="E102" s="5"/>
      <c r="F102" s="5"/>
      <c r="G102" s="5"/>
      <c r="H102" s="5"/>
      <c r="I102" s="5"/>
      <c r="J102" s="5"/>
    </row>
    <row r="103" customFormat="false" ht="15" hidden="false" customHeight="false" outlineLevel="0" collapsed="false">
      <c r="A103" s="20" t="n">
        <v>74</v>
      </c>
      <c r="B103" s="6" t="s">
        <v>26</v>
      </c>
      <c r="C103" s="6" t="s">
        <v>47</v>
      </c>
      <c r="D103" s="6" t="s">
        <v>109</v>
      </c>
      <c r="E103" s="26" t="n">
        <v>0.15</v>
      </c>
      <c r="F103" s="7" t="n">
        <f aca="false">Narxlar!$C$12</f>
        <v>2.5</v>
      </c>
      <c r="G103" s="27" t="n">
        <f aca="false">E103*F103</f>
        <v>0.375</v>
      </c>
      <c r="H103" s="20" t="s">
        <v>95</v>
      </c>
      <c r="I103" s="28" t="n">
        <f aca="false">Narxlar!$C$5</f>
        <v>55</v>
      </c>
      <c r="J103" s="29" t="n">
        <f aca="false">G103*I103</f>
        <v>20.625</v>
      </c>
    </row>
    <row r="104" customFormat="false" ht="15" hidden="false" customHeight="false" outlineLevel="0" collapsed="false">
      <c r="A104" s="20" t="n">
        <v>75</v>
      </c>
      <c r="B104" s="6" t="s">
        <v>26</v>
      </c>
      <c r="C104" s="6" t="s">
        <v>47</v>
      </c>
      <c r="D104" s="6" t="s">
        <v>109</v>
      </c>
      <c r="E104" s="26" t="n">
        <v>1.75</v>
      </c>
      <c r="F104" s="7" t="n">
        <f aca="false">Narxlar!$C$12</f>
        <v>2.5</v>
      </c>
      <c r="G104" s="27" t="n">
        <f aca="false">E104*F104</f>
        <v>4.375</v>
      </c>
      <c r="H104" s="20" t="s">
        <v>95</v>
      </c>
      <c r="I104" s="28" t="n">
        <f aca="false">Narxlar!$C$5</f>
        <v>55</v>
      </c>
      <c r="J104" s="29" t="n">
        <f aca="false">G104*I104</f>
        <v>240.625</v>
      </c>
    </row>
    <row r="105" customFormat="false" ht="15" hidden="false" customHeight="false" outlineLevel="0" collapsed="false">
      <c r="A105" s="20" t="n">
        <v>76</v>
      </c>
      <c r="B105" s="6" t="s">
        <v>26</v>
      </c>
      <c r="C105" s="6" t="s">
        <v>96</v>
      </c>
      <c r="D105" s="6" t="s">
        <v>131</v>
      </c>
      <c r="E105" s="26" t="n">
        <v>0.9</v>
      </c>
      <c r="F105" s="7" t="n">
        <f aca="false">Narxlar!$C$11</f>
        <v>3.5</v>
      </c>
      <c r="G105" s="27" t="n">
        <f aca="false">E105*F105</f>
        <v>3.15</v>
      </c>
      <c r="H105" s="20" t="s">
        <v>95</v>
      </c>
      <c r="I105" s="28" t="n">
        <f aca="false">Narxlar!$C$6</f>
        <v>12</v>
      </c>
      <c r="J105" s="29" t="n">
        <f aca="false">G105*I105</f>
        <v>37.8</v>
      </c>
    </row>
    <row r="106" customFormat="false" ht="15" hidden="false" customHeight="false" outlineLevel="0" collapsed="false">
      <c r="A106" s="20" t="n">
        <v>77</v>
      </c>
      <c r="B106" s="6" t="s">
        <v>26</v>
      </c>
      <c r="C106" s="6" t="s">
        <v>96</v>
      </c>
      <c r="D106" s="6" t="s">
        <v>127</v>
      </c>
      <c r="E106" s="26" t="n">
        <v>2.8</v>
      </c>
      <c r="F106" s="7" t="n">
        <f aca="false">Narxlar!$C$11</f>
        <v>3.5</v>
      </c>
      <c r="G106" s="27" t="n">
        <f aca="false">E106*F106</f>
        <v>9.8</v>
      </c>
      <c r="H106" s="20" t="s">
        <v>95</v>
      </c>
      <c r="I106" s="28" t="n">
        <f aca="false">Narxlar!$C$6</f>
        <v>12</v>
      </c>
      <c r="J106" s="29" t="n">
        <f aca="false">G106*I106</f>
        <v>117.6</v>
      </c>
    </row>
    <row r="107" customFormat="false" ht="15" hidden="false" customHeight="false" outlineLevel="0" collapsed="false">
      <c r="A107" s="20" t="n">
        <v>78</v>
      </c>
      <c r="B107" s="6" t="s">
        <v>26</v>
      </c>
      <c r="C107" s="6" t="s">
        <v>96</v>
      </c>
      <c r="D107" s="6" t="s">
        <v>132</v>
      </c>
      <c r="E107" s="26" t="n">
        <v>5.6</v>
      </c>
      <c r="F107" s="7" t="n">
        <f aca="false">Narxlar!$C$11</f>
        <v>3.5</v>
      </c>
      <c r="G107" s="27" t="n">
        <f aca="false">E107*F107</f>
        <v>19.6</v>
      </c>
      <c r="H107" s="20" t="s">
        <v>95</v>
      </c>
      <c r="I107" s="28" t="n">
        <f aca="false">Narxlar!$C$6</f>
        <v>12</v>
      </c>
      <c r="J107" s="29" t="n">
        <f aca="false">G107*I107</f>
        <v>235.2</v>
      </c>
    </row>
    <row r="108" customFormat="false" ht="15" hidden="false" customHeight="false" outlineLevel="0" collapsed="false">
      <c r="A108" s="20" t="n">
        <v>79</v>
      </c>
      <c r="B108" s="6" t="s">
        <v>26</v>
      </c>
      <c r="C108" s="6" t="s">
        <v>96</v>
      </c>
      <c r="D108" s="6" t="s">
        <v>114</v>
      </c>
      <c r="E108" s="26" t="n">
        <v>0.15</v>
      </c>
      <c r="F108" s="7" t="n">
        <f aca="false">Narxlar!$C$13</f>
        <v>1</v>
      </c>
      <c r="G108" s="27" t="n">
        <f aca="false">E108*F108</f>
        <v>0.15</v>
      </c>
      <c r="H108" s="20" t="s">
        <v>95</v>
      </c>
      <c r="I108" s="28" t="n">
        <f aca="false">Narxlar!$C$6</f>
        <v>12</v>
      </c>
      <c r="J108" s="29" t="n">
        <f aca="false">G108*I108</f>
        <v>1.8</v>
      </c>
    </row>
    <row r="109" customFormat="false" ht="15" hidden="false" customHeight="false" outlineLevel="0" collapsed="false">
      <c r="A109" s="20" t="n">
        <v>80</v>
      </c>
      <c r="B109" s="6" t="s">
        <v>26</v>
      </c>
      <c r="C109" s="6" t="s">
        <v>96</v>
      </c>
      <c r="D109" s="6" t="s">
        <v>114</v>
      </c>
      <c r="E109" s="26" t="n">
        <v>1.75</v>
      </c>
      <c r="F109" s="7" t="n">
        <f aca="false">Narxlar!$C$13</f>
        <v>1</v>
      </c>
      <c r="G109" s="27" t="n">
        <f aca="false">E109*F109</f>
        <v>1.75</v>
      </c>
      <c r="H109" s="20" t="s">
        <v>95</v>
      </c>
      <c r="I109" s="28" t="n">
        <f aca="false">Narxlar!$C$6</f>
        <v>12</v>
      </c>
      <c r="J109" s="29" t="n">
        <f aca="false">G109*I109</f>
        <v>21</v>
      </c>
    </row>
    <row r="110" customFormat="false" ht="15" hidden="false" customHeight="false" outlineLevel="0" collapsed="false">
      <c r="A110" s="20" t="n">
        <v>81</v>
      </c>
      <c r="B110" s="6" t="s">
        <v>26</v>
      </c>
      <c r="C110" s="6" t="s">
        <v>96</v>
      </c>
      <c r="D110" s="6" t="s">
        <v>116</v>
      </c>
      <c r="E110" s="7" t="n">
        <f aca="false">Narxlar!$C$16</f>
        <v>0.9</v>
      </c>
      <c r="F110" s="7" t="n">
        <f aca="false">Narxlar!$C$15</f>
        <v>1.4</v>
      </c>
      <c r="G110" s="27" t="n">
        <f aca="false">E110*F110</f>
        <v>1.26</v>
      </c>
      <c r="H110" s="20" t="s">
        <v>95</v>
      </c>
      <c r="I110" s="28" t="n">
        <f aca="false">Narxlar!$C$6</f>
        <v>12</v>
      </c>
      <c r="J110" s="29" t="n">
        <f aca="false">G110*I110</f>
        <v>15.12</v>
      </c>
    </row>
    <row r="111" customFormat="false" ht="15" hidden="false" customHeight="false" outlineLevel="0" collapsed="false">
      <c r="A111" s="20" t="n">
        <v>82</v>
      </c>
      <c r="B111" s="6" t="s">
        <v>26</v>
      </c>
      <c r="C111" s="6" t="s">
        <v>52</v>
      </c>
      <c r="D111" s="6" t="s">
        <v>132</v>
      </c>
      <c r="E111" s="26" t="n">
        <v>5.6</v>
      </c>
      <c r="F111" s="7" t="n">
        <f aca="false">Narxlar!$C$17</f>
        <v>3.5</v>
      </c>
      <c r="G111" s="27" t="n">
        <f aca="false">E111*F111</f>
        <v>19.6</v>
      </c>
      <c r="H111" s="20" t="s">
        <v>95</v>
      </c>
      <c r="I111" s="28" t="n">
        <f aca="false">Narxlar!$C$7</f>
        <v>15.5</v>
      </c>
      <c r="J111" s="29" t="n">
        <f aca="false">G111*I111</f>
        <v>303.8</v>
      </c>
    </row>
    <row r="112" customFormat="false" ht="15" hidden="false" customHeight="false" outlineLevel="0" collapsed="false">
      <c r="A112" s="20" t="n">
        <v>83</v>
      </c>
      <c r="B112" s="6" t="s">
        <v>26</v>
      </c>
      <c r="C112" s="6" t="s">
        <v>52</v>
      </c>
      <c r="D112" s="6" t="s">
        <v>133</v>
      </c>
      <c r="E112" s="26" t="n">
        <v>5.6</v>
      </c>
      <c r="F112" s="7" t="n">
        <f aca="false">Narxlar!$C$17</f>
        <v>3.5</v>
      </c>
      <c r="G112" s="27" t="n">
        <f aca="false">E112*F112</f>
        <v>19.6</v>
      </c>
      <c r="H112" s="20" t="s">
        <v>95</v>
      </c>
      <c r="I112" s="28" t="n">
        <f aca="false">Narxlar!$C$7</f>
        <v>15.5</v>
      </c>
      <c r="J112" s="29" t="n">
        <f aca="false">G112*I112</f>
        <v>303.8</v>
      </c>
    </row>
    <row r="113" customFormat="false" ht="15" hidden="false" customHeight="false" outlineLevel="0" collapsed="false">
      <c r="A113" s="31"/>
      <c r="B113" s="31"/>
      <c r="C113" s="31"/>
      <c r="D113" s="11" t="s">
        <v>134</v>
      </c>
      <c r="E113" s="31"/>
      <c r="F113" s="31"/>
      <c r="G113" s="31"/>
      <c r="H113" s="31"/>
      <c r="I113" s="31"/>
      <c r="J113" s="32" t="n">
        <f aca="false">SUM(J103:J112)</f>
        <v>1297.37</v>
      </c>
    </row>
    <row r="115" customFormat="false" ht="15" hidden="false" customHeight="false" outlineLevel="0" collapsed="false">
      <c r="A115" s="4" t="s">
        <v>27</v>
      </c>
      <c r="B115" s="5"/>
      <c r="C115" s="5"/>
      <c r="D115" s="5"/>
      <c r="E115" s="5"/>
      <c r="F115" s="5"/>
      <c r="G115" s="5"/>
      <c r="H115" s="5"/>
      <c r="I115" s="5"/>
      <c r="J115" s="5"/>
    </row>
    <row r="116" customFormat="false" ht="15" hidden="false" customHeight="false" outlineLevel="0" collapsed="false">
      <c r="A116" s="20" t="n">
        <v>84</v>
      </c>
      <c r="B116" s="6" t="s">
        <v>27</v>
      </c>
      <c r="C116" s="6" t="s">
        <v>96</v>
      </c>
      <c r="D116" s="6" t="s">
        <v>135</v>
      </c>
      <c r="E116" s="26" t="n">
        <v>0.9</v>
      </c>
      <c r="F116" s="7" t="n">
        <f aca="false">Narxlar!$C$11</f>
        <v>3.5</v>
      </c>
      <c r="G116" s="27" t="n">
        <f aca="false">E116*F116</f>
        <v>3.15</v>
      </c>
      <c r="H116" s="20" t="s">
        <v>95</v>
      </c>
      <c r="I116" s="28" t="n">
        <f aca="false">Narxlar!$C$6</f>
        <v>12</v>
      </c>
      <c r="J116" s="29" t="n">
        <f aca="false">G116*I116</f>
        <v>37.8</v>
      </c>
    </row>
    <row r="117" customFormat="false" ht="15" hidden="false" customHeight="false" outlineLevel="0" collapsed="false">
      <c r="A117" s="20" t="n">
        <v>85</v>
      </c>
      <c r="B117" s="6" t="s">
        <v>27</v>
      </c>
      <c r="C117" s="6" t="s">
        <v>96</v>
      </c>
      <c r="D117" s="6" t="s">
        <v>99</v>
      </c>
      <c r="E117" s="26" t="n">
        <v>0.15</v>
      </c>
      <c r="F117" s="7" t="n">
        <f aca="false">Narxlar!$C$11</f>
        <v>3.5</v>
      </c>
      <c r="G117" s="27" t="n">
        <f aca="false">E117*F117</f>
        <v>0.525</v>
      </c>
      <c r="H117" s="20" t="s">
        <v>95</v>
      </c>
      <c r="I117" s="28" t="n">
        <f aca="false">Narxlar!$C$6</f>
        <v>12</v>
      </c>
      <c r="J117" s="29" t="n">
        <f aca="false">G117*I117</f>
        <v>6.3</v>
      </c>
    </row>
    <row r="118" customFormat="false" ht="15" hidden="false" customHeight="false" outlineLevel="0" collapsed="false">
      <c r="A118" s="20" t="n">
        <v>86</v>
      </c>
      <c r="B118" s="6" t="s">
        <v>27</v>
      </c>
      <c r="C118" s="6" t="s">
        <v>96</v>
      </c>
      <c r="D118" s="6" t="s">
        <v>127</v>
      </c>
      <c r="E118" s="26" t="n">
        <v>1.8</v>
      </c>
      <c r="F118" s="7" t="n">
        <f aca="false">Narxlar!$C$11</f>
        <v>3.5</v>
      </c>
      <c r="G118" s="27" t="n">
        <f aca="false">E118*F118</f>
        <v>6.3</v>
      </c>
      <c r="H118" s="20" t="s">
        <v>95</v>
      </c>
      <c r="I118" s="28" t="n">
        <f aca="false">Narxlar!$C$6</f>
        <v>12</v>
      </c>
      <c r="J118" s="29" t="n">
        <f aca="false">G118*I118</f>
        <v>75.6</v>
      </c>
    </row>
    <row r="119" customFormat="false" ht="15" hidden="false" customHeight="false" outlineLevel="0" collapsed="false">
      <c r="A119" s="20" t="n">
        <v>87</v>
      </c>
      <c r="B119" s="6" t="s">
        <v>27</v>
      </c>
      <c r="C119" s="6" t="s">
        <v>96</v>
      </c>
      <c r="D119" s="6" t="s">
        <v>136</v>
      </c>
      <c r="E119" s="26" t="n">
        <v>5.6</v>
      </c>
      <c r="F119" s="7" t="n">
        <f aca="false">Narxlar!$C$11</f>
        <v>3.5</v>
      </c>
      <c r="G119" s="27" t="n">
        <f aca="false">E119*F119</f>
        <v>19.6</v>
      </c>
      <c r="H119" s="20" t="s">
        <v>95</v>
      </c>
      <c r="I119" s="28" t="n">
        <f aca="false">Narxlar!$C$6</f>
        <v>12</v>
      </c>
      <c r="J119" s="29" t="n">
        <f aca="false">G119*I119</f>
        <v>235.2</v>
      </c>
    </row>
    <row r="120" customFormat="false" ht="15" hidden="false" customHeight="false" outlineLevel="0" collapsed="false">
      <c r="A120" s="20" t="n">
        <v>88</v>
      </c>
      <c r="B120" s="6" t="s">
        <v>27</v>
      </c>
      <c r="C120" s="6" t="s">
        <v>96</v>
      </c>
      <c r="D120" s="6" t="s">
        <v>137</v>
      </c>
      <c r="E120" s="26" t="n">
        <v>2.85</v>
      </c>
      <c r="F120" s="7" t="n">
        <f aca="false">Narxlar!$C$11</f>
        <v>3.5</v>
      </c>
      <c r="G120" s="27" t="n">
        <f aca="false">E120*F120</f>
        <v>9.975</v>
      </c>
      <c r="H120" s="20" t="s">
        <v>95</v>
      </c>
      <c r="I120" s="28" t="n">
        <f aca="false">Narxlar!$C$6</f>
        <v>12</v>
      </c>
      <c r="J120" s="29" t="n">
        <f aca="false">G120*I120</f>
        <v>119.7</v>
      </c>
    </row>
    <row r="121" customFormat="false" ht="15" hidden="false" customHeight="false" outlineLevel="0" collapsed="false">
      <c r="A121" s="20" t="n">
        <v>89</v>
      </c>
      <c r="B121" s="6" t="s">
        <v>27</v>
      </c>
      <c r="C121" s="6" t="s">
        <v>96</v>
      </c>
      <c r="D121" s="6" t="s">
        <v>100</v>
      </c>
      <c r="E121" s="7" t="n">
        <f aca="false">Narxlar!$C$16</f>
        <v>0.9</v>
      </c>
      <c r="F121" s="7" t="n">
        <f aca="false">Narxlar!$C$15</f>
        <v>1.4</v>
      </c>
      <c r="G121" s="27" t="n">
        <f aca="false">E121*F121</f>
        <v>1.26</v>
      </c>
      <c r="H121" s="20" t="s">
        <v>95</v>
      </c>
      <c r="I121" s="28" t="n">
        <f aca="false">Narxlar!$C$6</f>
        <v>12</v>
      </c>
      <c r="J121" s="29" t="n">
        <f aca="false">G121*I121</f>
        <v>15.12</v>
      </c>
    </row>
    <row r="122" customFormat="false" ht="15" hidden="false" customHeight="false" outlineLevel="0" collapsed="false">
      <c r="A122" s="20" t="n">
        <v>90</v>
      </c>
      <c r="B122" s="6" t="s">
        <v>27</v>
      </c>
      <c r="C122" s="6" t="s">
        <v>52</v>
      </c>
      <c r="D122" s="6" t="s">
        <v>128</v>
      </c>
      <c r="E122" s="26" t="n">
        <v>5.6</v>
      </c>
      <c r="F122" s="7" t="n">
        <f aca="false">Narxlar!$C$17</f>
        <v>3.5</v>
      </c>
      <c r="G122" s="27" t="n">
        <f aca="false">E122*F122</f>
        <v>19.6</v>
      </c>
      <c r="H122" s="20" t="s">
        <v>95</v>
      </c>
      <c r="I122" s="28" t="n">
        <f aca="false">Narxlar!$C$7</f>
        <v>15.5</v>
      </c>
      <c r="J122" s="29" t="n">
        <f aca="false">G122*I122</f>
        <v>303.8</v>
      </c>
    </row>
    <row r="123" customFormat="false" ht="15" hidden="false" customHeight="false" outlineLevel="0" collapsed="false">
      <c r="A123" s="20" t="n">
        <v>91</v>
      </c>
      <c r="B123" s="6" t="s">
        <v>27</v>
      </c>
      <c r="C123" s="6" t="s">
        <v>52</v>
      </c>
      <c r="D123" s="6" t="s">
        <v>136</v>
      </c>
      <c r="E123" s="26" t="n">
        <v>5.6</v>
      </c>
      <c r="F123" s="7" t="n">
        <f aca="false">Narxlar!$C$17</f>
        <v>3.5</v>
      </c>
      <c r="G123" s="27" t="n">
        <f aca="false">E123*F123</f>
        <v>19.6</v>
      </c>
      <c r="H123" s="20" t="s">
        <v>95</v>
      </c>
      <c r="I123" s="28" t="n">
        <f aca="false">Narxlar!$C$7</f>
        <v>15.5</v>
      </c>
      <c r="J123" s="29" t="n">
        <f aca="false">G123*I123</f>
        <v>303.8</v>
      </c>
    </row>
    <row r="124" customFormat="false" ht="15" hidden="false" customHeight="false" outlineLevel="0" collapsed="false">
      <c r="A124" s="31"/>
      <c r="B124" s="31"/>
      <c r="C124" s="31"/>
      <c r="D124" s="11" t="s">
        <v>138</v>
      </c>
      <c r="E124" s="31"/>
      <c r="F124" s="31"/>
      <c r="G124" s="31"/>
      <c r="H124" s="31"/>
      <c r="I124" s="31"/>
      <c r="J124" s="32" t="n">
        <f aca="false">SUM(J116:J123)</f>
        <v>1097.32</v>
      </c>
    </row>
    <row r="126" customFormat="false" ht="15" hidden="false" customHeight="false" outlineLevel="0" collapsed="false">
      <c r="A126" s="4" t="s">
        <v>28</v>
      </c>
      <c r="B126" s="5"/>
      <c r="C126" s="5"/>
      <c r="D126" s="5"/>
      <c r="E126" s="5"/>
      <c r="F126" s="5"/>
      <c r="G126" s="5"/>
      <c r="H126" s="5"/>
      <c r="I126" s="5"/>
      <c r="J126" s="5"/>
    </row>
    <row r="127" customFormat="false" ht="15" hidden="false" customHeight="false" outlineLevel="0" collapsed="false">
      <c r="A127" s="20" t="n">
        <v>92</v>
      </c>
      <c r="B127" s="6" t="s">
        <v>28</v>
      </c>
      <c r="C127" s="6" t="s">
        <v>96</v>
      </c>
      <c r="D127" s="6" t="s">
        <v>139</v>
      </c>
      <c r="E127" s="26" t="n">
        <v>1</v>
      </c>
      <c r="F127" s="7" t="n">
        <f aca="false">Narxlar!$C$11</f>
        <v>3.5</v>
      </c>
      <c r="G127" s="27" t="n">
        <f aca="false">E127*F127</f>
        <v>3.5</v>
      </c>
      <c r="H127" s="20" t="s">
        <v>95</v>
      </c>
      <c r="I127" s="28" t="n">
        <f aca="false">Narxlar!$C$6</f>
        <v>12</v>
      </c>
      <c r="J127" s="29" t="n">
        <f aca="false">G127*I127</f>
        <v>42</v>
      </c>
    </row>
    <row r="128" customFormat="false" ht="15" hidden="false" customHeight="false" outlineLevel="0" collapsed="false">
      <c r="A128" s="20" t="n">
        <v>93</v>
      </c>
      <c r="B128" s="6" t="s">
        <v>28</v>
      </c>
      <c r="C128" s="6" t="s">
        <v>96</v>
      </c>
      <c r="D128" s="6" t="s">
        <v>99</v>
      </c>
      <c r="E128" s="26" t="n">
        <v>0.15</v>
      </c>
      <c r="F128" s="7" t="n">
        <f aca="false">Narxlar!$C$11</f>
        <v>3.5</v>
      </c>
      <c r="G128" s="27" t="n">
        <f aca="false">E128*F128</f>
        <v>0.525</v>
      </c>
      <c r="H128" s="20" t="s">
        <v>95</v>
      </c>
      <c r="I128" s="28" t="n">
        <f aca="false">Narxlar!$C$6</f>
        <v>12</v>
      </c>
      <c r="J128" s="29" t="n">
        <f aca="false">G128*I128</f>
        <v>6.3</v>
      </c>
    </row>
    <row r="129" customFormat="false" ht="15" hidden="false" customHeight="false" outlineLevel="0" collapsed="false">
      <c r="A129" s="20" t="n">
        <v>94</v>
      </c>
      <c r="B129" s="6" t="s">
        <v>28</v>
      </c>
      <c r="C129" s="6" t="s">
        <v>96</v>
      </c>
      <c r="D129" s="6" t="s">
        <v>127</v>
      </c>
      <c r="E129" s="26" t="n">
        <v>1.8</v>
      </c>
      <c r="F129" s="7" t="n">
        <f aca="false">Narxlar!$C$11</f>
        <v>3.5</v>
      </c>
      <c r="G129" s="27" t="n">
        <f aca="false">E129*F129</f>
        <v>6.3</v>
      </c>
      <c r="H129" s="20" t="s">
        <v>95</v>
      </c>
      <c r="I129" s="28" t="n">
        <f aca="false">Narxlar!$C$6</f>
        <v>12</v>
      </c>
      <c r="J129" s="29" t="n">
        <f aca="false">G129*I129</f>
        <v>75.6</v>
      </c>
    </row>
    <row r="130" customFormat="false" ht="15" hidden="false" customHeight="false" outlineLevel="0" collapsed="false">
      <c r="A130" s="20" t="n">
        <v>95</v>
      </c>
      <c r="B130" s="6" t="s">
        <v>28</v>
      </c>
      <c r="C130" s="6" t="s">
        <v>96</v>
      </c>
      <c r="D130" s="6" t="s">
        <v>133</v>
      </c>
      <c r="E130" s="26" t="n">
        <v>5.6</v>
      </c>
      <c r="F130" s="7" t="n">
        <f aca="false">Narxlar!$C$11</f>
        <v>3.5</v>
      </c>
      <c r="G130" s="27" t="n">
        <f aca="false">E130*F130</f>
        <v>19.6</v>
      </c>
      <c r="H130" s="20" t="s">
        <v>95</v>
      </c>
      <c r="I130" s="28" t="n">
        <f aca="false">Narxlar!$C$6</f>
        <v>12</v>
      </c>
      <c r="J130" s="29" t="n">
        <f aca="false">G130*I130</f>
        <v>235.2</v>
      </c>
    </row>
    <row r="131" customFormat="false" ht="15" hidden="false" customHeight="false" outlineLevel="0" collapsed="false">
      <c r="A131" s="20" t="n">
        <v>96</v>
      </c>
      <c r="B131" s="6" t="s">
        <v>28</v>
      </c>
      <c r="C131" s="6" t="s">
        <v>96</v>
      </c>
      <c r="D131" s="6" t="s">
        <v>137</v>
      </c>
      <c r="E131" s="26" t="n">
        <v>2.85</v>
      </c>
      <c r="F131" s="7" t="n">
        <f aca="false">Narxlar!$C$11</f>
        <v>3.5</v>
      </c>
      <c r="G131" s="27" t="n">
        <f aca="false">E131*F131</f>
        <v>9.975</v>
      </c>
      <c r="H131" s="20" t="s">
        <v>95</v>
      </c>
      <c r="I131" s="28" t="n">
        <f aca="false">Narxlar!$C$6</f>
        <v>12</v>
      </c>
      <c r="J131" s="29" t="n">
        <f aca="false">G131*I131</f>
        <v>119.7</v>
      </c>
    </row>
    <row r="132" customFormat="false" ht="15" hidden="false" customHeight="false" outlineLevel="0" collapsed="false">
      <c r="A132" s="20" t="n">
        <v>97</v>
      </c>
      <c r="B132" s="6" t="s">
        <v>28</v>
      </c>
      <c r="C132" s="6" t="s">
        <v>96</v>
      </c>
      <c r="D132" s="6" t="s">
        <v>100</v>
      </c>
      <c r="E132" s="7" t="n">
        <f aca="false">Narxlar!$C$16</f>
        <v>0.9</v>
      </c>
      <c r="F132" s="7" t="n">
        <f aca="false">Narxlar!$C$15</f>
        <v>1.4</v>
      </c>
      <c r="G132" s="27" t="n">
        <f aca="false">E132*F132</f>
        <v>1.26</v>
      </c>
      <c r="H132" s="20" t="s">
        <v>95</v>
      </c>
      <c r="I132" s="28" t="n">
        <f aca="false">Narxlar!$C$6</f>
        <v>12</v>
      </c>
      <c r="J132" s="29" t="n">
        <f aca="false">G132*I132</f>
        <v>15.12</v>
      </c>
    </row>
    <row r="133" customFormat="false" ht="15" hidden="false" customHeight="false" outlineLevel="0" collapsed="false">
      <c r="A133" s="20" t="n">
        <v>98</v>
      </c>
      <c r="B133" s="6" t="s">
        <v>28</v>
      </c>
      <c r="C133" s="6" t="s">
        <v>52</v>
      </c>
      <c r="D133" s="6" t="s">
        <v>133</v>
      </c>
      <c r="E133" s="26" t="n">
        <v>5.6</v>
      </c>
      <c r="F133" s="7" t="n">
        <f aca="false">Narxlar!$C$17</f>
        <v>3.5</v>
      </c>
      <c r="G133" s="27" t="n">
        <f aca="false">E133*F133</f>
        <v>19.6</v>
      </c>
      <c r="H133" s="20" t="s">
        <v>95</v>
      </c>
      <c r="I133" s="28" t="n">
        <f aca="false">Narxlar!$C$7</f>
        <v>15.5</v>
      </c>
      <c r="J133" s="29" t="n">
        <f aca="false">G133*I133</f>
        <v>303.8</v>
      </c>
    </row>
    <row r="134" customFormat="false" ht="15" hidden="false" customHeight="false" outlineLevel="0" collapsed="false">
      <c r="A134" s="20" t="n">
        <v>99</v>
      </c>
      <c r="B134" s="6" t="s">
        <v>28</v>
      </c>
      <c r="C134" s="6" t="s">
        <v>52</v>
      </c>
      <c r="D134" s="6" t="s">
        <v>140</v>
      </c>
      <c r="E134" s="26" t="n">
        <v>5.6</v>
      </c>
      <c r="F134" s="7" t="n">
        <f aca="false">Narxlar!$C$17</f>
        <v>3.5</v>
      </c>
      <c r="G134" s="27" t="n">
        <f aca="false">E134*F134</f>
        <v>19.6</v>
      </c>
      <c r="H134" s="20" t="s">
        <v>95</v>
      </c>
      <c r="I134" s="28" t="n">
        <f aca="false">Narxlar!$C$7</f>
        <v>15.5</v>
      </c>
      <c r="J134" s="29" t="n">
        <f aca="false">G134*I134</f>
        <v>303.8</v>
      </c>
    </row>
    <row r="135" customFormat="false" ht="15" hidden="false" customHeight="false" outlineLevel="0" collapsed="false">
      <c r="A135" s="31"/>
      <c r="B135" s="31"/>
      <c r="C135" s="31"/>
      <c r="D135" s="11" t="s">
        <v>141</v>
      </c>
      <c r="E135" s="31"/>
      <c r="F135" s="31"/>
      <c r="G135" s="31"/>
      <c r="H135" s="31"/>
      <c r="I135" s="31"/>
      <c r="J135" s="32" t="n">
        <f aca="false">SUM(J127:J134)</f>
        <v>1101.52</v>
      </c>
    </row>
    <row r="137" customFormat="false" ht="15" hidden="false" customHeight="false" outlineLevel="0" collapsed="false">
      <c r="A137" s="4" t="s">
        <v>29</v>
      </c>
      <c r="B137" s="5"/>
      <c r="C137" s="5"/>
      <c r="D137" s="5"/>
      <c r="E137" s="5"/>
      <c r="F137" s="5"/>
      <c r="G137" s="5"/>
      <c r="H137" s="5"/>
      <c r="I137" s="5"/>
      <c r="J137" s="5"/>
    </row>
    <row r="138" customFormat="false" ht="15" hidden="false" customHeight="false" outlineLevel="0" collapsed="false">
      <c r="A138" s="20" t="n">
        <v>100</v>
      </c>
      <c r="B138" s="6" t="s">
        <v>29</v>
      </c>
      <c r="C138" s="6" t="s">
        <v>52</v>
      </c>
      <c r="D138" s="6" t="s">
        <v>142</v>
      </c>
      <c r="E138" s="26" t="n">
        <v>5.95</v>
      </c>
      <c r="F138" s="7" t="n">
        <f aca="false">Narxlar!$C$17</f>
        <v>3.5</v>
      </c>
      <c r="G138" s="27" t="n">
        <f aca="false">E138*F138</f>
        <v>20.825</v>
      </c>
      <c r="H138" s="20" t="s">
        <v>95</v>
      </c>
      <c r="I138" s="28" t="n">
        <f aca="false">Narxlar!$C$7</f>
        <v>15.5</v>
      </c>
      <c r="J138" s="29" t="n">
        <f aca="false">G138*I138</f>
        <v>322.7875</v>
      </c>
    </row>
    <row r="139" customFormat="false" ht="15" hidden="false" customHeight="false" outlineLevel="0" collapsed="false">
      <c r="A139" s="20" t="n">
        <v>101</v>
      </c>
      <c r="B139" s="6" t="s">
        <v>29</v>
      </c>
      <c r="C139" s="6" t="s">
        <v>52</v>
      </c>
      <c r="D139" s="6" t="s">
        <v>143</v>
      </c>
      <c r="E139" s="7" t="n">
        <f aca="false">Narxlar!$C$16</f>
        <v>0.9</v>
      </c>
      <c r="F139" s="7" t="n">
        <f aca="false">Narxlar!$C$14</f>
        <v>2.1</v>
      </c>
      <c r="G139" s="27" t="n">
        <f aca="false">-E139*F139</f>
        <v>-1.89</v>
      </c>
      <c r="H139" s="20" t="s">
        <v>95</v>
      </c>
      <c r="I139" s="28" t="n">
        <f aca="false">Narxlar!$C$7</f>
        <v>15.5</v>
      </c>
      <c r="J139" s="29" t="n">
        <f aca="false">G139*I139</f>
        <v>-29.295</v>
      </c>
    </row>
    <row r="140" customFormat="false" ht="15" hidden="false" customHeight="false" outlineLevel="0" collapsed="false">
      <c r="A140" s="20" t="n">
        <v>102</v>
      </c>
      <c r="B140" s="6" t="s">
        <v>29</v>
      </c>
      <c r="C140" s="6" t="s">
        <v>52</v>
      </c>
      <c r="D140" s="6" t="s">
        <v>144</v>
      </c>
      <c r="E140" s="26" t="n">
        <v>2.95</v>
      </c>
      <c r="F140" s="7" t="n">
        <f aca="false">Narxlar!$C$17</f>
        <v>3.5</v>
      </c>
      <c r="G140" s="27" t="n">
        <f aca="false">E140*F140</f>
        <v>10.325</v>
      </c>
      <c r="H140" s="20" t="s">
        <v>95</v>
      </c>
      <c r="I140" s="28" t="n">
        <f aca="false">Narxlar!$C$7</f>
        <v>15.5</v>
      </c>
      <c r="J140" s="29" t="n">
        <f aca="false">G140*I140</f>
        <v>160.0375</v>
      </c>
    </row>
    <row r="141" customFormat="false" ht="15" hidden="false" customHeight="false" outlineLevel="0" collapsed="false">
      <c r="A141" s="31"/>
      <c r="B141" s="31"/>
      <c r="C141" s="31"/>
      <c r="D141" s="11" t="s">
        <v>145</v>
      </c>
      <c r="E141" s="31"/>
      <c r="F141" s="31"/>
      <c r="G141" s="31"/>
      <c r="H141" s="31"/>
      <c r="I141" s="31"/>
      <c r="J141" s="32" t="n">
        <f aca="false">SUM(J138:J140)</f>
        <v>453.53</v>
      </c>
    </row>
    <row r="143" customFormat="false" ht="15" hidden="false" customHeight="false" outlineLevel="0" collapsed="false">
      <c r="A143" s="4" t="s">
        <v>32</v>
      </c>
      <c r="B143" s="5"/>
      <c r="C143" s="5"/>
      <c r="D143" s="5"/>
      <c r="E143" s="5"/>
      <c r="F143" s="5"/>
      <c r="G143" s="5"/>
      <c r="H143" s="5"/>
      <c r="I143" s="5"/>
      <c r="J143" s="5"/>
    </row>
    <row r="144" customFormat="false" ht="15" hidden="false" customHeight="false" outlineLevel="0" collapsed="false">
      <c r="A144" s="20" t="n">
        <v>103</v>
      </c>
      <c r="B144" s="6" t="s">
        <v>32</v>
      </c>
      <c r="C144" s="6" t="s">
        <v>96</v>
      </c>
      <c r="D144" s="6" t="s">
        <v>146</v>
      </c>
      <c r="E144" s="26" t="n">
        <v>4.6</v>
      </c>
      <c r="F144" s="7" t="n">
        <f aca="false">Narxlar!$C$13</f>
        <v>1</v>
      </c>
      <c r="G144" s="27" t="n">
        <f aca="false">E144*F144</f>
        <v>4.6</v>
      </c>
      <c r="H144" s="20" t="s">
        <v>95</v>
      </c>
      <c r="I144" s="28" t="n">
        <f aca="false">Narxlar!$C$6</f>
        <v>12</v>
      </c>
      <c r="J144" s="29" t="n">
        <f aca="false">G144*I144</f>
        <v>55.2</v>
      </c>
    </row>
    <row r="145" customFormat="false" ht="15" hidden="false" customHeight="false" outlineLevel="0" collapsed="false">
      <c r="A145" s="20" t="n">
        <v>104</v>
      </c>
      <c r="B145" s="6" t="s">
        <v>32</v>
      </c>
      <c r="C145" s="6" t="s">
        <v>96</v>
      </c>
      <c r="D145" s="6" t="s">
        <v>147</v>
      </c>
      <c r="E145" s="26" t="n">
        <v>0.4</v>
      </c>
      <c r="F145" s="7" t="n">
        <f aca="false">Narxlar!$C$11</f>
        <v>3.5</v>
      </c>
      <c r="G145" s="27" t="n">
        <f aca="false">E145*F145</f>
        <v>1.4</v>
      </c>
      <c r="H145" s="20" t="s">
        <v>95</v>
      </c>
      <c r="I145" s="28" t="n">
        <f aca="false">Narxlar!$C$6</f>
        <v>12</v>
      </c>
      <c r="J145" s="29" t="n">
        <f aca="false">G145*I145</f>
        <v>16.8</v>
      </c>
    </row>
    <row r="146" customFormat="false" ht="15" hidden="false" customHeight="false" outlineLevel="0" collapsed="false">
      <c r="A146" s="20" t="n">
        <v>105</v>
      </c>
      <c r="B146" s="6" t="s">
        <v>32</v>
      </c>
      <c r="C146" s="6" t="s">
        <v>96</v>
      </c>
      <c r="D146" s="6" t="s">
        <v>148</v>
      </c>
      <c r="E146" s="26" t="n">
        <v>4.7</v>
      </c>
      <c r="F146" s="7" t="n">
        <f aca="false">Narxlar!$C$13</f>
        <v>1</v>
      </c>
      <c r="G146" s="27" t="n">
        <f aca="false">E146*F146</f>
        <v>4.7</v>
      </c>
      <c r="H146" s="20" t="s">
        <v>95</v>
      </c>
      <c r="I146" s="28" t="n">
        <f aca="false">Narxlar!$C$6</f>
        <v>12</v>
      </c>
      <c r="J146" s="29" t="n">
        <f aca="false">G146*I146</f>
        <v>56.4</v>
      </c>
    </row>
    <row r="147" customFormat="false" ht="15" hidden="false" customHeight="false" outlineLevel="0" collapsed="false">
      <c r="A147" s="20" t="n">
        <v>106</v>
      </c>
      <c r="B147" s="6" t="s">
        <v>32</v>
      </c>
      <c r="C147" s="6" t="s">
        <v>96</v>
      </c>
      <c r="D147" s="6" t="s">
        <v>149</v>
      </c>
      <c r="E147" s="26" t="n">
        <v>0.55</v>
      </c>
      <c r="F147" s="7" t="n">
        <f aca="false">Narxlar!$C$11</f>
        <v>3.5</v>
      </c>
      <c r="G147" s="27" t="n">
        <f aca="false">E147*F147</f>
        <v>1.925</v>
      </c>
      <c r="H147" s="20" t="s">
        <v>95</v>
      </c>
      <c r="I147" s="28" t="n">
        <f aca="false">Narxlar!$C$6</f>
        <v>12</v>
      </c>
      <c r="J147" s="29" t="n">
        <f aca="false">G147*I147</f>
        <v>23.1</v>
      </c>
    </row>
    <row r="148" customFormat="false" ht="15" hidden="false" customHeight="false" outlineLevel="0" collapsed="false">
      <c r="A148" s="20" t="n">
        <v>107</v>
      </c>
      <c r="B148" s="6" t="s">
        <v>32</v>
      </c>
      <c r="C148" s="6" t="s">
        <v>96</v>
      </c>
      <c r="D148" s="6" t="s">
        <v>150</v>
      </c>
      <c r="E148" s="26" t="n">
        <v>0.1</v>
      </c>
      <c r="F148" s="7" t="n">
        <f aca="false">Narxlar!$C$11</f>
        <v>3.5</v>
      </c>
      <c r="G148" s="27" t="n">
        <f aca="false">E148*F148</f>
        <v>0.35</v>
      </c>
      <c r="H148" s="20" t="s">
        <v>95</v>
      </c>
      <c r="I148" s="28" t="n">
        <f aca="false">Narxlar!$C$6</f>
        <v>12</v>
      </c>
      <c r="J148" s="29" t="n">
        <f aca="false">G148*I148</f>
        <v>4.2</v>
      </c>
    </row>
    <row r="149" customFormat="false" ht="15" hidden="false" customHeight="false" outlineLevel="0" collapsed="false">
      <c r="A149" s="20" t="n">
        <v>108</v>
      </c>
      <c r="B149" s="6" t="s">
        <v>32</v>
      </c>
      <c r="C149" s="6" t="s">
        <v>96</v>
      </c>
      <c r="D149" s="6" t="s">
        <v>151</v>
      </c>
      <c r="E149" s="26" t="n">
        <v>1.5</v>
      </c>
      <c r="F149" s="7" t="n">
        <f aca="false">Narxlar!$C$13</f>
        <v>1</v>
      </c>
      <c r="G149" s="27" t="n">
        <f aca="false">E149*F149</f>
        <v>1.5</v>
      </c>
      <c r="H149" s="20" t="s">
        <v>95</v>
      </c>
      <c r="I149" s="28" t="n">
        <f aca="false">Narxlar!$C$6</f>
        <v>12</v>
      </c>
      <c r="J149" s="29" t="n">
        <f aca="false">G149*I149</f>
        <v>18</v>
      </c>
    </row>
    <row r="150" customFormat="false" ht="15" hidden="false" customHeight="false" outlineLevel="0" collapsed="false">
      <c r="A150" s="20" t="n">
        <v>109</v>
      </c>
      <c r="B150" s="6" t="s">
        <v>32</v>
      </c>
      <c r="C150" s="6" t="s">
        <v>96</v>
      </c>
      <c r="D150" s="6" t="s">
        <v>152</v>
      </c>
      <c r="E150" s="26" t="n">
        <v>6.05</v>
      </c>
      <c r="F150" s="7" t="n">
        <f aca="false">Narxlar!$C$11</f>
        <v>3.5</v>
      </c>
      <c r="G150" s="27" t="n">
        <f aca="false">E150*F150</f>
        <v>21.175</v>
      </c>
      <c r="H150" s="20" t="s">
        <v>95</v>
      </c>
      <c r="I150" s="28" t="n">
        <f aca="false">Narxlar!$C$6</f>
        <v>12</v>
      </c>
      <c r="J150" s="29" t="n">
        <f aca="false">G150*I150</f>
        <v>254.1</v>
      </c>
    </row>
    <row r="151" customFormat="false" ht="15" hidden="false" customHeight="false" outlineLevel="0" collapsed="false">
      <c r="A151" s="20" t="n">
        <v>110</v>
      </c>
      <c r="B151" s="6" t="s">
        <v>32</v>
      </c>
      <c r="C151" s="6" t="s">
        <v>96</v>
      </c>
      <c r="D151" s="6" t="s">
        <v>153</v>
      </c>
      <c r="E151" s="26" t="n">
        <v>2.05</v>
      </c>
      <c r="F151" s="7" t="n">
        <f aca="false">Narxlar!$C$11</f>
        <v>3.5</v>
      </c>
      <c r="G151" s="27" t="n">
        <f aca="false">E151*F151</f>
        <v>7.175</v>
      </c>
      <c r="H151" s="20" t="s">
        <v>95</v>
      </c>
      <c r="I151" s="28" t="n">
        <f aca="false">Narxlar!$C$6</f>
        <v>12</v>
      </c>
      <c r="J151" s="29" t="n">
        <f aca="false">G151*I151</f>
        <v>86.1</v>
      </c>
    </row>
    <row r="152" customFormat="false" ht="15" hidden="false" customHeight="false" outlineLevel="0" collapsed="false">
      <c r="A152" s="20" t="n">
        <v>111</v>
      </c>
      <c r="B152" s="6" t="s">
        <v>32</v>
      </c>
      <c r="C152" s="6" t="s">
        <v>96</v>
      </c>
      <c r="D152" s="6" t="s">
        <v>136</v>
      </c>
      <c r="E152" s="26" t="n">
        <v>2</v>
      </c>
      <c r="F152" s="7" t="n">
        <f aca="false">Narxlar!$C$11</f>
        <v>3.5</v>
      </c>
      <c r="G152" s="27" t="n">
        <f aca="false">E152*F152</f>
        <v>7</v>
      </c>
      <c r="H152" s="20" t="s">
        <v>95</v>
      </c>
      <c r="I152" s="28" t="n">
        <f aca="false">Narxlar!$C$6</f>
        <v>12</v>
      </c>
      <c r="J152" s="29" t="n">
        <f aca="false">G152*I152</f>
        <v>84</v>
      </c>
    </row>
    <row r="153" customFormat="false" ht="15" hidden="false" customHeight="false" outlineLevel="0" collapsed="false">
      <c r="A153" s="20" t="n">
        <v>112</v>
      </c>
      <c r="B153" s="6" t="s">
        <v>32</v>
      </c>
      <c r="C153" s="6" t="s">
        <v>96</v>
      </c>
      <c r="D153" s="6" t="s">
        <v>151</v>
      </c>
      <c r="E153" s="26" t="n">
        <v>1.15</v>
      </c>
      <c r="F153" s="7" t="n">
        <f aca="false">Narxlar!$C$13</f>
        <v>1</v>
      </c>
      <c r="G153" s="27" t="n">
        <f aca="false">E153*F153</f>
        <v>1.15</v>
      </c>
      <c r="H153" s="20" t="s">
        <v>95</v>
      </c>
      <c r="I153" s="28" t="n">
        <f aca="false">Narxlar!$C$6</f>
        <v>12</v>
      </c>
      <c r="J153" s="29" t="n">
        <f aca="false">G153*I153</f>
        <v>13.8</v>
      </c>
    </row>
    <row r="154" customFormat="false" ht="15" hidden="false" customHeight="false" outlineLevel="0" collapsed="false">
      <c r="A154" s="20" t="n">
        <v>113</v>
      </c>
      <c r="B154" s="6" t="s">
        <v>32</v>
      </c>
      <c r="C154" s="6" t="s">
        <v>96</v>
      </c>
      <c r="D154" s="6" t="s">
        <v>154</v>
      </c>
      <c r="E154" s="7" t="n">
        <f aca="false">Narxlar!$C$16</f>
        <v>0.9</v>
      </c>
      <c r="F154" s="7" t="n">
        <f aca="false">Narxlar!$C$15</f>
        <v>1.4</v>
      </c>
      <c r="G154" s="27" t="n">
        <f aca="false">E154*F154</f>
        <v>1.26</v>
      </c>
      <c r="H154" s="20" t="s">
        <v>95</v>
      </c>
      <c r="I154" s="28" t="n">
        <f aca="false">Narxlar!$C$6</f>
        <v>12</v>
      </c>
      <c r="J154" s="29" t="n">
        <f aca="false">G154*I154</f>
        <v>15.12</v>
      </c>
    </row>
    <row r="155" customFormat="false" ht="15" hidden="false" customHeight="false" outlineLevel="0" collapsed="false">
      <c r="A155" s="20" t="n">
        <v>114</v>
      </c>
      <c r="B155" s="6" t="s">
        <v>32</v>
      </c>
      <c r="C155" s="6" t="s">
        <v>96</v>
      </c>
      <c r="D155" s="6" t="s">
        <v>155</v>
      </c>
      <c r="E155" s="7" t="n">
        <f aca="false">Narxlar!$C$16</f>
        <v>0.9</v>
      </c>
      <c r="F155" s="7" t="n">
        <f aca="false">Narxlar!$C$15</f>
        <v>1.4</v>
      </c>
      <c r="G155" s="27" t="n">
        <f aca="false">E155*F155</f>
        <v>1.26</v>
      </c>
      <c r="H155" s="20" t="s">
        <v>95</v>
      </c>
      <c r="I155" s="28" t="n">
        <f aca="false">Narxlar!$C$6</f>
        <v>12</v>
      </c>
      <c r="J155" s="29" t="n">
        <f aca="false">G155*I155</f>
        <v>15.12</v>
      </c>
    </row>
    <row r="156" customFormat="false" ht="15" hidden="false" customHeight="false" outlineLevel="0" collapsed="false">
      <c r="A156" s="20" t="n">
        <v>115</v>
      </c>
      <c r="B156" s="6" t="s">
        <v>32</v>
      </c>
      <c r="C156" s="6" t="s">
        <v>96</v>
      </c>
      <c r="D156" s="6" t="s">
        <v>156</v>
      </c>
      <c r="E156" s="7" t="n">
        <f aca="false">Narxlar!$C$16</f>
        <v>0.9</v>
      </c>
      <c r="F156" s="7" t="n">
        <f aca="false">Narxlar!$C$15</f>
        <v>1.4</v>
      </c>
      <c r="G156" s="27" t="n">
        <f aca="false">E156*F156</f>
        <v>1.26</v>
      </c>
      <c r="H156" s="20" t="s">
        <v>95</v>
      </c>
      <c r="I156" s="28" t="n">
        <f aca="false">Narxlar!$C$6</f>
        <v>12</v>
      </c>
      <c r="J156" s="29" t="n">
        <f aca="false">G156*I156</f>
        <v>15.12</v>
      </c>
    </row>
    <row r="157" customFormat="false" ht="15" hidden="false" customHeight="false" outlineLevel="0" collapsed="false">
      <c r="A157" s="20" t="n">
        <v>116</v>
      </c>
      <c r="B157" s="6" t="s">
        <v>32</v>
      </c>
      <c r="C157" s="6" t="s">
        <v>96</v>
      </c>
      <c r="D157" s="6" t="s">
        <v>157</v>
      </c>
      <c r="E157" s="7" t="n">
        <f aca="false">Narxlar!$C$16</f>
        <v>0.9</v>
      </c>
      <c r="F157" s="7" t="n">
        <f aca="false">Narxlar!$C$15</f>
        <v>1.4</v>
      </c>
      <c r="G157" s="27" t="n">
        <f aca="false">E157*F157</f>
        <v>1.26</v>
      </c>
      <c r="H157" s="20" t="s">
        <v>95</v>
      </c>
      <c r="I157" s="28" t="n">
        <f aca="false">Narxlar!$C$6</f>
        <v>12</v>
      </c>
      <c r="J157" s="29" t="n">
        <f aca="false">G157*I157</f>
        <v>15.12</v>
      </c>
    </row>
    <row r="158" customFormat="false" ht="15" hidden="false" customHeight="false" outlineLevel="0" collapsed="false">
      <c r="A158" s="20" t="n">
        <v>117</v>
      </c>
      <c r="B158" s="6" t="s">
        <v>32</v>
      </c>
      <c r="C158" s="6" t="s">
        <v>96</v>
      </c>
      <c r="D158" s="6" t="s">
        <v>158</v>
      </c>
      <c r="E158" s="7" t="n">
        <f aca="false">Narxlar!$C$16</f>
        <v>0.9</v>
      </c>
      <c r="F158" s="7" t="n">
        <f aca="false">Narxlar!$C$15</f>
        <v>1.4</v>
      </c>
      <c r="G158" s="27" t="n">
        <f aca="false">E158*F158</f>
        <v>1.26</v>
      </c>
      <c r="H158" s="20" t="s">
        <v>95</v>
      </c>
      <c r="I158" s="28" t="n">
        <f aca="false">Narxlar!$C$6</f>
        <v>12</v>
      </c>
      <c r="J158" s="29" t="n">
        <f aca="false">G158*I158</f>
        <v>15.12</v>
      </c>
    </row>
    <row r="159" customFormat="false" ht="15" hidden="false" customHeight="false" outlineLevel="0" collapsed="false">
      <c r="A159" s="31"/>
      <c r="B159" s="31"/>
      <c r="C159" s="31"/>
      <c r="D159" s="11" t="s">
        <v>159</v>
      </c>
      <c r="E159" s="31"/>
      <c r="F159" s="31"/>
      <c r="G159" s="31"/>
      <c r="H159" s="31"/>
      <c r="I159" s="31"/>
      <c r="J159" s="32" t="n">
        <f aca="false">SUM(J144:J158)</f>
        <v>687.3</v>
      </c>
    </row>
    <row r="161" customFormat="false" ht="15" hidden="false" customHeight="false" outlineLevel="0" collapsed="false">
      <c r="A161" s="4" t="s">
        <v>33</v>
      </c>
      <c r="B161" s="5"/>
      <c r="C161" s="5"/>
      <c r="D161" s="5"/>
      <c r="E161" s="5"/>
      <c r="F161" s="5"/>
      <c r="G161" s="5"/>
      <c r="H161" s="5"/>
      <c r="I161" s="5"/>
      <c r="J161" s="5"/>
    </row>
    <row r="162" customFormat="false" ht="15" hidden="false" customHeight="false" outlineLevel="0" collapsed="false">
      <c r="A162" s="20" t="n">
        <v>118</v>
      </c>
      <c r="B162" s="6" t="s">
        <v>33</v>
      </c>
      <c r="C162" s="6" t="s">
        <v>96</v>
      </c>
      <c r="D162" s="6" t="s">
        <v>160</v>
      </c>
      <c r="E162" s="26" t="n">
        <v>0.15</v>
      </c>
      <c r="F162" s="7" t="n">
        <f aca="false">Narxlar!$C$13</f>
        <v>1</v>
      </c>
      <c r="G162" s="27" t="n">
        <f aca="false">E162*F162</f>
        <v>0.15</v>
      </c>
      <c r="H162" s="20" t="s">
        <v>95</v>
      </c>
      <c r="I162" s="28" t="n">
        <f aca="false">Narxlar!$C$6</f>
        <v>12</v>
      </c>
      <c r="J162" s="29" t="n">
        <f aca="false">G162*I162</f>
        <v>1.8</v>
      </c>
    </row>
    <row r="163" customFormat="false" ht="15" hidden="false" customHeight="false" outlineLevel="0" collapsed="false">
      <c r="A163" s="20" t="n">
        <v>119</v>
      </c>
      <c r="B163" s="6" t="s">
        <v>33</v>
      </c>
      <c r="C163" s="6" t="s">
        <v>96</v>
      </c>
      <c r="D163" s="6" t="s">
        <v>160</v>
      </c>
      <c r="E163" s="26" t="n">
        <v>1.75</v>
      </c>
      <c r="F163" s="7" t="n">
        <f aca="false">Narxlar!$C$13</f>
        <v>1</v>
      </c>
      <c r="G163" s="27" t="n">
        <f aca="false">E163*F163</f>
        <v>1.75</v>
      </c>
      <c r="H163" s="20" t="s">
        <v>95</v>
      </c>
      <c r="I163" s="28" t="n">
        <f aca="false">Narxlar!$C$6</f>
        <v>12</v>
      </c>
      <c r="J163" s="29" t="n">
        <f aca="false">G163*I163</f>
        <v>21</v>
      </c>
    </row>
    <row r="164" customFormat="false" ht="15" hidden="false" customHeight="false" outlineLevel="0" collapsed="false">
      <c r="A164" s="20" t="n">
        <v>120</v>
      </c>
      <c r="B164" s="6" t="s">
        <v>33</v>
      </c>
      <c r="C164" s="6" t="s">
        <v>96</v>
      </c>
      <c r="D164" s="6" t="s">
        <v>161</v>
      </c>
      <c r="E164" s="26" t="n">
        <v>0.15</v>
      </c>
      <c r="F164" s="7" t="n">
        <f aca="false">Narxlar!$C$13</f>
        <v>1</v>
      </c>
      <c r="G164" s="27" t="n">
        <f aca="false">E164*F164</f>
        <v>0.15</v>
      </c>
      <c r="H164" s="20" t="s">
        <v>95</v>
      </c>
      <c r="I164" s="28" t="n">
        <f aca="false">Narxlar!$C$6</f>
        <v>12</v>
      </c>
      <c r="J164" s="29" t="n">
        <f aca="false">G164*I164</f>
        <v>1.8</v>
      </c>
    </row>
    <row r="165" customFormat="false" ht="15" hidden="false" customHeight="false" outlineLevel="0" collapsed="false">
      <c r="A165" s="20" t="n">
        <v>121</v>
      </c>
      <c r="B165" s="6" t="s">
        <v>33</v>
      </c>
      <c r="C165" s="6" t="s">
        <v>96</v>
      </c>
      <c r="D165" s="6" t="s">
        <v>161</v>
      </c>
      <c r="E165" s="26" t="n">
        <v>1.75</v>
      </c>
      <c r="F165" s="7" t="n">
        <f aca="false">Narxlar!$C$13</f>
        <v>1</v>
      </c>
      <c r="G165" s="27" t="n">
        <f aca="false">E165*F165</f>
        <v>1.75</v>
      </c>
      <c r="H165" s="20" t="s">
        <v>95</v>
      </c>
      <c r="I165" s="28" t="n">
        <f aca="false">Narxlar!$C$6</f>
        <v>12</v>
      </c>
      <c r="J165" s="29" t="n">
        <f aca="false">G165*I165</f>
        <v>21</v>
      </c>
    </row>
    <row r="166" customFormat="false" ht="15" hidden="false" customHeight="false" outlineLevel="0" collapsed="false">
      <c r="A166" s="20" t="n">
        <v>122</v>
      </c>
      <c r="B166" s="6" t="s">
        <v>33</v>
      </c>
      <c r="C166" s="6" t="s">
        <v>96</v>
      </c>
      <c r="D166" s="6" t="s">
        <v>162</v>
      </c>
      <c r="E166" s="26" t="n">
        <v>6.3</v>
      </c>
      <c r="F166" s="7" t="n">
        <f aca="false">Narxlar!$C$11</f>
        <v>3.5</v>
      </c>
      <c r="G166" s="27" t="n">
        <f aca="false">E166*F166</f>
        <v>22.05</v>
      </c>
      <c r="H166" s="20" t="s">
        <v>95</v>
      </c>
      <c r="I166" s="28" t="n">
        <f aca="false">Narxlar!$C$6</f>
        <v>12</v>
      </c>
      <c r="J166" s="29" t="n">
        <f aca="false">G166*I166</f>
        <v>264.6</v>
      </c>
    </row>
    <row r="167" customFormat="false" ht="15" hidden="false" customHeight="false" outlineLevel="0" collapsed="false">
      <c r="A167" s="20" t="n">
        <v>123</v>
      </c>
      <c r="B167" s="6" t="s">
        <v>33</v>
      </c>
      <c r="C167" s="6" t="s">
        <v>96</v>
      </c>
      <c r="D167" s="6" t="s">
        <v>163</v>
      </c>
      <c r="E167" s="26" t="n">
        <v>0.15</v>
      </c>
      <c r="F167" s="7" t="n">
        <f aca="false">Narxlar!$C$11</f>
        <v>3.5</v>
      </c>
      <c r="G167" s="27" t="n">
        <f aca="false">E167*F167</f>
        <v>0.525</v>
      </c>
      <c r="H167" s="20" t="s">
        <v>95</v>
      </c>
      <c r="I167" s="28" t="n">
        <f aca="false">Narxlar!$C$6</f>
        <v>12</v>
      </c>
      <c r="J167" s="29" t="n">
        <f aca="false">G167*I167</f>
        <v>6.3</v>
      </c>
    </row>
    <row r="168" customFormat="false" ht="15" hidden="false" customHeight="false" outlineLevel="0" collapsed="false">
      <c r="A168" s="20" t="n">
        <v>124</v>
      </c>
      <c r="B168" s="6" t="s">
        <v>33</v>
      </c>
      <c r="C168" s="6" t="s">
        <v>96</v>
      </c>
      <c r="D168" s="6" t="s">
        <v>151</v>
      </c>
      <c r="E168" s="26" t="n">
        <v>1.5</v>
      </c>
      <c r="F168" s="7" t="n">
        <f aca="false">Narxlar!$C$13</f>
        <v>1</v>
      </c>
      <c r="G168" s="27" t="n">
        <f aca="false">E168*F168</f>
        <v>1.5</v>
      </c>
      <c r="H168" s="20" t="s">
        <v>95</v>
      </c>
      <c r="I168" s="28" t="n">
        <f aca="false">Narxlar!$C$6</f>
        <v>12</v>
      </c>
      <c r="J168" s="29" t="n">
        <f aca="false">G168*I168</f>
        <v>18</v>
      </c>
    </row>
    <row r="169" customFormat="false" ht="15" hidden="false" customHeight="false" outlineLevel="0" collapsed="false">
      <c r="A169" s="20" t="n">
        <v>125</v>
      </c>
      <c r="B169" s="6" t="s">
        <v>33</v>
      </c>
      <c r="C169" s="6" t="s">
        <v>96</v>
      </c>
      <c r="D169" s="6" t="s">
        <v>164</v>
      </c>
      <c r="E169" s="26" t="n">
        <v>0.2</v>
      </c>
      <c r="F169" s="7" t="n">
        <f aca="false">Narxlar!$C$11</f>
        <v>3.5</v>
      </c>
      <c r="G169" s="27" t="n">
        <f aca="false">E169*F169</f>
        <v>0.7</v>
      </c>
      <c r="H169" s="20" t="s">
        <v>95</v>
      </c>
      <c r="I169" s="28" t="n">
        <f aca="false">Narxlar!$C$6</f>
        <v>12</v>
      </c>
      <c r="J169" s="29" t="n">
        <f aca="false">G169*I169</f>
        <v>8.4</v>
      </c>
    </row>
    <row r="170" customFormat="false" ht="15" hidden="false" customHeight="false" outlineLevel="0" collapsed="false">
      <c r="A170" s="20" t="n">
        <v>126</v>
      </c>
      <c r="B170" s="6" t="s">
        <v>33</v>
      </c>
      <c r="C170" s="6" t="s">
        <v>96</v>
      </c>
      <c r="D170" s="6" t="s">
        <v>165</v>
      </c>
      <c r="E170" s="26" t="n">
        <v>4.7</v>
      </c>
      <c r="F170" s="7" t="n">
        <f aca="false">Narxlar!$C$13</f>
        <v>1</v>
      </c>
      <c r="G170" s="27" t="n">
        <f aca="false">E170*F170</f>
        <v>4.7</v>
      </c>
      <c r="H170" s="20" t="s">
        <v>95</v>
      </c>
      <c r="I170" s="28" t="n">
        <f aca="false">Narxlar!$C$6</f>
        <v>12</v>
      </c>
      <c r="J170" s="29" t="n">
        <f aca="false">G170*I170</f>
        <v>56.4</v>
      </c>
    </row>
    <row r="171" customFormat="false" ht="15" hidden="false" customHeight="false" outlineLevel="0" collapsed="false">
      <c r="A171" s="20" t="n">
        <v>127</v>
      </c>
      <c r="B171" s="6" t="s">
        <v>33</v>
      </c>
      <c r="C171" s="6" t="s">
        <v>96</v>
      </c>
      <c r="D171" s="6" t="s">
        <v>166</v>
      </c>
      <c r="E171" s="26" t="n">
        <v>0.4</v>
      </c>
      <c r="F171" s="7" t="n">
        <f aca="false">Narxlar!$C$11</f>
        <v>3.5</v>
      </c>
      <c r="G171" s="27" t="n">
        <f aca="false">E171*F171</f>
        <v>1.4</v>
      </c>
      <c r="H171" s="20" t="s">
        <v>95</v>
      </c>
      <c r="I171" s="28" t="n">
        <f aca="false">Narxlar!$C$6</f>
        <v>12</v>
      </c>
      <c r="J171" s="29" t="n">
        <f aca="false">G171*I171</f>
        <v>16.8</v>
      </c>
    </row>
    <row r="172" customFormat="false" ht="15" hidden="false" customHeight="false" outlineLevel="0" collapsed="false">
      <c r="A172" s="20" t="n">
        <v>128</v>
      </c>
      <c r="B172" s="6" t="s">
        <v>33</v>
      </c>
      <c r="C172" s="6" t="s">
        <v>96</v>
      </c>
      <c r="D172" s="6" t="s">
        <v>167</v>
      </c>
      <c r="E172" s="26" t="n">
        <v>4.7</v>
      </c>
      <c r="F172" s="7" t="n">
        <f aca="false">Narxlar!$C$13</f>
        <v>1</v>
      </c>
      <c r="G172" s="27" t="n">
        <f aca="false">E172*F172</f>
        <v>4.7</v>
      </c>
      <c r="H172" s="20" t="s">
        <v>95</v>
      </c>
      <c r="I172" s="28" t="n">
        <f aca="false">Narxlar!$C$6</f>
        <v>12</v>
      </c>
      <c r="J172" s="29" t="n">
        <f aca="false">G172*I172</f>
        <v>56.4</v>
      </c>
    </row>
    <row r="173" customFormat="false" ht="15" hidden="false" customHeight="false" outlineLevel="0" collapsed="false">
      <c r="A173" s="20" t="n">
        <v>129</v>
      </c>
      <c r="B173" s="6" t="s">
        <v>33</v>
      </c>
      <c r="C173" s="6" t="s">
        <v>96</v>
      </c>
      <c r="D173" s="6" t="s">
        <v>168</v>
      </c>
      <c r="E173" s="26" t="n">
        <v>0.35</v>
      </c>
      <c r="F173" s="7" t="n">
        <f aca="false">Narxlar!$C$11</f>
        <v>3.5</v>
      </c>
      <c r="G173" s="27" t="n">
        <f aca="false">E173*F173</f>
        <v>1.225</v>
      </c>
      <c r="H173" s="20" t="s">
        <v>95</v>
      </c>
      <c r="I173" s="28" t="n">
        <f aca="false">Narxlar!$C$6</f>
        <v>12</v>
      </c>
      <c r="J173" s="29" t="n">
        <f aca="false">G173*I173</f>
        <v>14.7</v>
      </c>
    </row>
    <row r="174" customFormat="false" ht="15" hidden="false" customHeight="false" outlineLevel="0" collapsed="false">
      <c r="A174" s="20" t="n">
        <v>130</v>
      </c>
      <c r="B174" s="6" t="s">
        <v>33</v>
      </c>
      <c r="C174" s="6" t="s">
        <v>96</v>
      </c>
      <c r="D174" s="6" t="s">
        <v>168</v>
      </c>
      <c r="E174" s="26" t="n">
        <v>0.1</v>
      </c>
      <c r="F174" s="7" t="n">
        <f aca="false">Narxlar!$C$11</f>
        <v>3.5</v>
      </c>
      <c r="G174" s="27" t="n">
        <f aca="false">E174*F174</f>
        <v>0.35</v>
      </c>
      <c r="H174" s="20" t="s">
        <v>95</v>
      </c>
      <c r="I174" s="28" t="n">
        <f aca="false">Narxlar!$C$6</f>
        <v>12</v>
      </c>
      <c r="J174" s="29" t="n">
        <f aca="false">G174*I174</f>
        <v>4.2</v>
      </c>
    </row>
    <row r="175" customFormat="false" ht="15" hidden="false" customHeight="false" outlineLevel="0" collapsed="false">
      <c r="A175" s="20" t="n">
        <v>131</v>
      </c>
      <c r="B175" s="6" t="s">
        <v>33</v>
      </c>
      <c r="C175" s="6" t="s">
        <v>96</v>
      </c>
      <c r="D175" s="6" t="s">
        <v>169</v>
      </c>
      <c r="E175" s="7" t="n">
        <f aca="false">Narxlar!$C$16</f>
        <v>0.9</v>
      </c>
      <c r="F175" s="7" t="n">
        <f aca="false">Narxlar!$C$15</f>
        <v>1.4</v>
      </c>
      <c r="G175" s="27" t="n">
        <f aca="false">E175*F175</f>
        <v>1.26</v>
      </c>
      <c r="H175" s="20" t="s">
        <v>95</v>
      </c>
      <c r="I175" s="28" t="n">
        <f aca="false">Narxlar!$C$6</f>
        <v>12</v>
      </c>
      <c r="J175" s="29" t="n">
        <f aca="false">G175*I175</f>
        <v>15.12</v>
      </c>
    </row>
    <row r="176" customFormat="false" ht="15" hidden="false" customHeight="false" outlineLevel="0" collapsed="false">
      <c r="A176" s="20" t="n">
        <v>132</v>
      </c>
      <c r="B176" s="6" t="s">
        <v>33</v>
      </c>
      <c r="C176" s="6" t="s">
        <v>96</v>
      </c>
      <c r="D176" s="6" t="s">
        <v>170</v>
      </c>
      <c r="E176" s="7" t="n">
        <f aca="false">Narxlar!$C$16</f>
        <v>0.9</v>
      </c>
      <c r="F176" s="7" t="n">
        <f aca="false">Narxlar!$C$15</f>
        <v>1.4</v>
      </c>
      <c r="G176" s="27" t="n">
        <f aca="false">E176*F176</f>
        <v>1.26</v>
      </c>
      <c r="H176" s="20" t="s">
        <v>95</v>
      </c>
      <c r="I176" s="28" t="n">
        <f aca="false">Narxlar!$C$6</f>
        <v>12</v>
      </c>
      <c r="J176" s="29" t="n">
        <f aca="false">G176*I176</f>
        <v>15.12</v>
      </c>
    </row>
    <row r="177" customFormat="false" ht="15" hidden="false" customHeight="false" outlineLevel="0" collapsed="false">
      <c r="A177" s="20" t="n">
        <v>133</v>
      </c>
      <c r="B177" s="6" t="s">
        <v>33</v>
      </c>
      <c r="C177" s="6" t="s">
        <v>96</v>
      </c>
      <c r="D177" s="6" t="s">
        <v>171</v>
      </c>
      <c r="E177" s="7" t="n">
        <f aca="false">Narxlar!$C$16</f>
        <v>0.9</v>
      </c>
      <c r="F177" s="7" t="n">
        <f aca="false">Narxlar!$C$15</f>
        <v>1.4</v>
      </c>
      <c r="G177" s="27" t="n">
        <f aca="false">E177*F177</f>
        <v>1.26</v>
      </c>
      <c r="H177" s="20" t="s">
        <v>95</v>
      </c>
      <c r="I177" s="28" t="n">
        <f aca="false">Narxlar!$C$6</f>
        <v>12</v>
      </c>
      <c r="J177" s="29" t="n">
        <f aca="false">G177*I177</f>
        <v>15.12</v>
      </c>
    </row>
    <row r="178" customFormat="false" ht="15" hidden="false" customHeight="false" outlineLevel="0" collapsed="false">
      <c r="A178" s="20" t="n">
        <v>134</v>
      </c>
      <c r="B178" s="6" t="s">
        <v>33</v>
      </c>
      <c r="C178" s="6" t="s">
        <v>96</v>
      </c>
      <c r="D178" s="6" t="s">
        <v>172</v>
      </c>
      <c r="E178" s="7" t="n">
        <f aca="false">Narxlar!$C$16</f>
        <v>0.9</v>
      </c>
      <c r="F178" s="7" t="n">
        <f aca="false">Narxlar!$C$15</f>
        <v>1.4</v>
      </c>
      <c r="G178" s="27" t="n">
        <f aca="false">E178*F178</f>
        <v>1.26</v>
      </c>
      <c r="H178" s="20" t="s">
        <v>95</v>
      </c>
      <c r="I178" s="28" t="n">
        <f aca="false">Narxlar!$C$6</f>
        <v>12</v>
      </c>
      <c r="J178" s="29" t="n">
        <f aca="false">G178*I178</f>
        <v>15.12</v>
      </c>
    </row>
    <row r="179" customFormat="false" ht="15" hidden="false" customHeight="false" outlineLevel="0" collapsed="false">
      <c r="A179" s="20" t="n">
        <v>135</v>
      </c>
      <c r="B179" s="6" t="s">
        <v>33</v>
      </c>
      <c r="C179" s="6" t="s">
        <v>96</v>
      </c>
      <c r="D179" s="6" t="s">
        <v>173</v>
      </c>
      <c r="E179" s="7" t="n">
        <f aca="false">Narxlar!$C$16</f>
        <v>0.9</v>
      </c>
      <c r="F179" s="7" t="n">
        <f aca="false">Narxlar!$C$15</f>
        <v>1.4</v>
      </c>
      <c r="G179" s="27" t="n">
        <f aca="false">E179*F179</f>
        <v>1.26</v>
      </c>
      <c r="H179" s="20" t="s">
        <v>95</v>
      </c>
      <c r="I179" s="28" t="n">
        <f aca="false">Narxlar!$C$6</f>
        <v>12</v>
      </c>
      <c r="J179" s="29" t="n">
        <f aca="false">G179*I179</f>
        <v>15.12</v>
      </c>
    </row>
    <row r="180" customFormat="false" ht="15" hidden="false" customHeight="false" outlineLevel="0" collapsed="false">
      <c r="A180" s="20" t="n">
        <v>136</v>
      </c>
      <c r="B180" s="6" t="s">
        <v>33</v>
      </c>
      <c r="C180" s="6" t="s">
        <v>96</v>
      </c>
      <c r="D180" s="6" t="s">
        <v>174</v>
      </c>
      <c r="E180" s="7" t="n">
        <f aca="false">Narxlar!$C$16</f>
        <v>0.9</v>
      </c>
      <c r="F180" s="7" t="n">
        <f aca="false">Narxlar!$C$15</f>
        <v>1.4</v>
      </c>
      <c r="G180" s="27" t="n">
        <f aca="false">E180*F180</f>
        <v>1.26</v>
      </c>
      <c r="H180" s="20" t="s">
        <v>95</v>
      </c>
      <c r="I180" s="28" t="n">
        <f aca="false">Narxlar!$C$6</f>
        <v>12</v>
      </c>
      <c r="J180" s="29" t="n">
        <f aca="false">G180*I180</f>
        <v>15.12</v>
      </c>
    </row>
    <row r="181" customFormat="false" ht="15" hidden="false" customHeight="false" outlineLevel="0" collapsed="false">
      <c r="A181" s="31"/>
      <c r="B181" s="31"/>
      <c r="C181" s="31"/>
      <c r="D181" s="11" t="s">
        <v>175</v>
      </c>
      <c r="E181" s="31"/>
      <c r="F181" s="31"/>
      <c r="G181" s="31"/>
      <c r="H181" s="31"/>
      <c r="I181" s="31"/>
      <c r="J181" s="32" t="n">
        <f aca="false">SUM(J162:J180)</f>
        <v>582.12</v>
      </c>
    </row>
    <row r="183" customFormat="false" ht="15" hidden="false" customHeight="false" outlineLevel="0" collapsed="false">
      <c r="A183" s="4" t="s">
        <v>34</v>
      </c>
      <c r="B183" s="5"/>
      <c r="C183" s="5"/>
      <c r="D183" s="5"/>
      <c r="E183" s="5"/>
      <c r="F183" s="5"/>
      <c r="G183" s="5"/>
      <c r="H183" s="5"/>
      <c r="I183" s="5"/>
      <c r="J183" s="5"/>
    </row>
    <row r="184" customFormat="false" ht="15" hidden="false" customHeight="false" outlineLevel="0" collapsed="false">
      <c r="A184" s="20" t="n">
        <v>137</v>
      </c>
      <c r="B184" s="6" t="s">
        <v>34</v>
      </c>
      <c r="C184" s="6" t="s">
        <v>96</v>
      </c>
      <c r="D184" s="6" t="s">
        <v>176</v>
      </c>
      <c r="E184" s="26" t="n">
        <v>0.4</v>
      </c>
      <c r="F184" s="7" t="n">
        <f aca="false">Narxlar!$C$11</f>
        <v>3.5</v>
      </c>
      <c r="G184" s="27" t="n">
        <f aca="false">E184*F184</f>
        <v>1.4</v>
      </c>
      <c r="H184" s="20" t="s">
        <v>95</v>
      </c>
      <c r="I184" s="28" t="n">
        <f aca="false">Narxlar!$C$6</f>
        <v>12</v>
      </c>
      <c r="J184" s="29" t="n">
        <f aca="false">G184*I184</f>
        <v>16.8</v>
      </c>
    </row>
    <row r="185" customFormat="false" ht="15" hidden="false" customHeight="false" outlineLevel="0" collapsed="false">
      <c r="A185" s="20" t="n">
        <v>138</v>
      </c>
      <c r="B185" s="6" t="s">
        <v>34</v>
      </c>
      <c r="C185" s="6" t="s">
        <v>96</v>
      </c>
      <c r="D185" s="6" t="s">
        <v>177</v>
      </c>
      <c r="E185" s="26" t="n">
        <v>0.7</v>
      </c>
      <c r="F185" s="7" t="n">
        <f aca="false">Narxlar!$C$11</f>
        <v>3.5</v>
      </c>
      <c r="G185" s="27" t="n">
        <f aca="false">E185*F185</f>
        <v>2.45</v>
      </c>
      <c r="H185" s="20" t="s">
        <v>95</v>
      </c>
      <c r="I185" s="28" t="n">
        <f aca="false">Narxlar!$C$6</f>
        <v>12</v>
      </c>
      <c r="J185" s="29" t="n">
        <f aca="false">G185*I185</f>
        <v>29.4</v>
      </c>
    </row>
    <row r="186" customFormat="false" ht="15" hidden="false" customHeight="false" outlineLevel="0" collapsed="false">
      <c r="A186" s="20" t="n">
        <v>139</v>
      </c>
      <c r="B186" s="6" t="s">
        <v>34</v>
      </c>
      <c r="C186" s="6" t="s">
        <v>96</v>
      </c>
      <c r="D186" s="6" t="s">
        <v>122</v>
      </c>
      <c r="E186" s="26" t="n">
        <v>1.65</v>
      </c>
      <c r="F186" s="7" t="n">
        <f aca="false">Narxlar!$C$11</f>
        <v>3.5</v>
      </c>
      <c r="G186" s="27" t="n">
        <f aca="false">E186*F186</f>
        <v>5.775</v>
      </c>
      <c r="H186" s="20" t="s">
        <v>95</v>
      </c>
      <c r="I186" s="28" t="n">
        <f aca="false">Narxlar!$C$6</f>
        <v>12</v>
      </c>
      <c r="J186" s="29" t="n">
        <f aca="false">G186*I186</f>
        <v>69.3</v>
      </c>
    </row>
    <row r="187" customFormat="false" ht="15" hidden="false" customHeight="false" outlineLevel="0" collapsed="false">
      <c r="A187" s="31"/>
      <c r="B187" s="31"/>
      <c r="C187" s="31"/>
      <c r="D187" s="11" t="s">
        <v>178</v>
      </c>
      <c r="E187" s="31"/>
      <c r="F187" s="31"/>
      <c r="G187" s="31"/>
      <c r="H187" s="31"/>
      <c r="I187" s="31"/>
      <c r="J187" s="32" t="n">
        <f aca="false">SUM(J184:J186)</f>
        <v>115.5</v>
      </c>
    </row>
    <row r="189" customFormat="false" ht="15" hidden="false" customHeight="false" outlineLevel="0" collapsed="false">
      <c r="A189" s="4" t="s">
        <v>35</v>
      </c>
      <c r="B189" s="5"/>
      <c r="C189" s="5"/>
      <c r="D189" s="5"/>
      <c r="E189" s="5"/>
      <c r="F189" s="5"/>
      <c r="G189" s="5"/>
      <c r="H189" s="5"/>
      <c r="I189" s="5"/>
      <c r="J189" s="5"/>
    </row>
    <row r="190" customFormat="false" ht="15" hidden="false" customHeight="false" outlineLevel="0" collapsed="false">
      <c r="A190" s="20" t="n">
        <v>140</v>
      </c>
      <c r="B190" s="6" t="s">
        <v>35</v>
      </c>
      <c r="C190" s="6" t="s">
        <v>96</v>
      </c>
      <c r="D190" s="6" t="s">
        <v>122</v>
      </c>
      <c r="E190" s="26" t="n">
        <v>2.6</v>
      </c>
      <c r="F190" s="7" t="n">
        <f aca="false">Narxlar!$C$11</f>
        <v>3.5</v>
      </c>
      <c r="G190" s="27" t="n">
        <f aca="false">E190*F190</f>
        <v>9.1</v>
      </c>
      <c r="H190" s="20" t="s">
        <v>95</v>
      </c>
      <c r="I190" s="28" t="n">
        <f aca="false">Narxlar!$C$6</f>
        <v>12</v>
      </c>
      <c r="J190" s="29" t="n">
        <f aca="false">G190*I190</f>
        <v>109.2</v>
      </c>
    </row>
    <row r="191" customFormat="false" ht="15" hidden="false" customHeight="false" outlineLevel="0" collapsed="false">
      <c r="A191" s="31"/>
      <c r="B191" s="31"/>
      <c r="C191" s="31"/>
      <c r="D191" s="11" t="s">
        <v>179</v>
      </c>
      <c r="E191" s="31"/>
      <c r="F191" s="31"/>
      <c r="G191" s="31"/>
      <c r="H191" s="31"/>
      <c r="I191" s="31"/>
      <c r="J191" s="32" t="n">
        <f aca="false">SUM(J190:J190)</f>
        <v>109.2</v>
      </c>
    </row>
    <row r="193" customFormat="false" ht="15" hidden="false" customHeight="false" outlineLevel="0" collapsed="false">
      <c r="A193" s="4" t="s">
        <v>36</v>
      </c>
      <c r="B193" s="5"/>
      <c r="C193" s="5"/>
      <c r="D193" s="5"/>
      <c r="E193" s="5"/>
      <c r="F193" s="5"/>
      <c r="G193" s="5"/>
      <c r="H193" s="5"/>
      <c r="I193" s="5"/>
      <c r="J193" s="5"/>
    </row>
    <row r="194" customFormat="false" ht="15" hidden="false" customHeight="false" outlineLevel="0" collapsed="false">
      <c r="A194" s="20" t="n">
        <v>141</v>
      </c>
      <c r="B194" s="6" t="s">
        <v>36</v>
      </c>
      <c r="C194" s="6" t="s">
        <v>56</v>
      </c>
      <c r="D194" s="6" t="s">
        <v>180</v>
      </c>
      <c r="E194" s="7" t="n">
        <f aca="false">Narxlar!$C$10</f>
        <v>24</v>
      </c>
      <c r="F194" s="27"/>
      <c r="G194" s="27" t="n">
        <f aca="false">E194</f>
        <v>24</v>
      </c>
      <c r="H194" s="20" t="s">
        <v>59</v>
      </c>
      <c r="I194" s="28" t="n">
        <f aca="false">Narxlar!$C$9</f>
        <v>84</v>
      </c>
      <c r="J194" s="29" t="n">
        <f aca="false">G194*I194</f>
        <v>2016</v>
      </c>
    </row>
    <row r="195" customFormat="false" ht="15" hidden="false" customHeight="false" outlineLevel="0" collapsed="false">
      <c r="A195" s="31"/>
      <c r="B195" s="31"/>
      <c r="C195" s="31"/>
      <c r="D195" s="11" t="s">
        <v>181</v>
      </c>
      <c r="E195" s="31"/>
      <c r="F195" s="31"/>
      <c r="G195" s="31"/>
      <c r="H195" s="31"/>
      <c r="I195" s="31"/>
      <c r="J195" s="32" t="n">
        <f aca="false">SUM(J194:J194)</f>
        <v>2016</v>
      </c>
    </row>
    <row r="197" customFormat="false" ht="15" hidden="false" customHeight="false" outlineLevel="0" collapsed="false">
      <c r="A197" s="4" t="s">
        <v>22</v>
      </c>
      <c r="B197" s="5"/>
      <c r="C197" s="5"/>
      <c r="D197" s="5"/>
      <c r="E197" s="5"/>
      <c r="F197" s="5"/>
      <c r="G197" s="5"/>
      <c r="H197" s="5"/>
      <c r="I197" s="5"/>
      <c r="J197" s="5"/>
    </row>
    <row r="198" customFormat="false" ht="15" hidden="false" customHeight="false" outlineLevel="0" collapsed="false">
      <c r="A198" s="20" t="n">
        <v>142</v>
      </c>
      <c r="B198" s="6" t="s">
        <v>22</v>
      </c>
      <c r="C198" s="6" t="s">
        <v>52</v>
      </c>
      <c r="D198" s="6" t="s">
        <v>182</v>
      </c>
      <c r="E198" s="26" t="n">
        <v>5.45</v>
      </c>
      <c r="F198" s="7" t="n">
        <f aca="false">Narxlar!$C$18</f>
        <v>2.5</v>
      </c>
      <c r="G198" s="27" t="n">
        <f aca="false">E198*F198</f>
        <v>13.625</v>
      </c>
      <c r="H198" s="20" t="s">
        <v>95</v>
      </c>
      <c r="I198" s="28" t="n">
        <f aca="false">Narxlar!$C$7</f>
        <v>15.5</v>
      </c>
      <c r="J198" s="29" t="n">
        <f aca="false">G198*I198</f>
        <v>211.1875</v>
      </c>
    </row>
    <row r="199" customFormat="false" ht="15" hidden="false" customHeight="false" outlineLevel="0" collapsed="false">
      <c r="A199" s="20" t="n">
        <v>143</v>
      </c>
      <c r="B199" s="6" t="s">
        <v>22</v>
      </c>
      <c r="C199" s="6" t="s">
        <v>52</v>
      </c>
      <c r="D199" s="6" t="s">
        <v>183</v>
      </c>
      <c r="E199" s="26" t="n">
        <v>5.45</v>
      </c>
      <c r="F199" s="7" t="n">
        <f aca="false">Narxlar!$C$18</f>
        <v>2.5</v>
      </c>
      <c r="G199" s="27" t="n">
        <f aca="false">E199*F199</f>
        <v>13.625</v>
      </c>
      <c r="H199" s="20" t="s">
        <v>95</v>
      </c>
      <c r="I199" s="28" t="n">
        <f aca="false">Narxlar!$C$7</f>
        <v>15.5</v>
      </c>
      <c r="J199" s="29" t="n">
        <f aca="false">G199*I199</f>
        <v>211.1875</v>
      </c>
    </row>
    <row r="200" customFormat="false" ht="15" hidden="false" customHeight="false" outlineLevel="0" collapsed="false">
      <c r="A200" s="20" t="n">
        <v>144</v>
      </c>
      <c r="B200" s="6" t="s">
        <v>22</v>
      </c>
      <c r="C200" s="6" t="s">
        <v>52</v>
      </c>
      <c r="D200" s="6" t="s">
        <v>184</v>
      </c>
      <c r="E200" s="26" t="n">
        <v>8.6</v>
      </c>
      <c r="F200" s="7" t="n">
        <f aca="false">Narxlar!$C$18</f>
        <v>2.5</v>
      </c>
      <c r="G200" s="27" t="n">
        <f aca="false">E200*F200</f>
        <v>21.5</v>
      </c>
      <c r="H200" s="20" t="s">
        <v>95</v>
      </c>
      <c r="I200" s="28" t="n">
        <f aca="false">Narxlar!$C$7</f>
        <v>15.5</v>
      </c>
      <c r="J200" s="29" t="n">
        <f aca="false">G200*I200</f>
        <v>333.25</v>
      </c>
    </row>
    <row r="201" customFormat="false" ht="15" hidden="false" customHeight="false" outlineLevel="0" collapsed="false">
      <c r="A201" s="20" t="n">
        <v>145</v>
      </c>
      <c r="B201" s="6" t="s">
        <v>22</v>
      </c>
      <c r="C201" s="6" t="s">
        <v>52</v>
      </c>
      <c r="D201" s="6" t="s">
        <v>143</v>
      </c>
      <c r="E201" s="7" t="n">
        <f aca="false">Narxlar!$C$16</f>
        <v>0.9</v>
      </c>
      <c r="F201" s="7" t="n">
        <f aca="false">Narxlar!$C$14</f>
        <v>2.1</v>
      </c>
      <c r="G201" s="27" t="n">
        <f aca="false">-E201*F201</f>
        <v>-1.89</v>
      </c>
      <c r="H201" s="20" t="s">
        <v>95</v>
      </c>
      <c r="I201" s="28" t="n">
        <f aca="false">Narxlar!$C$7</f>
        <v>15.5</v>
      </c>
      <c r="J201" s="29" t="n">
        <f aca="false">G201*I201</f>
        <v>-29.295</v>
      </c>
    </row>
    <row r="202" customFormat="false" ht="15" hidden="false" customHeight="false" outlineLevel="0" collapsed="false">
      <c r="A202" s="20" t="n">
        <v>146</v>
      </c>
      <c r="B202" s="6" t="s">
        <v>22</v>
      </c>
      <c r="C202" s="6" t="s">
        <v>53</v>
      </c>
      <c r="D202" s="6" t="s">
        <v>185</v>
      </c>
      <c r="E202" s="26"/>
      <c r="F202" s="27"/>
      <c r="G202" s="30" t="n">
        <v>1</v>
      </c>
      <c r="H202" s="20" t="s">
        <v>104</v>
      </c>
      <c r="I202" s="28" t="n">
        <f aca="false">Narxlar!$C$8</f>
        <v>1032</v>
      </c>
      <c r="J202" s="29" t="n">
        <f aca="false">G202*I202</f>
        <v>1032</v>
      </c>
    </row>
    <row r="203" customFormat="false" ht="15" hidden="false" customHeight="false" outlineLevel="0" collapsed="false">
      <c r="A203" s="31"/>
      <c r="B203" s="31"/>
      <c r="C203" s="31"/>
      <c r="D203" s="11" t="s">
        <v>186</v>
      </c>
      <c r="E203" s="31"/>
      <c r="F203" s="31"/>
      <c r="G203" s="31"/>
      <c r="H203" s="31"/>
      <c r="I203" s="31"/>
      <c r="J203" s="32" t="n">
        <f aca="false">SUM(J198:J202)</f>
        <v>1758.33</v>
      </c>
    </row>
    <row r="205" customFormat="false" ht="15" hidden="false" customHeight="false" outlineLevel="0" collapsed="false">
      <c r="A205" s="31"/>
      <c r="B205" s="31"/>
      <c r="C205" s="31"/>
      <c r="D205" s="11" t="s">
        <v>187</v>
      </c>
      <c r="E205" s="31"/>
      <c r="F205" s="31"/>
      <c r="G205" s="31"/>
      <c r="H205" s="31"/>
      <c r="I205" s="31"/>
      <c r="J205" s="32" t="n">
        <f aca="false">J14+J24+J33+J52+J62+J74+J87+J100+J113+J124+J135+J141+J159+J181+J187+J191+J195+J203</f>
        <v>28571.575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2026-10-03T07:07:52Z</dcterms:created>
  <dc:creator>openpyxl</dc:creator>
  <dc:description/>
  <dc:language>en-US</dc:language>
  <cp:lastModifiedBy/>
  <dcterms:modified xsi:type="dcterms:W3CDTF">2026-10-03T07:07:52Z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
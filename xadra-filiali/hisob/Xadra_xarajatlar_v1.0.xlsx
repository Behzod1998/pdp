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onalar bo'yicha" sheetId="1" state="visible" r:id="rId3"/>
    <sheet name="Narxlar" sheetId="2" state="visible" r:id="rId4"/>
    <sheet name="Hisob (batafsil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<sst xmlns="http://schemas.openxmlformats.org/spreadsheetml/2006/main" count="1100" uniqueCount="298">
  <si>
    <t xml:space="preserve">PDP Academy · Xadra filiali (2 va 3-qavat): xarajatlar, xonalar bo'yicha</t>
  </si>
  <si>
    <t xml:space="preserve">Har bir qator «Hisob (batafsil)» varag'idan olinadi (SUMIFS). Narxlarni «Narxlar» varag'ida o'zgartiring.</t>
  </si>
  <si>
    <t xml:space="preserve">Xona</t>
  </si>
  <si>
    <t xml:space="preserve">Shisha (devor va eshik), m²</t>
  </si>
  <si>
    <t xml:space="preserve">Shisha (devor va eshik), $</t>
  </si>
  <si>
    <t xml:space="preserve">Gips karton (GKL), m²</t>
  </si>
  <si>
    <t xml:space="preserve">Gips karton (GKL), $</t>
  </si>
  <si>
    <t xml:space="preserve">Bambuk panel, m²</t>
  </si>
  <si>
    <t xml:space="preserve">Bambuk panel, $</t>
  </si>
  <si>
    <t xml:space="preserve">Interaktiv doska, dona</t>
  </si>
  <si>
    <t xml:space="preserve">Interaktiv doska, $</t>
  </si>
  <si>
    <t xml:space="preserve">Perila, m</t>
  </si>
  <si>
    <t xml:space="preserve">Perila, $</t>
  </si>
  <si>
    <t xml:space="preserve">Yoritish, $</t>
  </si>
  <si>
    <t xml:space="preserve">Kamera tizimi, $</t>
  </si>
  <si>
    <t xml:space="preserve">Logotip, $</t>
  </si>
  <si>
    <t xml:space="preserve">Matli plyonka, $</t>
  </si>
  <si>
    <t xml:space="preserve">Yong'in xavfsizligi, $</t>
  </si>
  <si>
    <t xml:space="preserve">Buzish ishlari, $</t>
  </si>
  <si>
    <t xml:space="preserve">Santexnika, $</t>
  </si>
  <si>
    <t xml:space="preserve">Kafel, $</t>
  </si>
  <si>
    <t xml:space="preserve">Jami, $</t>
  </si>
  <si>
    <t xml:space="preserve">2-qavat: o'quv xonalari</t>
  </si>
  <si>
    <t xml:space="preserve">1-xona</t>
  </si>
  <si>
    <t xml:space="preserve">2-xona</t>
  </si>
  <si>
    <t xml:space="preserve">3-xona</t>
  </si>
  <si>
    <t xml:space="preserve">4-xona</t>
  </si>
  <si>
    <t xml:space="preserve">5-xona</t>
  </si>
  <si>
    <t xml:space="preserve">6-xona</t>
  </si>
  <si>
    <t xml:space="preserve">7-xona</t>
  </si>
  <si>
    <t xml:space="preserve">2-qavat: o'quv xonalari — jami</t>
  </si>
  <si>
    <t xml:space="preserve">2-qavat: ofis xonalari</t>
  </si>
  <si>
    <t xml:space="preserve">Offline sotuv (XZ1)</t>
  </si>
  <si>
    <t xml:space="preserve">Admin (XZ2)</t>
  </si>
  <si>
    <t xml:space="preserve">Ustozlar xonasi (XZ3)</t>
  </si>
  <si>
    <t xml:space="preserve">Call-markaz (XZ4)</t>
  </si>
  <si>
    <t xml:space="preserve">CEO xonasi (12-xona)</t>
  </si>
  <si>
    <t xml:space="preserve">2-qavat: ofis xonalari — jami</t>
  </si>
  <si>
    <t xml:space="preserve">2-qavat: umumiy joylar</t>
  </si>
  <si>
    <t xml:space="preserve">K1 koridori</t>
  </si>
  <si>
    <t xml:space="preserve">K2 koridori</t>
  </si>
  <si>
    <t xml:space="preserve">Koworking zali</t>
  </si>
  <si>
    <t xml:space="preserve">Kirish zali</t>
  </si>
  <si>
    <t xml:space="preserve">Zinapoya</t>
  </si>
  <si>
    <t xml:space="preserve">Butun qavat (umumiy ishlar)</t>
  </si>
  <si>
    <t xml:space="preserve">2-qavat: umumiy joylar — jami</t>
  </si>
  <si>
    <t xml:space="preserve">3-qavat va hojatxonalar</t>
  </si>
  <si>
    <t xml:space="preserve">3-qavat 5-xona — o'quv xonasi (24 o'rin)</t>
  </si>
  <si>
    <t xml:space="preserve">Hojatxonalar (3-qavat erkaklar, 2-qavat ayollar)</t>
  </si>
  <si>
    <t xml:space="preserve">3-qavat va hojatxonalar — jami</t>
  </si>
  <si>
    <t xml:space="preserve">JAMI</t>
  </si>
  <si>
    <t xml:space="preserve">UMUMIY JAMI (kutilmagan xarajatlar bilan), $</t>
  </si>
  <si>
    <t xml:space="preserve">UMUMIY JAMI, so'm (kurs bo'yicha)</t>
  </si>
  <si>
    <t xml:space="preserve">Tekshiruv: batafsil varaqdagi jami bilan farq (0 bo'lishi kerak)</t>
  </si>
  <si>
    <t xml:space="preserve">PDP Academy · Xadra filiali (2 va 3-qavat): narxlar va o'lchamlar</t>
  </si>
  <si>
    <t xml:space="preserve">Sariq kataklardagi narx va balandliklarni o'zgartirsangiz, «Hisob (batafsil)» va «Xonalar bo'yicha» varaqlari avtomatik qayta hisoblanadi.</t>
  </si>
  <si>
    <t xml:space="preserve">№</t>
  </si>
  <si>
    <t xml:space="preserve">Ko'rsatkich</t>
  </si>
  <si>
    <t xml:space="preserve">Qiymat</t>
  </si>
  <si>
    <t xml:space="preserve">Birlik</t>
  </si>
  <si>
    <t xml:space="preserve">Manba / izoh</t>
  </si>
  <si>
    <t xml:space="preserve">Shisha devor</t>
  </si>
  <si>
    <t xml:space="preserve">$/m²</t>
  </si>
  <si>
    <t xml:space="preserve">Buyurtmachi</t>
  </si>
  <si>
    <t xml:space="preserve">Gips karton devor (bir tomoni)</t>
  </si>
  <si>
    <t xml:space="preserve">Buyurtmachi; devorning har tomoni alohida hisoblanadi</t>
  </si>
  <si>
    <t xml:space="preserve">Bambuk panel</t>
  </si>
  <si>
    <t xml:space="preserve">Interaktiv doska</t>
  </si>
  <si>
    <t xml:space="preserve">$/dona</t>
  </si>
  <si>
    <t xml:space="preserve">Buyurtmachi; 7 ta shu qavat sinflariga + 1 ta yuqori qavatdagi sinfga = 8 ta</t>
  </si>
  <si>
    <t xml:space="preserve">Perila</t>
  </si>
  <si>
    <t xml:space="preserve">$/m</t>
  </si>
  <si>
    <t xml:space="preserve">Perila uzunligi</t>
  </si>
  <si>
    <t xml:space="preserve">m</t>
  </si>
  <si>
    <t xml:space="preserve">Yoritish — koridor va koworking (har biriga)</t>
  </si>
  <si>
    <t xml:space="preserve">$/joy</t>
  </si>
  <si>
    <t xml:space="preserve">Buyurtmachi: K1, K2 koridorlari va koworking zali</t>
  </si>
  <si>
    <t xml:space="preserve">Yoritish — xona (har biriga)</t>
  </si>
  <si>
    <t xml:space="preserve">$/xona</t>
  </si>
  <si>
    <t xml:space="preserve">Buyurtmachi: 7 ta o'quv xonasi, 4 ta ofis xonasi va CEO xonasi</t>
  </si>
  <si>
    <t xml:space="preserve">Videokamera</t>
  </si>
  <si>
    <t xml:space="preserve">Videokameralar soni</t>
  </si>
  <si>
    <t xml:space="preserve">dona</t>
  </si>
  <si>
    <t xml:space="preserve">Kamera o'rnatish (har biri)</t>
  </si>
  <si>
    <t xml:space="preserve">NVR (videoregistrator)</t>
  </si>
  <si>
    <t xml:space="preserve">Kamera kabellari (jami)</t>
  </si>
  <si>
    <t xml:space="preserve">$/komplekt</t>
  </si>
  <si>
    <t xml:space="preserve">Buyurtmachi: jami summa</t>
  </si>
  <si>
    <t xml:space="preserve">Logotiplar (jami)</t>
  </si>
  <si>
    <t xml:space="preserve">Dollar kursi</t>
  </si>
  <si>
    <t xml:space="preserve">so'm/$</t>
  </si>
  <si>
    <t xml:space="preserve">Buyurtmachi; so'mdagi narxlar shu kurs bo'yicha $ ga o'tadi</t>
  </si>
  <si>
    <t xml:space="preserve">Matli plyonka (shisha devorga)</t>
  </si>
  <si>
    <t xml:space="preserve">so'm/dona</t>
  </si>
  <si>
    <t xml:space="preserve">Matli plyonka soni</t>
  </si>
  <si>
    <t xml:space="preserve">Yong'in xavfsizligi (signalizatsiya, o't o'chirgich, belgilar, avariya chiroqlari)</t>
  </si>
  <si>
    <t xml:space="preserve">so'm/komplekt</t>
  </si>
  <si>
    <t xml:space="preserve">Devor buzish</t>
  </si>
  <si>
    <t xml:space="preserve">so'm/m²</t>
  </si>
  <si>
    <t xml:space="preserve">Qurilish chiqindisini olib chiqish</t>
  </si>
  <si>
    <t xml:space="preserve">Chashagen</t>
  </si>
  <si>
    <t xml:space="preserve">Chashagen soni</t>
  </si>
  <si>
    <t xml:space="preserve">Buyurtmachi: 3 ta erkaklar (3-qavat), 1 ta ayollar (2-qavat)</t>
  </si>
  <si>
    <t xml:space="preserve">Unitaz</t>
  </si>
  <si>
    <t xml:space="preserve">Unitaz soni</t>
  </si>
  <si>
    <t xml:space="preserve">Buyurtmachi: 1 ta erkaklar, 2 ta ayollar</t>
  </si>
  <si>
    <t xml:space="preserve">Rakovina</t>
  </si>
  <si>
    <t xml:space="preserve">Rakovina soni</t>
  </si>
  <si>
    <t xml:space="preserve">Buyurtmachi: 2 ta erkaklar hojatxonasida, qolgan 2 tasi ayollarnikida</t>
  </si>
  <si>
    <t xml:space="preserve">Mustahab</t>
  </si>
  <si>
    <t xml:space="preserve">Mustahab soni</t>
  </si>
  <si>
    <t xml:space="preserve">Buyurtmachi: har bir unitaz va chashagenga (4 + 3)</t>
  </si>
  <si>
    <t xml:space="preserve">Taxorat smesiteli</t>
  </si>
  <si>
    <t xml:space="preserve">Taxorat smesiteli soni</t>
  </si>
  <si>
    <t xml:space="preserve">Buyurtmachi: 3 tasi erkaklar taxorat joyida, 1 tasi ayollarnikida</t>
  </si>
  <si>
    <t xml:space="preserve">Rakovina smesiteli</t>
  </si>
  <si>
    <t xml:space="preserve">Rakovina smesiteli soni</t>
  </si>
  <si>
    <t xml:space="preserve">Buyurtmachi: har bir rakovinaga</t>
  </si>
  <si>
    <t xml:space="preserve">Santexnika nuqtasi (usta ishi)</t>
  </si>
  <si>
    <t xml:space="preserve">so'm/nuqta</t>
  </si>
  <si>
    <t xml:space="preserve">Santexnika nuqtalari soni</t>
  </si>
  <si>
    <t xml:space="preserve">nuqta</t>
  </si>
  <si>
    <t xml:space="preserve">Kafel (material)</t>
  </si>
  <si>
    <t xml:space="preserve">Kafel yotqizish (usta)</t>
  </si>
  <si>
    <t xml:space="preserve">Kafel — erkaklar hojatxonasi devori</t>
  </si>
  <si>
    <t xml:space="preserve">m²</t>
  </si>
  <si>
    <t xml:space="preserve">Kafel — erkaklar hojatxonasi poli</t>
  </si>
  <si>
    <t xml:space="preserve">Kutilmagan xarajatlar</t>
  </si>
  <si>
    <t xml:space="preserve">ulush</t>
  </si>
  <si>
    <t xml:space="preserve">Buyurtmachi: umumiy summadan 10%</t>
  </si>
  <si>
    <t xml:space="preserve">Devor balandligi (poldan shiftgacha)</t>
  </si>
  <si>
    <t xml:space="preserve">Buyurtmachi: bino balandligi 3.5 m</t>
  </si>
  <si>
    <t xml:space="preserve">Shisha qism balandligi</t>
  </si>
  <si>
    <t xml:space="preserve">Shisha ustidagi GKL</t>
  </si>
  <si>
    <t xml:space="preserve">Hisob: devor balandligi − shisha</t>
  </si>
  <si>
    <t xml:space="preserve">Eshik balandligi</t>
  </si>
  <si>
    <t xml:space="preserve">Taxmin: standart eshik 900 × 2100</t>
  </si>
  <si>
    <t xml:space="preserve">Eshik ustidagi GKL</t>
  </si>
  <si>
    <t xml:space="preserve">Hisob: devor balandligi − eshik</t>
  </si>
  <si>
    <t xml:space="preserve">Eshik eni</t>
  </si>
  <si>
    <t xml:space="preserve">Chizmadan</t>
  </si>
  <si>
    <t xml:space="preserve">Bambuk panel balandligi</t>
  </si>
  <si>
    <t xml:space="preserve">Taxmin: poldan shiftgacha. Pastroq bo'lsa, shu katakka raqam yozing</t>
  </si>
  <si>
    <t xml:space="preserve">Bambuk panel balandligi — yuqori qavat o'quv xonasi</t>
  </si>
  <si>
    <t xml:space="preserve">Hisoblash qoidalari</t>
  </si>
  <si>
    <t xml:space="preserve">• Gips karton (GKL) devor: uzunlik × balandlik. Devorning har bir tomoni o'zi qaragan xonaga yoziladi (xona tomoni — xonaga, koridor tomoni — koridorga).</t>
  </si>
  <si>
    <t xml:space="preserve">• Shisha devor: shisha qism (2.5 m) xonaga yoziladi; ustidagi GKL (1 m) ikki tomonlama — xona va koridor tomoni alohida.</t>
  </si>
  <si>
    <t xml:space="preserve">• Eshiklar shisha: eshik (2.1 m) va ustidagi shisha (0.4 m) — 2.5 m gacha shisha narxida; ustida 1 m GKL ikki tomondan. Eshik furniturasi (ilgak, qulf, tutqich, dovodchik) kirmagan.</t>
  </si>
  <si>
    <t xml:space="preserve">• Bambuk panel, poldan shiftgacha: o'quv xonalarida doska devori va orqa devor (interaktiv doska orqasi ayirilmagan); ofis xonalarida ikkala uzun yon devor; CEO xonasida ikkita ichki kar devor, eshik o'rni ayiriladi. Derazali tashqi va shisha devorlarga qilinmaydi.</t>
  </si>
  <si>
    <t xml:space="preserve">• Yuqori qavat o'quv xonasi (5.45 × 8.60 m, buyurtmachi chizmasi): bambuk panel 3 devorga, 2.5 m balandlikda — doska devori, orqa devor va eshikli uzun devor (eshik o'rni ayiriladi); derazali uzun devorga qilinmaydi.</t>
  </si>
  <si>
    <t xml:space="preserve">• Interaktiv doska: 7 ta shu qavat sinflariga va 1 ta yuqori qavatdagi o'quv xonasiga — jami 8 ta.</t>
  </si>
  <si>
    <t xml:space="preserve">• Perila: buyurtmachi bergan uzunlik (24 m), «Zinapoya» qatorida.</t>
  </si>
  <si>
    <t xml:space="preserve">• Uzunliklar chizma v1.0 dan (mavjud holat chizmasining fotosi asosida) — ish boshlanishidan oldin joyida o'lchanadi.</t>
  </si>
  <si>
    <t xml:space="preserve">• Yoritish: koridorlar (K1, K2) va koworking zaliga 336 $ dan, o'quv xonalari (7), ofis xonalari (4) va CEO xonasiga 168 $ dan. Kirish zali, WC va yuqori qavat xonasi kiritilmagan.</t>
  </si>
  <si>
    <t xml:space="preserve">• Videokuzatuv: 16 ta kamera (40 $) va o'rnatish (21 $ dan), NVR, kabellar jami; logotiplar jami — «Butun qavat» qatorida.</t>
  </si>
  <si>
    <t xml:space="preserve">• So'mdagi narxlar (matli plyonka, yong'in xavfsizligi, devor buzish va chiqindi) «Dollar kursi» katagi bo'yicha (11 900 so'm/$) $ ga o'tkaziladi.</t>
  </si>
  <si>
    <t xml:space="preserve">• Devor buzish: chizmadagi buziladigan devorlar uzunligi × devor balandligi (3.5 m) × 50 000 so'm/m².</t>
  </si>
  <si>
    <t xml:space="preserve">• Kutilmagan xarajatlar: umumiy summadan 10% — «Xonalar bo'yicha» varag'ining oxirida.</t>
  </si>
  <si>
    <t xml:space="preserve">• 3-qavat: 5-xona — o'quv xonasi (24 o'rin, bambuk panel va interaktiv doska); 2-xona — erkaklar hojatxonasi. Santexnika soni ikkala hojatxona uchun jami (2-qavatdagisi — ayollar: 2 unitaz, 1 chashagen); kafel faqat erkaklar hojatxonasi uchun (devor 58 m², pol 16 m²).</t>
  </si>
  <si>
    <t xml:space="preserve">• Kirmagan: konditsioner va ventilyatsiya (usta bilan keyin aniqlanadi); mebel va pol (kafel) mavjud; internet — mavjud; eshik furniturasi; shift va bo'yoq; ish haqi (agar narxga kirmagan bo'lsa).</t>
  </si>
  <si>
    <t xml:space="preserve">Ranglar: ko'k — qo'lda kiritilgan qiymat; yashil — boshqa varaqdan olingan; qora — formula; sariq fon — o'zgartirish mumkin bo'lgan kataklar.</t>
  </si>
  <si>
    <t xml:space="preserve">PDP Academy · Xadra filiali (2 va 3-qavat): xarajatlar hisobi, xonalar bo'yicha batafsil</t>
  </si>
  <si>
    <t xml:space="preserve">Uzunliklar chizmadan (m). Balandlik va narx «Narxlar» varag'idan olinadi (yashil). Miqdor = uzunlik × balandlik; summa = miqdor × narx.</t>
  </si>
  <si>
    <t xml:space="preserve">Ish turi</t>
  </si>
  <si>
    <t xml:space="preserve">Joyi / izoh</t>
  </si>
  <si>
    <t xml:space="preserve">Uzunlik, m</t>
  </si>
  <si>
    <t xml:space="preserve">Balandlik, m</t>
  </si>
  <si>
    <t xml:space="preserve">Miqdor</t>
  </si>
  <si>
    <t xml:space="preserve">Narx, $</t>
  </si>
  <si>
    <t xml:space="preserve">Summa, $</t>
  </si>
  <si>
    <t xml:space="preserve">Shisha devor (K1 koridori tomoni)</t>
  </si>
  <si>
    <t xml:space="preserve">Shisha eshik va ustidagi shisha (K1 koridori tomoni)</t>
  </si>
  <si>
    <t xml:space="preserve">Gips karton (GKL)</t>
  </si>
  <si>
    <t xml:space="preserve">Koworking zali bilan orasidagi devor — mavjud devordagi bo'shliqni yopish</t>
  </si>
  <si>
    <t xml:space="preserve">Shisha ustidagi GKL (K1 koridori bilan orasida)</t>
  </si>
  <si>
    <t xml:space="preserve">Eshik yonidagi kesak (K1 koridori tomoni)</t>
  </si>
  <si>
    <t xml:space="preserve">Eshik ustidagi GKL (K1 koridori bilan orasida)</t>
  </si>
  <si>
    <t xml:space="preserve">Doska devori</t>
  </si>
  <si>
    <t xml:space="preserve">Orqa devor</t>
  </si>
  <si>
    <t xml:space="preserve">Doska devoriga</t>
  </si>
  <si>
    <t xml:space="preserve">Yoritish</t>
  </si>
  <si>
    <t xml:space="preserve">Lampalar (xona uchun)</t>
  </si>
  <si>
    <t xml:space="preserve">komplekt</t>
  </si>
  <si>
    <t xml:space="preserve">Jami: 1-xona</t>
  </si>
  <si>
    <t xml:space="preserve">Jami: 2-xona</t>
  </si>
  <si>
    <t xml:space="preserve">4-xona, K1 koridori bilan orasidagi devor</t>
  </si>
  <si>
    <t xml:space="preserve">Jami: 3-xona</t>
  </si>
  <si>
    <t xml:space="preserve">Shisha devor (K2 koridori tomoni)</t>
  </si>
  <si>
    <t xml:space="preserve">Shisha eshik va ustidagi shisha (K2 koridori tomoni)</t>
  </si>
  <si>
    <t xml:space="preserve">Call-markaz (XZ4) bilan orasidagi devor — mavjud devordagi bo'shliqni yopish</t>
  </si>
  <si>
    <t xml:space="preserve">3-xona bilan orasidagi devor</t>
  </si>
  <si>
    <t xml:space="preserve">Koridor uchidagi burchak ustunchasi</t>
  </si>
  <si>
    <t xml:space="preserve">Eshik yonidagi kesak (K2 koridori tomoni)</t>
  </si>
  <si>
    <t xml:space="preserve">Shisha ustidagi GKL (K2 koridori bilan orasida)</t>
  </si>
  <si>
    <t xml:space="preserve">5-xona bilan orasidagi devor</t>
  </si>
  <si>
    <t xml:space="preserve">Eshik ustidagi GKL (K2 koridori bilan orasida)</t>
  </si>
  <si>
    <t xml:space="preserve">Orqa devor (L shaklining keng qismi)</t>
  </si>
  <si>
    <t xml:space="preserve">Jami: 4-xona</t>
  </si>
  <si>
    <t xml:space="preserve">6-xona bilan orasidagi devor — mavjud devordagi bo'shliqni yopish</t>
  </si>
  <si>
    <t xml:space="preserve">4-xona, K2 koridori bilan orasidagi devor</t>
  </si>
  <si>
    <t xml:space="preserve">Jami: 5-xona</t>
  </si>
  <si>
    <t xml:space="preserve">7-xona bilan orasidagi devor — mavjud devordagi bo'shliqni yopish</t>
  </si>
  <si>
    <t xml:space="preserve">5-xona bilan orasidagi devor — mavjud devordagi bo'shliqni yopish</t>
  </si>
  <si>
    <t xml:space="preserve">Jami: 6-xona</t>
  </si>
  <si>
    <t xml:space="preserve">Kirish zali bilan orasidagi devor — mavjud devordagi bo'shliqni yopish</t>
  </si>
  <si>
    <t xml:space="preserve">Jami: 7-xona</t>
  </si>
  <si>
    <t xml:space="preserve">K1 koridori bilan orasidagi devor</t>
  </si>
  <si>
    <t xml:space="preserve">Admin (XZ2) bilan orasidagi devor</t>
  </si>
  <si>
    <t xml:space="preserve">Koworking bilan orasidagi devor</t>
  </si>
  <si>
    <t xml:space="preserve">Jami: Offline sotuv (XZ1)</t>
  </si>
  <si>
    <t xml:space="preserve">Ustozlar xonasi (XZ3) bilan orasidagi devor — mavjud devordagi bo'shliqni yopish</t>
  </si>
  <si>
    <t xml:space="preserve">Offline sotuv (XZ1) bilan orasidagi devor</t>
  </si>
  <si>
    <t xml:space="preserve">Ustozlar xonasi (XZ3) bilan orasidagi devor</t>
  </si>
  <si>
    <t xml:space="preserve">Jami: Admin (XZ2)</t>
  </si>
  <si>
    <t xml:space="preserve">Admin (XZ2) bilan orasidagi devor — mavjud devordagi bo'shliqni yopish</t>
  </si>
  <si>
    <t xml:space="preserve">Call-markaz (XZ4) bilan orasidagi devor</t>
  </si>
  <si>
    <t xml:space="preserve">K2 koridori bilan orasidagi devor</t>
  </si>
  <si>
    <t xml:space="preserve">Jami: Ustozlar xonasi (XZ3)</t>
  </si>
  <si>
    <t xml:space="preserve">4-xona bilan orasidagi devor — mavjud devordagi bo'shliqni yopish</t>
  </si>
  <si>
    <t xml:space="preserve">4-xona bilan orasidagi devor</t>
  </si>
  <si>
    <t xml:space="preserve">Jami: Call-markaz (XZ4)</t>
  </si>
  <si>
    <t xml:space="preserve">Zinapoya va kirish zali bilan orasidagi devor (eshikli)</t>
  </si>
  <si>
    <t xml:space="preserve">Eshik o'rni (ayiriladi)</t>
  </si>
  <si>
    <t xml:space="preserve">7-xona bilan orasidagi devor</t>
  </si>
  <si>
    <t xml:space="preserve">Jami: CEO xonasi (12-xona)</t>
  </si>
  <si>
    <t xml:space="preserve">Shisha ustidagi GKL (1-xona bilan orasida)</t>
  </si>
  <si>
    <t xml:space="preserve">Eshik yonidagi kesak (1-xona tomoni)</t>
  </si>
  <si>
    <t xml:space="preserve">Shisha ustidagi GKL (2-xona bilan orasida)</t>
  </si>
  <si>
    <t xml:space="preserve">Eshik yonidagi kesak (2-xona, 3-xona tomoni)</t>
  </si>
  <si>
    <t xml:space="preserve">Eshik yonidagi kesak (3-xona tomoni)</t>
  </si>
  <si>
    <t xml:space="preserve">Shisha ustidagi GKL (4-xona bilan orasida)</t>
  </si>
  <si>
    <t xml:space="preserve">Offline sotuv (XZ1), Admin (XZ2) bilan orasidagi devor</t>
  </si>
  <si>
    <t xml:space="preserve">Shisha ustidagi GKL (Ustozlar xonasi (XZ3) bilan orasida)</t>
  </si>
  <si>
    <t xml:space="preserve">Shisha ustidagi GKL (Call-markaz (XZ4) bilan orasida)</t>
  </si>
  <si>
    <t xml:space="preserve">Eshik ustidagi GKL (1-xona eshigi)</t>
  </si>
  <si>
    <t xml:space="preserve">Eshik ustidagi GKL (2-xona eshigi)</t>
  </si>
  <si>
    <t xml:space="preserve">Eshik ustidagi GKL (3-xona eshigi)</t>
  </si>
  <si>
    <t xml:space="preserve">Eshik ustidagi GKL (Ustozlar xonasi (XZ3) eshigi)</t>
  </si>
  <si>
    <t xml:space="preserve">Eshik ustidagi GKL (Call-markaz (XZ4) eshigi)</t>
  </si>
  <si>
    <t xml:space="preserve">Lampalar</t>
  </si>
  <si>
    <t xml:space="preserve">Jami: K1 koridori</t>
  </si>
  <si>
    <t xml:space="preserve">Shisha ustidagi GKL (Offline sotuv (XZ1) bilan orasida)</t>
  </si>
  <si>
    <t xml:space="preserve">Shisha ustidagi GKL (Admin (XZ2) bilan orasida)</t>
  </si>
  <si>
    <t xml:space="preserve">4-xona, Ustozlar xonasi (XZ3), Call-markaz (XZ4) bilan orasidagi devor</t>
  </si>
  <si>
    <t xml:space="preserve">Eshik yonidagi kesak (4-xona tomoni)</t>
  </si>
  <si>
    <t xml:space="preserve">Eshik yonidagi kesak (7-xona tomoni)</t>
  </si>
  <si>
    <t xml:space="preserve">Shisha ustidagi GKL (7-xona bilan orasida)</t>
  </si>
  <si>
    <t xml:space="preserve">Eshik yonidagi kesak (6-xona tomoni)</t>
  </si>
  <si>
    <t xml:space="preserve">Shisha ustidagi GKL (6-xona bilan orasida)</t>
  </si>
  <si>
    <t xml:space="preserve">Eshik yonidagi kesak (5-xona tomoni)</t>
  </si>
  <si>
    <t xml:space="preserve">Eshik ustidagi GKL (4-xona eshigi)</t>
  </si>
  <si>
    <t xml:space="preserve">Eshik ustidagi GKL (5-xona eshigi)</t>
  </si>
  <si>
    <t xml:space="preserve">Eshik ustidagi GKL (6-xona eshigi)</t>
  </si>
  <si>
    <t xml:space="preserve">Eshik ustidagi GKL (7-xona eshigi)</t>
  </si>
  <si>
    <t xml:space="preserve">Eshik ustidagi GKL (Offline sotuv (XZ1) eshigi)</t>
  </si>
  <si>
    <t xml:space="preserve">Eshik ustidagi GKL (Admin (XZ2) eshigi)</t>
  </si>
  <si>
    <t xml:space="preserve">Jami: K2 koridori</t>
  </si>
  <si>
    <t xml:space="preserve">1-xona bilan orasidagi devor — mavjud devordagi bo'shliqni yopish</t>
  </si>
  <si>
    <t xml:space="preserve">Offline sotuv (XZ1) bilan orasidagi devor — mavjud devordagi bo'shliqni yopish</t>
  </si>
  <si>
    <t xml:space="preserve">Jami: Koworking zali</t>
  </si>
  <si>
    <t xml:space="preserve">Jami: Kirish zali</t>
  </si>
  <si>
    <t xml:space="preserve">Perila (buyurtmachi bergan uzunlik)</t>
  </si>
  <si>
    <t xml:space="preserve">Jami: Zinapoya</t>
  </si>
  <si>
    <t xml:space="preserve">Kamera tizimi</t>
  </si>
  <si>
    <t xml:space="preserve">Kamera o'rnatish</t>
  </si>
  <si>
    <t xml:space="preserve">Kabellar (jami)</t>
  </si>
  <si>
    <t xml:space="preserve">Logotip</t>
  </si>
  <si>
    <t xml:space="preserve">Matli plyonka</t>
  </si>
  <si>
    <t xml:space="preserve">Shisha devorlarga matli plyonka</t>
  </si>
  <si>
    <t xml:space="preserve">Yong'in xavfsizligi</t>
  </si>
  <si>
    <t xml:space="preserve">Signalizatsiya, o't o'chirgichlar, evakuatsiya belgilari, avariya chiroqlari (jami)</t>
  </si>
  <si>
    <t xml:space="preserve">Buzish ishlari</t>
  </si>
  <si>
    <t xml:space="preserve">Devorni buzish — K2 koridori o'rnidagi bo'lak</t>
  </si>
  <si>
    <t xml:space="preserve">Devorni buzish — eski o'rta devor</t>
  </si>
  <si>
    <t xml:space="preserve">Devorni buzish — 7 va 11-xonalar orasidagi devor</t>
  </si>
  <si>
    <t xml:space="preserve">Devorni buzish — K1 koridori o'rnidagi bo'lak</t>
  </si>
  <si>
    <t xml:space="preserve">Qurilish chiqindisini olib chiqish (jami)</t>
  </si>
  <si>
    <t xml:space="preserve">Jami: Butun qavat (umumiy ishlar)</t>
  </si>
  <si>
    <t xml:space="preserve">Doska devori (eni)</t>
  </si>
  <si>
    <t xml:space="preserve">Orqa devor (eni)</t>
  </si>
  <si>
    <t xml:space="preserve">Uzun devor (eshikli)</t>
  </si>
  <si>
    <t xml:space="preserve">Shimoliy devorga (eshikdan kirganda chapda)</t>
  </si>
  <si>
    <t xml:space="preserve">Jami: 3-qavat 5-xona — o'quv xonasi (24 o'rin)</t>
  </si>
  <si>
    <t xml:space="preserve">Santexnika</t>
  </si>
  <si>
    <t xml:space="preserve">Chashagen — 3 ta erkaklar (3-qavat), 1 ta ayollar (2-qavat)</t>
  </si>
  <si>
    <t xml:space="preserve">Unitaz — 1 ta erkaklar, 2 ta ayollar</t>
  </si>
  <si>
    <t xml:space="preserve">Rakovina — 2 ta erkaklar, 2 ta ayollar</t>
  </si>
  <si>
    <t xml:space="preserve">Mustahab — har bir unitaz va chashagenga</t>
  </si>
  <si>
    <t xml:space="preserve">Taxorat smesiteli — 3 ta erkaklar taxorat joyida, 1 ta ayollar</t>
  </si>
  <si>
    <t xml:space="preserve">Rakovina smesiteli — har bir rakovinaga</t>
  </si>
  <si>
    <t xml:space="preserve">Santexnika nuqtalari — usta ishi (suv va kanalizatsiya)</t>
  </si>
  <si>
    <t xml:space="preserve">Kafel</t>
  </si>
  <si>
    <t xml:space="preserve">Erkaklar hojatxonasi devori — kafel (material)</t>
  </si>
  <si>
    <t xml:space="preserve">Erkaklar hojatxonasi devori — yotqizish (usta)</t>
  </si>
  <si>
    <t xml:space="preserve">Erkaklar hojatxonasi poli — kafel (material)</t>
  </si>
  <si>
    <t xml:space="preserve">Erkaklar hojatxonasi poli — yotqizish (usta)</t>
  </si>
  <si>
    <t xml:space="preserve">Jami: Hojatxonalar (3-qavat erkaklar, 2-qavat ayollar)</t>
  </si>
  <si>
    <t xml:space="preserve">JAMI (barcha xonalar)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</si>
</sst>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;\(#,##0.00\);\-"/>
    <numFmt numFmtId="166" formatCode="\$#,##0;&quot;($&quot;#,##0\);\-"/>
    <numFmt numFmtId="167" formatCode="#,##0;\(#,##0\);\-"/>
    <numFmt numFmtId="168" formatCode="#,##0&quot; so'm&quot;"/>
    <numFmt numFmtId="169" formatCode="\$#,##0.00;&quot;($&quot;#,##0.00\);\-"/>
    <numFmt numFmtId="170" formatCode="0.00"/>
    <numFmt numFmtId="171" formatCode="0"/>
    <numFmt numFmtId="172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65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657"/>
        <bgColor rgb="FF003366"/>
      </patternFill>
    </fill>
    <fill>
      <patternFill patternType="solid">
        <fgColor rgb="FFE8EEF6"/>
        <bgColor rgb="FFF2F2F2"/>
      </patternFill>
    </fill>
    <fill>
      <patternFill patternType="solid">
        <fgColor rgb="FFF2F2F2"/>
        <bgColor rgb="FFE8EEF6"/>
      </patternFill>
    </fill>
    <fill>
      <patternFill patternType="solid">
        <fgColor rgb="FFD9E1F2"/>
        <bgColor rgb="FFE8EEF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8EEF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6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9" min="2" style="0" width="12"/>
    <col collapsed="false" customWidth="true" hidden="false" outlineLevel="0" max="20" min="20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false" outlineLevel="0" collapsed="false">
      <c r="A6" s="6" t="s">
        <v>23</v>
      </c>
      <c r="B6" s="7" t="n">
        <f aca="false">SUMIFS('Hisob (batafsil)'!$G$5:$G$271,'Hisob (batafsil)'!$B$5:$B$271,$A6,'Hisob (batafsil)'!$C$5:$C$271,"Shisha devor")</f>
        <v>13.75</v>
      </c>
      <c r="C6" s="8" t="n">
        <f aca="false">SUMIFS('Hisob (batafsil)'!$J$5:$J$271,'Hisob (batafsil)'!$B$5:$B$271,$A6,'Hisob (batafsil)'!$C$5:$C$271,"Shisha devor")</f>
        <v>756.25</v>
      </c>
      <c r="D6" s="7" t="n">
        <f aca="false">SUMIFS('Hisob (batafsil)'!$G$5:$G$271,'Hisob (batafsil)'!$B$5:$B$271,$A6,'Hisob (batafsil)'!$C$5:$C$271,"Gips karton (GKL)")</f>
        <v>7.25</v>
      </c>
      <c r="E6" s="8" t="n">
        <f aca="false">SUMIFS('Hisob (batafsil)'!$J$5:$J$271,'Hisob (batafsil)'!$B$5:$B$271,$A6,'Hisob (batafsil)'!$C$5:$C$271,"Gips karton (GKL)")</f>
        <v>87</v>
      </c>
      <c r="F6" s="7" t="n">
        <f aca="false">SUMIFS('Hisob (batafsil)'!$G$5:$G$271,'Hisob (batafsil)'!$B$5:$B$271,$A6,'Hisob (batafsil)'!$C$5:$C$271,"Bambuk panel")</f>
        <v>53.9</v>
      </c>
      <c r="G6" s="8" t="n">
        <f aca="false">SUMIFS('Hisob (batafsil)'!$J$5:$J$271,'Hisob (batafsil)'!$B$5:$B$271,$A6,'Hisob (batafsil)'!$C$5:$C$271,"Bambuk panel")</f>
        <v>835.45</v>
      </c>
      <c r="H6" s="9" t="n">
        <f aca="false">SUMIFS('Hisob (batafsil)'!$G$5:$G$271,'Hisob (batafsil)'!$B$5:$B$271,$A6,'Hisob (batafsil)'!$C$5:$C$271,"Interaktiv doska")</f>
        <v>1</v>
      </c>
      <c r="I6" s="8" t="n">
        <f aca="false">SUMIFS('Hisob (batafsil)'!$J$5:$J$271,'Hisob (batafsil)'!$B$5:$B$271,$A6,'Hisob (batafsil)'!$C$5:$C$271,"Interaktiv doska")</f>
        <v>1032</v>
      </c>
      <c r="J6" s="7" t="n">
        <f aca="false">SUMIFS('Hisob (batafsil)'!$G$5:$G$271,'Hisob (batafsil)'!$B$5:$B$271,$A6,'Hisob (batafsil)'!$C$5:$C$271,"Perila")</f>
        <v>0</v>
      </c>
      <c r="K6" s="8" t="n">
        <f aca="false">SUMIFS('Hisob (batafsil)'!$J$5:$J$271,'Hisob (batafsil)'!$B$5:$B$271,$A6,'Hisob (batafsil)'!$C$5:$C$271,"Perila")</f>
        <v>0</v>
      </c>
      <c r="L6" s="8" t="n">
        <f aca="false">SUMIFS('Hisob (batafsil)'!$J$5:$J$271,'Hisob (batafsil)'!$B$5:$B$271,$A6,'Hisob (batafsil)'!$C$5:$C$271,"Yoritish")</f>
        <v>168</v>
      </c>
      <c r="M6" s="8" t="n">
        <f aca="false">SUMIFS('Hisob (batafsil)'!$J$5:$J$271,'Hisob (batafsil)'!$B$5:$B$271,$A6,'Hisob (batafsil)'!$C$5:$C$271,"Kamera tizimi")</f>
        <v>0</v>
      </c>
      <c r="N6" s="8" t="n">
        <f aca="false">SUMIFS('Hisob (batafsil)'!$J$5:$J$271,'Hisob (batafsil)'!$B$5:$B$271,$A6,'Hisob (batafsil)'!$C$5:$C$271,"Logotip")</f>
        <v>0</v>
      </c>
      <c r="O6" s="8" t="n">
        <f aca="false">SUMIFS('Hisob (batafsil)'!$J$5:$J$271,'Hisob (batafsil)'!$B$5:$B$271,$A6,'Hisob (batafsil)'!$C$5:$C$271,"Matli plyonka")</f>
        <v>0</v>
      </c>
      <c r="P6" s="8" t="n">
        <f aca="false">SUMIFS('Hisob (batafsil)'!$J$5:$J$271,'Hisob (batafsil)'!$B$5:$B$271,$A6,'Hisob (batafsil)'!$C$5:$C$271,"Yong'in xavfsizligi")</f>
        <v>0</v>
      </c>
      <c r="Q6" s="8" t="n">
        <f aca="false">SUMIFS('Hisob (batafsil)'!$J$5:$J$271,'Hisob (batafsil)'!$B$5:$B$271,$A6,'Hisob (batafsil)'!$C$5:$C$271,"Buzish ishlari")</f>
        <v>0</v>
      </c>
      <c r="R6" s="8" t="n">
        <f aca="false">SUMIFS('Hisob (batafsil)'!$J$5:$J$271,'Hisob (batafsil)'!$B$5:$B$271,$A6,'Hisob (batafsil)'!$C$5:$C$271,"Santexnika")</f>
        <v>0</v>
      </c>
      <c r="S6" s="8" t="n">
        <f aca="false">SUMIFS('Hisob (batafsil)'!$J$5:$J$271,'Hisob (batafsil)'!$B$5:$B$271,$A6,'Hisob (batafsil)'!$C$5:$C$271,"Kafel")</f>
        <v>0</v>
      </c>
      <c r="T6" s="10" t="n">
        <f aca="false">C6+E6+G6+I6+K6+L6+M6+N6+O6+P6+Q6+R6+S6</f>
        <v>2878.7</v>
      </c>
    </row>
    <row r="7" customFormat="false" ht="15" hidden="false" customHeight="false" outlineLevel="0" collapsed="false">
      <c r="A7" s="6" t="s">
        <v>24</v>
      </c>
      <c r="B7" s="7" t="n">
        <f aca="false">SUMIFS('Hisob (batafsil)'!$G$5:$G$271,'Hisob (batafsil)'!$B$5:$B$271,$A7,'Hisob (batafsil)'!$C$5:$C$271,"Shisha devor")</f>
        <v>14</v>
      </c>
      <c r="C7" s="8" t="n">
        <f aca="false">SUMIFS('Hisob (batafsil)'!$J$5:$J$271,'Hisob (batafsil)'!$B$5:$B$271,$A7,'Hisob (batafsil)'!$C$5:$C$271,"Shisha devor")</f>
        <v>770</v>
      </c>
      <c r="D7" s="7" t="n">
        <f aca="false">SUMIFS('Hisob (batafsil)'!$G$5:$G$271,'Hisob (batafsil)'!$B$5:$B$271,$A7,'Hisob (batafsil)'!$C$5:$C$271,"Gips karton (GKL)")</f>
        <v>6.3</v>
      </c>
      <c r="E7" s="8" t="n">
        <f aca="false">SUMIFS('Hisob (batafsil)'!$J$5:$J$271,'Hisob (batafsil)'!$B$5:$B$271,$A7,'Hisob (batafsil)'!$C$5:$C$271,"Gips karton (GKL)")</f>
        <v>75.6</v>
      </c>
      <c r="F7" s="7" t="n">
        <f aca="false">SUMIFS('Hisob (batafsil)'!$G$5:$G$271,'Hisob (batafsil)'!$B$5:$B$271,$A7,'Hisob (batafsil)'!$C$5:$C$271,"Bambuk panel")</f>
        <v>53.9</v>
      </c>
      <c r="G7" s="8" t="n">
        <f aca="false">SUMIFS('Hisob (batafsil)'!$J$5:$J$271,'Hisob (batafsil)'!$B$5:$B$271,$A7,'Hisob (batafsil)'!$C$5:$C$271,"Bambuk panel")</f>
        <v>835.45</v>
      </c>
      <c r="H7" s="9" t="n">
        <f aca="false">SUMIFS('Hisob (batafsil)'!$G$5:$G$271,'Hisob (batafsil)'!$B$5:$B$271,$A7,'Hisob (batafsil)'!$C$5:$C$271,"Interaktiv doska")</f>
        <v>1</v>
      </c>
      <c r="I7" s="8" t="n">
        <f aca="false">SUMIFS('Hisob (batafsil)'!$J$5:$J$271,'Hisob (batafsil)'!$B$5:$B$271,$A7,'Hisob (batafsil)'!$C$5:$C$271,"Interaktiv doska")</f>
        <v>1032</v>
      </c>
      <c r="J7" s="7" t="n">
        <f aca="false">SUMIFS('Hisob (batafsil)'!$G$5:$G$271,'Hisob (batafsil)'!$B$5:$B$271,$A7,'Hisob (batafsil)'!$C$5:$C$271,"Perila")</f>
        <v>0</v>
      </c>
      <c r="K7" s="8" t="n">
        <f aca="false">SUMIFS('Hisob (batafsil)'!$J$5:$J$271,'Hisob (batafsil)'!$B$5:$B$271,$A7,'Hisob (batafsil)'!$C$5:$C$271,"Perila")</f>
        <v>0</v>
      </c>
      <c r="L7" s="8" t="n">
        <f aca="false">SUMIFS('Hisob (batafsil)'!$J$5:$J$271,'Hisob (batafsil)'!$B$5:$B$271,$A7,'Hisob (batafsil)'!$C$5:$C$271,"Yoritish")</f>
        <v>168</v>
      </c>
      <c r="M7" s="8" t="n">
        <f aca="false">SUMIFS('Hisob (batafsil)'!$J$5:$J$271,'Hisob (batafsil)'!$B$5:$B$271,$A7,'Hisob (batafsil)'!$C$5:$C$271,"Kamera tizimi")</f>
        <v>0</v>
      </c>
      <c r="N7" s="8" t="n">
        <f aca="false">SUMIFS('Hisob (batafsil)'!$J$5:$J$271,'Hisob (batafsil)'!$B$5:$B$271,$A7,'Hisob (batafsil)'!$C$5:$C$271,"Logotip")</f>
        <v>0</v>
      </c>
      <c r="O7" s="8" t="n">
        <f aca="false">SUMIFS('Hisob (batafsil)'!$J$5:$J$271,'Hisob (batafsil)'!$B$5:$B$271,$A7,'Hisob (batafsil)'!$C$5:$C$271,"Matli plyonka")</f>
        <v>0</v>
      </c>
      <c r="P7" s="8" t="n">
        <f aca="false">SUMIFS('Hisob (batafsil)'!$J$5:$J$271,'Hisob (batafsil)'!$B$5:$B$271,$A7,'Hisob (batafsil)'!$C$5:$C$271,"Yong'in xavfsizligi")</f>
        <v>0</v>
      </c>
      <c r="Q7" s="8" t="n">
        <f aca="false">SUMIFS('Hisob (batafsil)'!$J$5:$J$271,'Hisob (batafsil)'!$B$5:$B$271,$A7,'Hisob (batafsil)'!$C$5:$C$271,"Buzish ishlari")</f>
        <v>0</v>
      </c>
      <c r="R7" s="8" t="n">
        <f aca="false">SUMIFS('Hisob (batafsil)'!$J$5:$J$271,'Hisob (batafsil)'!$B$5:$B$271,$A7,'Hisob (batafsil)'!$C$5:$C$271,"Santexnika")</f>
        <v>0</v>
      </c>
      <c r="S7" s="8" t="n">
        <f aca="false">SUMIFS('Hisob (batafsil)'!$J$5:$J$271,'Hisob (batafsil)'!$B$5:$B$271,$A7,'Hisob (batafsil)'!$C$5:$C$271,"Kafel")</f>
        <v>0</v>
      </c>
      <c r="T7" s="10" t="n">
        <f aca="false">C7+E7+G7+I7+K7+L7+M7+N7+O7+P7+Q7+R7+S7</f>
        <v>2881.05</v>
      </c>
    </row>
    <row r="8" customFormat="false" ht="15" hidden="false" customHeight="false" outlineLevel="0" collapsed="false">
      <c r="A8" s="6" t="s">
        <v>25</v>
      </c>
      <c r="B8" s="7" t="n">
        <f aca="false">SUMIFS('Hisob (batafsil)'!$G$5:$G$271,'Hisob (batafsil)'!$B$5:$B$271,$A8,'Hisob (batafsil)'!$C$5:$C$271,"Shisha devor")</f>
        <v>2.25</v>
      </c>
      <c r="C8" s="8" t="n">
        <f aca="false">SUMIFS('Hisob (batafsil)'!$J$5:$J$271,'Hisob (batafsil)'!$B$5:$B$271,$A8,'Hisob (batafsil)'!$C$5:$C$271,"Shisha devor")</f>
        <v>123.75</v>
      </c>
      <c r="D8" s="7" t="n">
        <f aca="false">SUMIFS('Hisob (batafsil)'!$G$5:$G$271,'Hisob (batafsil)'!$B$5:$B$271,$A8,'Hisob (batafsil)'!$C$5:$C$271,"Gips karton (GKL)")</f>
        <v>17.875</v>
      </c>
      <c r="E8" s="8" t="n">
        <f aca="false">SUMIFS('Hisob (batafsil)'!$J$5:$J$271,'Hisob (batafsil)'!$B$5:$B$271,$A8,'Hisob (batafsil)'!$C$5:$C$271,"Gips karton (GKL)")</f>
        <v>214.5</v>
      </c>
      <c r="F8" s="7" t="n">
        <f aca="false">SUMIFS('Hisob (batafsil)'!$G$5:$G$271,'Hisob (batafsil)'!$B$5:$B$271,$A8,'Hisob (batafsil)'!$C$5:$C$271,"Bambuk panel")</f>
        <v>53.9</v>
      </c>
      <c r="G8" s="8" t="n">
        <f aca="false">SUMIFS('Hisob (batafsil)'!$J$5:$J$271,'Hisob (batafsil)'!$B$5:$B$271,$A8,'Hisob (batafsil)'!$C$5:$C$271,"Bambuk panel")</f>
        <v>835.45</v>
      </c>
      <c r="H8" s="9" t="n">
        <f aca="false">SUMIFS('Hisob (batafsil)'!$G$5:$G$271,'Hisob (batafsil)'!$B$5:$B$271,$A8,'Hisob (batafsil)'!$C$5:$C$271,"Interaktiv doska")</f>
        <v>1</v>
      </c>
      <c r="I8" s="8" t="n">
        <f aca="false">SUMIFS('Hisob (batafsil)'!$J$5:$J$271,'Hisob (batafsil)'!$B$5:$B$271,$A8,'Hisob (batafsil)'!$C$5:$C$271,"Interaktiv doska")</f>
        <v>1032</v>
      </c>
      <c r="J8" s="7" t="n">
        <f aca="false">SUMIFS('Hisob (batafsil)'!$G$5:$G$271,'Hisob (batafsil)'!$B$5:$B$271,$A8,'Hisob (batafsil)'!$C$5:$C$271,"Perila")</f>
        <v>0</v>
      </c>
      <c r="K8" s="8" t="n">
        <f aca="false">SUMIFS('Hisob (batafsil)'!$J$5:$J$271,'Hisob (batafsil)'!$B$5:$B$271,$A8,'Hisob (batafsil)'!$C$5:$C$271,"Perila")</f>
        <v>0</v>
      </c>
      <c r="L8" s="8" t="n">
        <f aca="false">SUMIFS('Hisob (batafsil)'!$J$5:$J$271,'Hisob (batafsil)'!$B$5:$B$271,$A8,'Hisob (batafsil)'!$C$5:$C$271,"Yoritish")</f>
        <v>168</v>
      </c>
      <c r="M8" s="8" t="n">
        <f aca="false">SUMIFS('Hisob (batafsil)'!$J$5:$J$271,'Hisob (batafsil)'!$B$5:$B$271,$A8,'Hisob (batafsil)'!$C$5:$C$271,"Kamera tizimi")</f>
        <v>0</v>
      </c>
      <c r="N8" s="8" t="n">
        <f aca="false">SUMIFS('Hisob (batafsil)'!$J$5:$J$271,'Hisob (batafsil)'!$B$5:$B$271,$A8,'Hisob (batafsil)'!$C$5:$C$271,"Logotip")</f>
        <v>0</v>
      </c>
      <c r="O8" s="8" t="n">
        <f aca="false">SUMIFS('Hisob (batafsil)'!$J$5:$J$271,'Hisob (batafsil)'!$B$5:$B$271,$A8,'Hisob (batafsil)'!$C$5:$C$271,"Matli plyonka")</f>
        <v>0</v>
      </c>
      <c r="P8" s="8" t="n">
        <f aca="false">SUMIFS('Hisob (batafsil)'!$J$5:$J$271,'Hisob (batafsil)'!$B$5:$B$271,$A8,'Hisob (batafsil)'!$C$5:$C$271,"Yong'in xavfsizligi")</f>
        <v>0</v>
      </c>
      <c r="Q8" s="8" t="n">
        <f aca="false">SUMIFS('Hisob (batafsil)'!$J$5:$J$271,'Hisob (batafsil)'!$B$5:$B$271,$A8,'Hisob (batafsil)'!$C$5:$C$271,"Buzish ishlari")</f>
        <v>0</v>
      </c>
      <c r="R8" s="8" t="n">
        <f aca="false">SUMIFS('Hisob (batafsil)'!$J$5:$J$271,'Hisob (batafsil)'!$B$5:$B$271,$A8,'Hisob (batafsil)'!$C$5:$C$271,"Santexnika")</f>
        <v>0</v>
      </c>
      <c r="S8" s="8" t="n">
        <f aca="false">SUMIFS('Hisob (batafsil)'!$J$5:$J$271,'Hisob (batafsil)'!$B$5:$B$271,$A8,'Hisob (batafsil)'!$C$5:$C$271,"Kafel")</f>
        <v>0</v>
      </c>
      <c r="T8" s="10" t="n">
        <f aca="false">C8+E8+G8+I8+K8+L8+M8+N8+O8+P8+Q8+R8+S8</f>
        <v>2373.7</v>
      </c>
    </row>
    <row r="9" customFormat="false" ht="15" hidden="false" customHeight="false" outlineLevel="0" collapsed="false">
      <c r="A9" s="6" t="s">
        <v>26</v>
      </c>
      <c r="B9" s="7" t="n">
        <f aca="false">SUMIFS('Hisob (batafsil)'!$G$5:$G$271,'Hisob (batafsil)'!$B$5:$B$271,$A9,'Hisob (batafsil)'!$C$5:$C$271,"Shisha devor")</f>
        <v>12.625</v>
      </c>
      <c r="C9" s="8" t="n">
        <f aca="false">SUMIFS('Hisob (batafsil)'!$J$5:$J$271,'Hisob (batafsil)'!$B$5:$B$271,$A9,'Hisob (batafsil)'!$C$5:$C$271,"Shisha devor")</f>
        <v>694.375</v>
      </c>
      <c r="D9" s="7" t="n">
        <f aca="false">SUMIFS('Hisob (batafsil)'!$G$5:$G$271,'Hisob (batafsil)'!$B$5:$B$271,$A9,'Hisob (batafsil)'!$C$5:$C$271,"Gips karton (GKL)")</f>
        <v>41.625</v>
      </c>
      <c r="E9" s="8" t="n">
        <f aca="false">SUMIFS('Hisob (batafsil)'!$J$5:$J$271,'Hisob (batafsil)'!$B$5:$B$271,$A9,'Hisob (batafsil)'!$C$5:$C$271,"Gips karton (GKL)")</f>
        <v>499.5</v>
      </c>
      <c r="F9" s="7" t="n">
        <f aca="false">SUMIFS('Hisob (batafsil)'!$G$5:$G$271,'Hisob (batafsil)'!$B$5:$B$271,$A9,'Hisob (batafsil)'!$C$5:$C$271,"Bambuk panel")</f>
        <v>50.4</v>
      </c>
      <c r="G9" s="8" t="n">
        <f aca="false">SUMIFS('Hisob (batafsil)'!$J$5:$J$271,'Hisob (batafsil)'!$B$5:$B$271,$A9,'Hisob (batafsil)'!$C$5:$C$271,"Bambuk panel")</f>
        <v>781.2</v>
      </c>
      <c r="H9" s="9" t="n">
        <f aca="false">SUMIFS('Hisob (batafsil)'!$G$5:$G$271,'Hisob (batafsil)'!$B$5:$B$271,$A9,'Hisob (batafsil)'!$C$5:$C$271,"Interaktiv doska")</f>
        <v>1</v>
      </c>
      <c r="I9" s="8" t="n">
        <f aca="false">SUMIFS('Hisob (batafsil)'!$J$5:$J$271,'Hisob (batafsil)'!$B$5:$B$271,$A9,'Hisob (batafsil)'!$C$5:$C$271,"Interaktiv doska")</f>
        <v>1032</v>
      </c>
      <c r="J9" s="7" t="n">
        <f aca="false">SUMIFS('Hisob (batafsil)'!$G$5:$G$271,'Hisob (batafsil)'!$B$5:$B$271,$A9,'Hisob (batafsil)'!$C$5:$C$271,"Perila")</f>
        <v>0</v>
      </c>
      <c r="K9" s="8" t="n">
        <f aca="false">SUMIFS('Hisob (batafsil)'!$J$5:$J$271,'Hisob (batafsil)'!$B$5:$B$271,$A9,'Hisob (batafsil)'!$C$5:$C$271,"Perila")</f>
        <v>0</v>
      </c>
      <c r="L9" s="8" t="n">
        <f aca="false">SUMIFS('Hisob (batafsil)'!$J$5:$J$271,'Hisob (batafsil)'!$B$5:$B$271,$A9,'Hisob (batafsil)'!$C$5:$C$271,"Yoritish")</f>
        <v>168</v>
      </c>
      <c r="M9" s="8" t="n">
        <f aca="false">SUMIFS('Hisob (batafsil)'!$J$5:$J$271,'Hisob (batafsil)'!$B$5:$B$271,$A9,'Hisob (batafsil)'!$C$5:$C$271,"Kamera tizimi")</f>
        <v>0</v>
      </c>
      <c r="N9" s="8" t="n">
        <f aca="false">SUMIFS('Hisob (batafsil)'!$J$5:$J$271,'Hisob (batafsil)'!$B$5:$B$271,$A9,'Hisob (batafsil)'!$C$5:$C$271,"Logotip")</f>
        <v>0</v>
      </c>
      <c r="O9" s="8" t="n">
        <f aca="false">SUMIFS('Hisob (batafsil)'!$J$5:$J$271,'Hisob (batafsil)'!$B$5:$B$271,$A9,'Hisob (batafsil)'!$C$5:$C$271,"Matli plyonka")</f>
        <v>0</v>
      </c>
      <c r="P9" s="8" t="n">
        <f aca="false">SUMIFS('Hisob (batafsil)'!$J$5:$J$271,'Hisob (batafsil)'!$B$5:$B$271,$A9,'Hisob (batafsil)'!$C$5:$C$271,"Yong'in xavfsizligi")</f>
        <v>0</v>
      </c>
      <c r="Q9" s="8" t="n">
        <f aca="false">SUMIFS('Hisob (batafsil)'!$J$5:$J$271,'Hisob (batafsil)'!$B$5:$B$271,$A9,'Hisob (batafsil)'!$C$5:$C$271,"Buzish ishlari")</f>
        <v>0</v>
      </c>
      <c r="R9" s="8" t="n">
        <f aca="false">SUMIFS('Hisob (batafsil)'!$J$5:$J$271,'Hisob (batafsil)'!$B$5:$B$271,$A9,'Hisob (batafsil)'!$C$5:$C$271,"Santexnika")</f>
        <v>0</v>
      </c>
      <c r="S9" s="8" t="n">
        <f aca="false">SUMIFS('Hisob (batafsil)'!$J$5:$J$271,'Hisob (batafsil)'!$B$5:$B$271,$A9,'Hisob (batafsil)'!$C$5:$C$271,"Kafel")</f>
        <v>0</v>
      </c>
      <c r="T9" s="10" t="n">
        <f aca="false">C9+E9+G9+I9+K9+L9+M9+N9+O9+P9+Q9+R9+S9</f>
        <v>3175.075</v>
      </c>
    </row>
    <row r="10" customFormat="false" ht="15" hidden="false" customHeight="false" outlineLevel="0" collapsed="false">
      <c r="A10" s="6" t="s">
        <v>27</v>
      </c>
      <c r="B10" s="7" t="n">
        <f aca="false">SUMIFS('Hisob (batafsil)'!$G$5:$G$271,'Hisob (batafsil)'!$B$5:$B$271,$A10,'Hisob (batafsil)'!$C$5:$C$271,"Shisha devor")</f>
        <v>2.25</v>
      </c>
      <c r="C10" s="8" t="n">
        <f aca="false">SUMIFS('Hisob (batafsil)'!$J$5:$J$271,'Hisob (batafsil)'!$B$5:$B$271,$A10,'Hisob (batafsil)'!$C$5:$C$271,"Shisha devor")</f>
        <v>123.75</v>
      </c>
      <c r="D10" s="7" t="n">
        <f aca="false">SUMIFS('Hisob (batafsil)'!$G$5:$G$271,'Hisob (batafsil)'!$B$5:$B$271,$A10,'Hisob (batafsil)'!$C$5:$C$271,"Gips karton (GKL)")</f>
        <v>27.5</v>
      </c>
      <c r="E10" s="8" t="n">
        <f aca="false">SUMIFS('Hisob (batafsil)'!$J$5:$J$271,'Hisob (batafsil)'!$B$5:$B$271,$A10,'Hisob (batafsil)'!$C$5:$C$271,"Gips karton (GKL)")</f>
        <v>330</v>
      </c>
      <c r="F10" s="7" t="n">
        <f aca="false">SUMIFS('Hisob (batafsil)'!$G$5:$G$271,'Hisob (batafsil)'!$B$5:$B$271,$A10,'Hisob (batafsil)'!$C$5:$C$271,"Bambuk panel")</f>
        <v>53.9</v>
      </c>
      <c r="G10" s="8" t="n">
        <f aca="false">SUMIFS('Hisob (batafsil)'!$J$5:$J$271,'Hisob (batafsil)'!$B$5:$B$271,$A10,'Hisob (batafsil)'!$C$5:$C$271,"Bambuk panel")</f>
        <v>835.45</v>
      </c>
      <c r="H10" s="9" t="n">
        <f aca="false">SUMIFS('Hisob (batafsil)'!$G$5:$G$271,'Hisob (batafsil)'!$B$5:$B$271,$A10,'Hisob (batafsil)'!$C$5:$C$271,"Interaktiv doska")</f>
        <v>1</v>
      </c>
      <c r="I10" s="8" t="n">
        <f aca="false">SUMIFS('Hisob (batafsil)'!$J$5:$J$271,'Hisob (batafsil)'!$B$5:$B$271,$A10,'Hisob (batafsil)'!$C$5:$C$271,"Interaktiv doska")</f>
        <v>1032</v>
      </c>
      <c r="J10" s="7" t="n">
        <f aca="false">SUMIFS('Hisob (batafsil)'!$G$5:$G$271,'Hisob (batafsil)'!$B$5:$B$271,$A10,'Hisob (batafsil)'!$C$5:$C$271,"Perila")</f>
        <v>0</v>
      </c>
      <c r="K10" s="8" t="n">
        <f aca="false">SUMIFS('Hisob (batafsil)'!$J$5:$J$271,'Hisob (batafsil)'!$B$5:$B$271,$A10,'Hisob (batafsil)'!$C$5:$C$271,"Perila")</f>
        <v>0</v>
      </c>
      <c r="L10" s="8" t="n">
        <f aca="false">SUMIFS('Hisob (batafsil)'!$J$5:$J$271,'Hisob (batafsil)'!$B$5:$B$271,$A10,'Hisob (batafsil)'!$C$5:$C$271,"Yoritish")</f>
        <v>168</v>
      </c>
      <c r="M10" s="8" t="n">
        <f aca="false">SUMIFS('Hisob (batafsil)'!$J$5:$J$271,'Hisob (batafsil)'!$B$5:$B$271,$A10,'Hisob (batafsil)'!$C$5:$C$271,"Kamera tizimi")</f>
        <v>0</v>
      </c>
      <c r="N10" s="8" t="n">
        <f aca="false">SUMIFS('Hisob (batafsil)'!$J$5:$J$271,'Hisob (batafsil)'!$B$5:$B$271,$A10,'Hisob (batafsil)'!$C$5:$C$271,"Logotip")</f>
        <v>0</v>
      </c>
      <c r="O10" s="8" t="n">
        <f aca="false">SUMIFS('Hisob (batafsil)'!$J$5:$J$271,'Hisob (batafsil)'!$B$5:$B$271,$A10,'Hisob (batafsil)'!$C$5:$C$271,"Matli plyonka")</f>
        <v>0</v>
      </c>
      <c r="P10" s="8" t="n">
        <f aca="false">SUMIFS('Hisob (batafsil)'!$J$5:$J$271,'Hisob (batafsil)'!$B$5:$B$271,$A10,'Hisob (batafsil)'!$C$5:$C$271,"Yong'in xavfsizligi")</f>
        <v>0</v>
      </c>
      <c r="Q10" s="8" t="n">
        <f aca="false">SUMIFS('Hisob (batafsil)'!$J$5:$J$271,'Hisob (batafsil)'!$B$5:$B$271,$A10,'Hisob (batafsil)'!$C$5:$C$271,"Buzish ishlari")</f>
        <v>0</v>
      </c>
      <c r="R10" s="8" t="n">
        <f aca="false">SUMIFS('Hisob (batafsil)'!$J$5:$J$271,'Hisob (batafsil)'!$B$5:$B$271,$A10,'Hisob (batafsil)'!$C$5:$C$271,"Santexnika")</f>
        <v>0</v>
      </c>
      <c r="S10" s="8" t="n">
        <f aca="false">SUMIFS('Hisob (batafsil)'!$J$5:$J$271,'Hisob (batafsil)'!$B$5:$B$271,$A10,'Hisob (batafsil)'!$C$5:$C$271,"Kafel")</f>
        <v>0</v>
      </c>
      <c r="T10" s="10" t="n">
        <f aca="false">C10+E10+G10+I10+K10+L10+M10+N10+O10+P10+Q10+R10+S10</f>
        <v>2489.2</v>
      </c>
    </row>
    <row r="11" customFormat="false" ht="15" hidden="false" customHeight="false" outlineLevel="0" collapsed="false">
      <c r="A11" s="6" t="s">
        <v>28</v>
      </c>
      <c r="B11" s="7" t="n">
        <f aca="false">SUMIFS('Hisob (batafsil)'!$G$5:$G$271,'Hisob (batafsil)'!$B$5:$B$271,$A11,'Hisob (batafsil)'!$C$5:$C$271,"Shisha devor")</f>
        <v>14</v>
      </c>
      <c r="C11" s="8" t="n">
        <f aca="false">SUMIFS('Hisob (batafsil)'!$J$5:$J$271,'Hisob (batafsil)'!$B$5:$B$271,$A11,'Hisob (batafsil)'!$C$5:$C$271,"Shisha devor")</f>
        <v>770</v>
      </c>
      <c r="D11" s="7" t="n">
        <f aca="false">SUMIFS('Hisob (batafsil)'!$G$5:$G$271,'Hisob (batafsil)'!$B$5:$B$271,$A11,'Hisob (batafsil)'!$C$5:$C$271,"Gips karton (GKL)")</f>
        <v>25.55</v>
      </c>
      <c r="E11" s="8" t="n">
        <f aca="false">SUMIFS('Hisob (batafsil)'!$J$5:$J$271,'Hisob (batafsil)'!$B$5:$B$271,$A11,'Hisob (batafsil)'!$C$5:$C$271,"Gips karton (GKL)")</f>
        <v>306.6</v>
      </c>
      <c r="F11" s="7" t="n">
        <f aca="false">SUMIFS('Hisob (batafsil)'!$G$5:$G$271,'Hisob (batafsil)'!$B$5:$B$271,$A11,'Hisob (batafsil)'!$C$5:$C$271,"Bambuk panel")</f>
        <v>53.9</v>
      </c>
      <c r="G11" s="8" t="n">
        <f aca="false">SUMIFS('Hisob (batafsil)'!$J$5:$J$271,'Hisob (batafsil)'!$B$5:$B$271,$A11,'Hisob (batafsil)'!$C$5:$C$271,"Bambuk panel")</f>
        <v>835.45</v>
      </c>
      <c r="H11" s="9" t="n">
        <f aca="false">SUMIFS('Hisob (batafsil)'!$G$5:$G$271,'Hisob (batafsil)'!$B$5:$B$271,$A11,'Hisob (batafsil)'!$C$5:$C$271,"Interaktiv doska")</f>
        <v>1</v>
      </c>
      <c r="I11" s="8" t="n">
        <f aca="false">SUMIFS('Hisob (batafsil)'!$J$5:$J$271,'Hisob (batafsil)'!$B$5:$B$271,$A11,'Hisob (batafsil)'!$C$5:$C$271,"Interaktiv doska")</f>
        <v>1032</v>
      </c>
      <c r="J11" s="7" t="n">
        <f aca="false">SUMIFS('Hisob (batafsil)'!$G$5:$G$271,'Hisob (batafsil)'!$B$5:$B$271,$A11,'Hisob (batafsil)'!$C$5:$C$271,"Perila")</f>
        <v>0</v>
      </c>
      <c r="K11" s="8" t="n">
        <f aca="false">SUMIFS('Hisob (batafsil)'!$J$5:$J$271,'Hisob (batafsil)'!$B$5:$B$271,$A11,'Hisob (batafsil)'!$C$5:$C$271,"Perila")</f>
        <v>0</v>
      </c>
      <c r="L11" s="8" t="n">
        <f aca="false">SUMIFS('Hisob (batafsil)'!$J$5:$J$271,'Hisob (batafsil)'!$B$5:$B$271,$A11,'Hisob (batafsil)'!$C$5:$C$271,"Yoritish")</f>
        <v>168</v>
      </c>
      <c r="M11" s="8" t="n">
        <f aca="false">SUMIFS('Hisob (batafsil)'!$J$5:$J$271,'Hisob (batafsil)'!$B$5:$B$271,$A11,'Hisob (batafsil)'!$C$5:$C$271,"Kamera tizimi")</f>
        <v>0</v>
      </c>
      <c r="N11" s="8" t="n">
        <f aca="false">SUMIFS('Hisob (batafsil)'!$J$5:$J$271,'Hisob (batafsil)'!$B$5:$B$271,$A11,'Hisob (batafsil)'!$C$5:$C$271,"Logotip")</f>
        <v>0</v>
      </c>
      <c r="O11" s="8" t="n">
        <f aca="false">SUMIFS('Hisob (batafsil)'!$J$5:$J$271,'Hisob (batafsil)'!$B$5:$B$271,$A11,'Hisob (batafsil)'!$C$5:$C$271,"Matli plyonka")</f>
        <v>0</v>
      </c>
      <c r="P11" s="8" t="n">
        <f aca="false">SUMIFS('Hisob (batafsil)'!$J$5:$J$271,'Hisob (batafsil)'!$B$5:$B$271,$A11,'Hisob (batafsil)'!$C$5:$C$271,"Yong'in xavfsizligi")</f>
        <v>0</v>
      </c>
      <c r="Q11" s="8" t="n">
        <f aca="false">SUMIFS('Hisob (batafsil)'!$J$5:$J$271,'Hisob (batafsil)'!$B$5:$B$271,$A11,'Hisob (batafsil)'!$C$5:$C$271,"Buzish ishlari")</f>
        <v>0</v>
      </c>
      <c r="R11" s="8" t="n">
        <f aca="false">SUMIFS('Hisob (batafsil)'!$J$5:$J$271,'Hisob (batafsil)'!$B$5:$B$271,$A11,'Hisob (batafsil)'!$C$5:$C$271,"Santexnika")</f>
        <v>0</v>
      </c>
      <c r="S11" s="8" t="n">
        <f aca="false">SUMIFS('Hisob (batafsil)'!$J$5:$J$271,'Hisob (batafsil)'!$B$5:$B$271,$A11,'Hisob (batafsil)'!$C$5:$C$271,"Kafel")</f>
        <v>0</v>
      </c>
      <c r="T11" s="10" t="n">
        <f aca="false">C11+E11+G11+I11+K11+L11+M11+N11+O11+P11+Q11+R11+S11</f>
        <v>3112.05</v>
      </c>
    </row>
    <row r="12" customFormat="false" ht="15" hidden="false" customHeight="false" outlineLevel="0" collapsed="false">
      <c r="A12" s="6" t="s">
        <v>29</v>
      </c>
      <c r="B12" s="7" t="n">
        <f aca="false">SUMIFS('Hisob (batafsil)'!$G$5:$G$271,'Hisob (batafsil)'!$B$5:$B$271,$A12,'Hisob (batafsil)'!$C$5:$C$271,"Shisha devor")</f>
        <v>14</v>
      </c>
      <c r="C12" s="8" t="n">
        <f aca="false">SUMIFS('Hisob (batafsil)'!$J$5:$J$271,'Hisob (batafsil)'!$B$5:$B$271,$A12,'Hisob (batafsil)'!$C$5:$C$271,"Shisha devor")</f>
        <v>770</v>
      </c>
      <c r="D12" s="7" t="n">
        <f aca="false">SUMIFS('Hisob (batafsil)'!$G$5:$G$271,'Hisob (batafsil)'!$B$5:$B$271,$A12,'Hisob (batafsil)'!$C$5:$C$271,"Gips karton (GKL)")</f>
        <v>30.45</v>
      </c>
      <c r="E12" s="8" t="n">
        <f aca="false">SUMIFS('Hisob (batafsil)'!$J$5:$J$271,'Hisob (batafsil)'!$B$5:$B$271,$A12,'Hisob (batafsil)'!$C$5:$C$271,"Gips karton (GKL)")</f>
        <v>365.4</v>
      </c>
      <c r="F12" s="7" t="n">
        <f aca="false">SUMIFS('Hisob (batafsil)'!$G$5:$G$271,'Hisob (batafsil)'!$B$5:$B$271,$A12,'Hisob (batafsil)'!$C$5:$C$271,"Bambuk panel")</f>
        <v>53.9</v>
      </c>
      <c r="G12" s="8" t="n">
        <f aca="false">SUMIFS('Hisob (batafsil)'!$J$5:$J$271,'Hisob (batafsil)'!$B$5:$B$271,$A12,'Hisob (batafsil)'!$C$5:$C$271,"Bambuk panel")</f>
        <v>835.45</v>
      </c>
      <c r="H12" s="9" t="n">
        <f aca="false">SUMIFS('Hisob (batafsil)'!$G$5:$G$271,'Hisob (batafsil)'!$B$5:$B$271,$A12,'Hisob (batafsil)'!$C$5:$C$271,"Interaktiv doska")</f>
        <v>1</v>
      </c>
      <c r="I12" s="8" t="n">
        <f aca="false">SUMIFS('Hisob (batafsil)'!$J$5:$J$271,'Hisob (batafsil)'!$B$5:$B$271,$A12,'Hisob (batafsil)'!$C$5:$C$271,"Interaktiv doska")</f>
        <v>1032</v>
      </c>
      <c r="J12" s="7" t="n">
        <f aca="false">SUMIFS('Hisob (batafsil)'!$G$5:$G$271,'Hisob (batafsil)'!$B$5:$B$271,$A12,'Hisob (batafsil)'!$C$5:$C$271,"Perila")</f>
        <v>0</v>
      </c>
      <c r="K12" s="8" t="n">
        <f aca="false">SUMIFS('Hisob (batafsil)'!$J$5:$J$271,'Hisob (batafsil)'!$B$5:$B$271,$A12,'Hisob (batafsil)'!$C$5:$C$271,"Perila")</f>
        <v>0</v>
      </c>
      <c r="L12" s="8" t="n">
        <f aca="false">SUMIFS('Hisob (batafsil)'!$J$5:$J$271,'Hisob (batafsil)'!$B$5:$B$271,$A12,'Hisob (batafsil)'!$C$5:$C$271,"Yoritish")</f>
        <v>168</v>
      </c>
      <c r="M12" s="8" t="n">
        <f aca="false">SUMIFS('Hisob (batafsil)'!$J$5:$J$271,'Hisob (batafsil)'!$B$5:$B$271,$A12,'Hisob (batafsil)'!$C$5:$C$271,"Kamera tizimi")</f>
        <v>0</v>
      </c>
      <c r="N12" s="8" t="n">
        <f aca="false">SUMIFS('Hisob (batafsil)'!$J$5:$J$271,'Hisob (batafsil)'!$B$5:$B$271,$A12,'Hisob (batafsil)'!$C$5:$C$271,"Logotip")</f>
        <v>0</v>
      </c>
      <c r="O12" s="8" t="n">
        <f aca="false">SUMIFS('Hisob (batafsil)'!$J$5:$J$271,'Hisob (batafsil)'!$B$5:$B$271,$A12,'Hisob (batafsil)'!$C$5:$C$271,"Matli plyonka")</f>
        <v>0</v>
      </c>
      <c r="P12" s="8" t="n">
        <f aca="false">SUMIFS('Hisob (batafsil)'!$J$5:$J$271,'Hisob (batafsil)'!$B$5:$B$271,$A12,'Hisob (batafsil)'!$C$5:$C$271,"Yong'in xavfsizligi")</f>
        <v>0</v>
      </c>
      <c r="Q12" s="8" t="n">
        <f aca="false">SUMIFS('Hisob (batafsil)'!$J$5:$J$271,'Hisob (batafsil)'!$B$5:$B$271,$A12,'Hisob (batafsil)'!$C$5:$C$271,"Buzish ishlari")</f>
        <v>0</v>
      </c>
      <c r="R12" s="8" t="n">
        <f aca="false">SUMIFS('Hisob (batafsil)'!$J$5:$J$271,'Hisob (batafsil)'!$B$5:$B$271,$A12,'Hisob (batafsil)'!$C$5:$C$271,"Santexnika")</f>
        <v>0</v>
      </c>
      <c r="S12" s="8" t="n">
        <f aca="false">SUMIFS('Hisob (batafsil)'!$J$5:$J$271,'Hisob (batafsil)'!$B$5:$B$271,$A12,'Hisob (batafsil)'!$C$5:$C$271,"Kafel")</f>
        <v>0</v>
      </c>
      <c r="T12" s="10" t="n">
        <f aca="false">C12+E12+G12+I12+K12+L12+M12+N12+O12+P12+Q12+R12+S12</f>
        <v>3170.85</v>
      </c>
    </row>
    <row r="13" customFormat="false" ht="15" hidden="false" customHeight="false" outlineLevel="0" collapsed="false">
      <c r="A13" s="11" t="s">
        <v>30</v>
      </c>
      <c r="B13" s="12" t="n">
        <f aca="false">SUM(B6:B12)</f>
        <v>72.875</v>
      </c>
      <c r="C13" s="13" t="n">
        <f aca="false">SUM(C6:C12)</f>
        <v>4008.125</v>
      </c>
      <c r="D13" s="12" t="n">
        <f aca="false">SUM(D6:D12)</f>
        <v>156.55</v>
      </c>
      <c r="E13" s="13" t="n">
        <f aca="false">SUM(E6:E12)</f>
        <v>1878.6</v>
      </c>
      <c r="F13" s="12" t="n">
        <f aca="false">SUM(F6:F12)</f>
        <v>373.8</v>
      </c>
      <c r="G13" s="13" t="n">
        <f aca="false">SUM(G6:G12)</f>
        <v>5793.9</v>
      </c>
      <c r="H13" s="14" t="n">
        <f aca="false">SUM(H6:H12)</f>
        <v>7</v>
      </c>
      <c r="I13" s="13" t="n">
        <f aca="false">SUM(I6:I12)</f>
        <v>7224</v>
      </c>
      <c r="J13" s="12" t="n">
        <f aca="false">SUM(J6:J12)</f>
        <v>0</v>
      </c>
      <c r="K13" s="13" t="n">
        <f aca="false">SUM(K6:K12)</f>
        <v>0</v>
      </c>
      <c r="L13" s="13" t="n">
        <f aca="false">SUM(L6:L12)</f>
        <v>1176</v>
      </c>
      <c r="M13" s="13" t="n">
        <f aca="false">SUM(M6:M12)</f>
        <v>0</v>
      </c>
      <c r="N13" s="13" t="n">
        <f aca="false">SUM(N6:N12)</f>
        <v>0</v>
      </c>
      <c r="O13" s="13" t="n">
        <f aca="false">SUM(O6:O12)</f>
        <v>0</v>
      </c>
      <c r="P13" s="13" t="n">
        <f aca="false">SUM(P6:P12)</f>
        <v>0</v>
      </c>
      <c r="Q13" s="13" t="n">
        <f aca="false">SUM(Q6:Q12)</f>
        <v>0</v>
      </c>
      <c r="R13" s="13" t="n">
        <f aca="false">SUM(R6:R12)</f>
        <v>0</v>
      </c>
      <c r="S13" s="13" t="n">
        <f aca="false">SUM(S6:S12)</f>
        <v>0</v>
      </c>
      <c r="T13" s="13" t="n">
        <f aca="false">SUM(T6:T12)</f>
        <v>20080.625</v>
      </c>
    </row>
    <row r="15" customFormat="false" ht="15" hidden="false" customHeight="false" outlineLevel="0" collapsed="false">
      <c r="A15" s="4" t="s">
        <v>31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customFormat="false" ht="15" hidden="false" customHeight="false" outlineLevel="0" collapsed="false">
      <c r="A16" s="6" t="s">
        <v>32</v>
      </c>
      <c r="B16" s="7" t="n">
        <f aca="false">SUMIFS('Hisob (batafsil)'!$G$5:$G$271,'Hisob (batafsil)'!$B$5:$B$271,$A16,'Hisob (batafsil)'!$C$5:$C$271,"Shisha devor")</f>
        <v>7</v>
      </c>
      <c r="C16" s="8" t="n">
        <f aca="false">SUMIFS('Hisob (batafsil)'!$J$5:$J$271,'Hisob (batafsil)'!$B$5:$B$271,$A16,'Hisob (batafsil)'!$C$5:$C$271,"Shisha devor")</f>
        <v>385</v>
      </c>
      <c r="D16" s="7" t="n">
        <f aca="false">SUMIFS('Hisob (batafsil)'!$G$5:$G$271,'Hisob (batafsil)'!$B$5:$B$271,$A16,'Hisob (batafsil)'!$C$5:$C$271,"Gips karton (GKL)")</f>
        <v>34.3</v>
      </c>
      <c r="E16" s="8" t="n">
        <f aca="false">SUMIFS('Hisob (batafsil)'!$J$5:$J$271,'Hisob (batafsil)'!$B$5:$B$271,$A16,'Hisob (batafsil)'!$C$5:$C$271,"Gips karton (GKL)")</f>
        <v>411.6</v>
      </c>
      <c r="F16" s="7" t="n">
        <f aca="false">SUMIFS('Hisob (batafsil)'!$G$5:$G$271,'Hisob (batafsil)'!$B$5:$B$271,$A16,'Hisob (batafsil)'!$C$5:$C$271,"Bambuk panel")</f>
        <v>39.2</v>
      </c>
      <c r="G16" s="8" t="n">
        <f aca="false">SUMIFS('Hisob (batafsil)'!$J$5:$J$271,'Hisob (batafsil)'!$B$5:$B$271,$A16,'Hisob (batafsil)'!$C$5:$C$271,"Bambuk panel")</f>
        <v>607.6</v>
      </c>
      <c r="H16" s="9" t="n">
        <f aca="false">SUMIFS('Hisob (batafsil)'!$G$5:$G$271,'Hisob (batafsil)'!$B$5:$B$271,$A16,'Hisob (batafsil)'!$C$5:$C$271,"Interaktiv doska")</f>
        <v>0</v>
      </c>
      <c r="I16" s="8" t="n">
        <f aca="false">SUMIFS('Hisob (batafsil)'!$J$5:$J$271,'Hisob (batafsil)'!$B$5:$B$271,$A16,'Hisob (batafsil)'!$C$5:$C$271,"Interaktiv doska")</f>
        <v>0</v>
      </c>
      <c r="J16" s="7" t="n">
        <f aca="false">SUMIFS('Hisob (batafsil)'!$G$5:$G$271,'Hisob (batafsil)'!$B$5:$B$271,$A16,'Hisob (batafsil)'!$C$5:$C$271,"Perila")</f>
        <v>0</v>
      </c>
      <c r="K16" s="8" t="n">
        <f aca="false">SUMIFS('Hisob (batafsil)'!$J$5:$J$271,'Hisob (batafsil)'!$B$5:$B$271,$A16,'Hisob (batafsil)'!$C$5:$C$271,"Perila")</f>
        <v>0</v>
      </c>
      <c r="L16" s="8" t="n">
        <f aca="false">SUMIFS('Hisob (batafsil)'!$J$5:$J$271,'Hisob (batafsil)'!$B$5:$B$271,$A16,'Hisob (batafsil)'!$C$5:$C$271,"Yoritish")</f>
        <v>168</v>
      </c>
      <c r="M16" s="8" t="n">
        <f aca="false">SUMIFS('Hisob (batafsil)'!$J$5:$J$271,'Hisob (batafsil)'!$B$5:$B$271,$A16,'Hisob (batafsil)'!$C$5:$C$271,"Kamera tizimi")</f>
        <v>0</v>
      </c>
      <c r="N16" s="8" t="n">
        <f aca="false">SUMIFS('Hisob (batafsil)'!$J$5:$J$271,'Hisob (batafsil)'!$B$5:$B$271,$A16,'Hisob (batafsil)'!$C$5:$C$271,"Logotip")</f>
        <v>0</v>
      </c>
      <c r="O16" s="8" t="n">
        <f aca="false">SUMIFS('Hisob (batafsil)'!$J$5:$J$271,'Hisob (batafsil)'!$B$5:$B$271,$A16,'Hisob (batafsil)'!$C$5:$C$271,"Matli plyonka")</f>
        <v>0</v>
      </c>
      <c r="P16" s="8" t="n">
        <f aca="false">SUMIFS('Hisob (batafsil)'!$J$5:$J$271,'Hisob (batafsil)'!$B$5:$B$271,$A16,'Hisob (batafsil)'!$C$5:$C$271,"Yong'in xavfsizligi")</f>
        <v>0</v>
      </c>
      <c r="Q16" s="8" t="n">
        <f aca="false">SUMIFS('Hisob (batafsil)'!$J$5:$J$271,'Hisob (batafsil)'!$B$5:$B$271,$A16,'Hisob (batafsil)'!$C$5:$C$271,"Buzish ishlari")</f>
        <v>0</v>
      </c>
      <c r="R16" s="8" t="n">
        <f aca="false">SUMIFS('Hisob (batafsil)'!$J$5:$J$271,'Hisob (batafsil)'!$B$5:$B$271,$A16,'Hisob (batafsil)'!$C$5:$C$271,"Santexnika")</f>
        <v>0</v>
      </c>
      <c r="S16" s="8" t="n">
        <f aca="false">SUMIFS('Hisob (batafsil)'!$J$5:$J$271,'Hisob (batafsil)'!$B$5:$B$271,$A16,'Hisob (batafsil)'!$C$5:$C$271,"Kafel")</f>
        <v>0</v>
      </c>
      <c r="T16" s="10" t="n">
        <f aca="false">C16+E16+G16+I16+K16+L16+M16+N16+O16+P16+Q16+R16+S16</f>
        <v>1572.2</v>
      </c>
    </row>
    <row r="17" customFormat="false" ht="15" hidden="false" customHeight="false" outlineLevel="0" collapsed="false">
      <c r="A17" s="6" t="s">
        <v>33</v>
      </c>
      <c r="B17" s="7" t="n">
        <f aca="false">SUMIFS('Hisob (batafsil)'!$G$5:$G$271,'Hisob (batafsil)'!$B$5:$B$271,$A17,'Hisob (batafsil)'!$C$5:$C$271,"Shisha devor")</f>
        <v>7</v>
      </c>
      <c r="C17" s="8" t="n">
        <f aca="false">SUMIFS('Hisob (batafsil)'!$J$5:$J$271,'Hisob (batafsil)'!$B$5:$B$271,$A17,'Hisob (batafsil)'!$C$5:$C$271,"Shisha devor")</f>
        <v>385</v>
      </c>
      <c r="D17" s="7" t="n">
        <f aca="false">SUMIFS('Hisob (batafsil)'!$G$5:$G$271,'Hisob (batafsil)'!$B$5:$B$271,$A17,'Hisob (batafsil)'!$C$5:$C$271,"Gips karton (GKL)")</f>
        <v>35.35</v>
      </c>
      <c r="E17" s="8" t="n">
        <f aca="false">SUMIFS('Hisob (batafsil)'!$J$5:$J$271,'Hisob (batafsil)'!$B$5:$B$271,$A17,'Hisob (batafsil)'!$C$5:$C$271,"Gips karton (GKL)")</f>
        <v>424.2</v>
      </c>
      <c r="F17" s="7" t="n">
        <f aca="false">SUMIFS('Hisob (batafsil)'!$G$5:$G$271,'Hisob (batafsil)'!$B$5:$B$271,$A17,'Hisob (batafsil)'!$C$5:$C$271,"Bambuk panel")</f>
        <v>39.2</v>
      </c>
      <c r="G17" s="8" t="n">
        <f aca="false">SUMIFS('Hisob (batafsil)'!$J$5:$J$271,'Hisob (batafsil)'!$B$5:$B$271,$A17,'Hisob (batafsil)'!$C$5:$C$271,"Bambuk panel")</f>
        <v>607.6</v>
      </c>
      <c r="H17" s="9" t="n">
        <f aca="false">SUMIFS('Hisob (batafsil)'!$G$5:$G$271,'Hisob (batafsil)'!$B$5:$B$271,$A17,'Hisob (batafsil)'!$C$5:$C$271,"Interaktiv doska")</f>
        <v>0</v>
      </c>
      <c r="I17" s="8" t="n">
        <f aca="false">SUMIFS('Hisob (batafsil)'!$J$5:$J$271,'Hisob (batafsil)'!$B$5:$B$271,$A17,'Hisob (batafsil)'!$C$5:$C$271,"Interaktiv doska")</f>
        <v>0</v>
      </c>
      <c r="J17" s="7" t="n">
        <f aca="false">SUMIFS('Hisob (batafsil)'!$G$5:$G$271,'Hisob (batafsil)'!$B$5:$B$271,$A17,'Hisob (batafsil)'!$C$5:$C$271,"Perila")</f>
        <v>0</v>
      </c>
      <c r="K17" s="8" t="n">
        <f aca="false">SUMIFS('Hisob (batafsil)'!$J$5:$J$271,'Hisob (batafsil)'!$B$5:$B$271,$A17,'Hisob (batafsil)'!$C$5:$C$271,"Perila")</f>
        <v>0</v>
      </c>
      <c r="L17" s="8" t="n">
        <f aca="false">SUMIFS('Hisob (batafsil)'!$J$5:$J$271,'Hisob (batafsil)'!$B$5:$B$271,$A17,'Hisob (batafsil)'!$C$5:$C$271,"Yoritish")</f>
        <v>168</v>
      </c>
      <c r="M17" s="8" t="n">
        <f aca="false">SUMIFS('Hisob (batafsil)'!$J$5:$J$271,'Hisob (batafsil)'!$B$5:$B$271,$A17,'Hisob (batafsil)'!$C$5:$C$271,"Kamera tizimi")</f>
        <v>0</v>
      </c>
      <c r="N17" s="8" t="n">
        <f aca="false">SUMIFS('Hisob (batafsil)'!$J$5:$J$271,'Hisob (batafsil)'!$B$5:$B$271,$A17,'Hisob (batafsil)'!$C$5:$C$271,"Logotip")</f>
        <v>0</v>
      </c>
      <c r="O17" s="8" t="n">
        <f aca="false">SUMIFS('Hisob (batafsil)'!$J$5:$J$271,'Hisob (batafsil)'!$B$5:$B$271,$A17,'Hisob (batafsil)'!$C$5:$C$271,"Matli plyonka")</f>
        <v>0</v>
      </c>
      <c r="P17" s="8" t="n">
        <f aca="false">SUMIFS('Hisob (batafsil)'!$J$5:$J$271,'Hisob (batafsil)'!$B$5:$B$271,$A17,'Hisob (batafsil)'!$C$5:$C$271,"Yong'in xavfsizligi")</f>
        <v>0</v>
      </c>
      <c r="Q17" s="8" t="n">
        <f aca="false">SUMIFS('Hisob (batafsil)'!$J$5:$J$271,'Hisob (batafsil)'!$B$5:$B$271,$A17,'Hisob (batafsil)'!$C$5:$C$271,"Buzish ishlari")</f>
        <v>0</v>
      </c>
      <c r="R17" s="8" t="n">
        <f aca="false">SUMIFS('Hisob (batafsil)'!$J$5:$J$271,'Hisob (batafsil)'!$B$5:$B$271,$A17,'Hisob (batafsil)'!$C$5:$C$271,"Santexnika")</f>
        <v>0</v>
      </c>
      <c r="S17" s="8" t="n">
        <f aca="false">SUMIFS('Hisob (batafsil)'!$J$5:$J$271,'Hisob (batafsil)'!$B$5:$B$271,$A17,'Hisob (batafsil)'!$C$5:$C$271,"Kafel")</f>
        <v>0</v>
      </c>
      <c r="T17" s="10" t="n">
        <f aca="false">C17+E17+G17+I17+K17+L17+M17+N17+O17+P17+Q17+R17+S17</f>
        <v>1584.8</v>
      </c>
    </row>
    <row r="18" customFormat="false" ht="15" hidden="false" customHeight="false" outlineLevel="0" collapsed="false">
      <c r="A18" s="6" t="s">
        <v>34</v>
      </c>
      <c r="B18" s="7" t="n">
        <f aca="false">SUMIFS('Hisob (batafsil)'!$G$5:$G$271,'Hisob (batafsil)'!$B$5:$B$271,$A18,'Hisob (batafsil)'!$C$5:$C$271,"Shisha devor")</f>
        <v>7.125</v>
      </c>
      <c r="C18" s="8" t="n">
        <f aca="false">SUMIFS('Hisob (batafsil)'!$J$5:$J$271,'Hisob (batafsil)'!$B$5:$B$271,$A18,'Hisob (batafsil)'!$C$5:$C$271,"Shisha devor")</f>
        <v>391.875</v>
      </c>
      <c r="D18" s="7" t="n">
        <f aca="false">SUMIFS('Hisob (batafsil)'!$G$5:$G$271,'Hisob (batafsil)'!$B$5:$B$271,$A18,'Hisob (batafsil)'!$C$5:$C$271,"Gips karton (GKL)")</f>
        <v>35.575</v>
      </c>
      <c r="E18" s="8" t="n">
        <f aca="false">SUMIFS('Hisob (batafsil)'!$J$5:$J$271,'Hisob (batafsil)'!$B$5:$B$271,$A18,'Hisob (batafsil)'!$C$5:$C$271,"Gips karton (GKL)")</f>
        <v>426.9</v>
      </c>
      <c r="F18" s="7" t="n">
        <f aca="false">SUMIFS('Hisob (batafsil)'!$G$5:$G$271,'Hisob (batafsil)'!$B$5:$B$271,$A18,'Hisob (batafsil)'!$C$5:$C$271,"Bambuk panel")</f>
        <v>39.2</v>
      </c>
      <c r="G18" s="8" t="n">
        <f aca="false">SUMIFS('Hisob (batafsil)'!$J$5:$J$271,'Hisob (batafsil)'!$B$5:$B$271,$A18,'Hisob (batafsil)'!$C$5:$C$271,"Bambuk panel")</f>
        <v>607.6</v>
      </c>
      <c r="H18" s="9" t="n">
        <f aca="false">SUMIFS('Hisob (batafsil)'!$G$5:$G$271,'Hisob (batafsil)'!$B$5:$B$271,$A18,'Hisob (batafsil)'!$C$5:$C$271,"Interaktiv doska")</f>
        <v>0</v>
      </c>
      <c r="I18" s="8" t="n">
        <f aca="false">SUMIFS('Hisob (batafsil)'!$J$5:$J$271,'Hisob (batafsil)'!$B$5:$B$271,$A18,'Hisob (batafsil)'!$C$5:$C$271,"Interaktiv doska")</f>
        <v>0</v>
      </c>
      <c r="J18" s="7" t="n">
        <f aca="false">SUMIFS('Hisob (batafsil)'!$G$5:$G$271,'Hisob (batafsil)'!$B$5:$B$271,$A18,'Hisob (batafsil)'!$C$5:$C$271,"Perila")</f>
        <v>0</v>
      </c>
      <c r="K18" s="8" t="n">
        <f aca="false">SUMIFS('Hisob (batafsil)'!$J$5:$J$271,'Hisob (batafsil)'!$B$5:$B$271,$A18,'Hisob (batafsil)'!$C$5:$C$271,"Perila")</f>
        <v>0</v>
      </c>
      <c r="L18" s="8" t="n">
        <f aca="false">SUMIFS('Hisob (batafsil)'!$J$5:$J$271,'Hisob (batafsil)'!$B$5:$B$271,$A18,'Hisob (batafsil)'!$C$5:$C$271,"Yoritish")</f>
        <v>168</v>
      </c>
      <c r="M18" s="8" t="n">
        <f aca="false">SUMIFS('Hisob (batafsil)'!$J$5:$J$271,'Hisob (batafsil)'!$B$5:$B$271,$A18,'Hisob (batafsil)'!$C$5:$C$271,"Kamera tizimi")</f>
        <v>0</v>
      </c>
      <c r="N18" s="8" t="n">
        <f aca="false">SUMIFS('Hisob (batafsil)'!$J$5:$J$271,'Hisob (batafsil)'!$B$5:$B$271,$A18,'Hisob (batafsil)'!$C$5:$C$271,"Logotip")</f>
        <v>0</v>
      </c>
      <c r="O18" s="8" t="n">
        <f aca="false">SUMIFS('Hisob (batafsil)'!$J$5:$J$271,'Hisob (batafsil)'!$B$5:$B$271,$A18,'Hisob (batafsil)'!$C$5:$C$271,"Matli plyonka")</f>
        <v>0</v>
      </c>
      <c r="P18" s="8" t="n">
        <f aca="false">SUMIFS('Hisob (batafsil)'!$J$5:$J$271,'Hisob (batafsil)'!$B$5:$B$271,$A18,'Hisob (batafsil)'!$C$5:$C$271,"Yong'in xavfsizligi")</f>
        <v>0</v>
      </c>
      <c r="Q18" s="8" t="n">
        <f aca="false">SUMIFS('Hisob (batafsil)'!$J$5:$J$271,'Hisob (batafsil)'!$B$5:$B$271,$A18,'Hisob (batafsil)'!$C$5:$C$271,"Buzish ishlari")</f>
        <v>0</v>
      </c>
      <c r="R18" s="8" t="n">
        <f aca="false">SUMIFS('Hisob (batafsil)'!$J$5:$J$271,'Hisob (batafsil)'!$B$5:$B$271,$A18,'Hisob (batafsil)'!$C$5:$C$271,"Santexnika")</f>
        <v>0</v>
      </c>
      <c r="S18" s="8" t="n">
        <f aca="false">SUMIFS('Hisob (batafsil)'!$J$5:$J$271,'Hisob (batafsil)'!$B$5:$B$271,$A18,'Hisob (batafsil)'!$C$5:$C$271,"Kafel")</f>
        <v>0</v>
      </c>
      <c r="T18" s="10" t="n">
        <f aca="false">C18+E18+G18+I18+K18+L18+M18+N18+O18+P18+Q18+R18+S18</f>
        <v>1594.375</v>
      </c>
    </row>
    <row r="19" customFormat="false" ht="15" hidden="false" customHeight="false" outlineLevel="0" collapsed="false">
      <c r="A19" s="6" t="s">
        <v>35</v>
      </c>
      <c r="B19" s="7" t="n">
        <f aca="false">SUMIFS('Hisob (batafsil)'!$G$5:$G$271,'Hisob (batafsil)'!$B$5:$B$271,$A19,'Hisob (batafsil)'!$C$5:$C$271,"Shisha devor")</f>
        <v>7.125</v>
      </c>
      <c r="C19" s="8" t="n">
        <f aca="false">SUMIFS('Hisob (batafsil)'!$J$5:$J$271,'Hisob (batafsil)'!$B$5:$B$271,$A19,'Hisob (batafsil)'!$C$5:$C$271,"Shisha devor")</f>
        <v>391.875</v>
      </c>
      <c r="D19" s="7" t="n">
        <f aca="false">SUMIFS('Hisob (batafsil)'!$G$5:$G$271,'Hisob (batafsil)'!$B$5:$B$271,$A19,'Hisob (batafsil)'!$C$5:$C$271,"Gips karton (GKL)")</f>
        <v>35.925</v>
      </c>
      <c r="E19" s="8" t="n">
        <f aca="false">SUMIFS('Hisob (batafsil)'!$J$5:$J$271,'Hisob (batafsil)'!$B$5:$B$271,$A19,'Hisob (batafsil)'!$C$5:$C$271,"Gips karton (GKL)")</f>
        <v>431.1</v>
      </c>
      <c r="F19" s="7" t="n">
        <f aca="false">SUMIFS('Hisob (batafsil)'!$G$5:$G$271,'Hisob (batafsil)'!$B$5:$B$271,$A19,'Hisob (batafsil)'!$C$5:$C$271,"Bambuk panel")</f>
        <v>39.2</v>
      </c>
      <c r="G19" s="8" t="n">
        <f aca="false">SUMIFS('Hisob (batafsil)'!$J$5:$J$271,'Hisob (batafsil)'!$B$5:$B$271,$A19,'Hisob (batafsil)'!$C$5:$C$271,"Bambuk panel")</f>
        <v>607.6</v>
      </c>
      <c r="H19" s="9" t="n">
        <f aca="false">SUMIFS('Hisob (batafsil)'!$G$5:$G$271,'Hisob (batafsil)'!$B$5:$B$271,$A19,'Hisob (batafsil)'!$C$5:$C$271,"Interaktiv doska")</f>
        <v>0</v>
      </c>
      <c r="I19" s="8" t="n">
        <f aca="false">SUMIFS('Hisob (batafsil)'!$J$5:$J$271,'Hisob (batafsil)'!$B$5:$B$271,$A19,'Hisob (batafsil)'!$C$5:$C$271,"Interaktiv doska")</f>
        <v>0</v>
      </c>
      <c r="J19" s="7" t="n">
        <f aca="false">SUMIFS('Hisob (batafsil)'!$G$5:$G$271,'Hisob (batafsil)'!$B$5:$B$271,$A19,'Hisob (batafsil)'!$C$5:$C$271,"Perila")</f>
        <v>0</v>
      </c>
      <c r="K19" s="8" t="n">
        <f aca="false">SUMIFS('Hisob (batafsil)'!$J$5:$J$271,'Hisob (batafsil)'!$B$5:$B$271,$A19,'Hisob (batafsil)'!$C$5:$C$271,"Perila")</f>
        <v>0</v>
      </c>
      <c r="L19" s="8" t="n">
        <f aca="false">SUMIFS('Hisob (batafsil)'!$J$5:$J$271,'Hisob (batafsil)'!$B$5:$B$271,$A19,'Hisob (batafsil)'!$C$5:$C$271,"Yoritish")</f>
        <v>168</v>
      </c>
      <c r="M19" s="8" t="n">
        <f aca="false">SUMIFS('Hisob (batafsil)'!$J$5:$J$271,'Hisob (batafsil)'!$B$5:$B$271,$A19,'Hisob (batafsil)'!$C$5:$C$271,"Kamera tizimi")</f>
        <v>0</v>
      </c>
      <c r="N19" s="8" t="n">
        <f aca="false">SUMIFS('Hisob (batafsil)'!$J$5:$J$271,'Hisob (batafsil)'!$B$5:$B$271,$A19,'Hisob (batafsil)'!$C$5:$C$271,"Logotip")</f>
        <v>0</v>
      </c>
      <c r="O19" s="8" t="n">
        <f aca="false">SUMIFS('Hisob (batafsil)'!$J$5:$J$271,'Hisob (batafsil)'!$B$5:$B$271,$A19,'Hisob (batafsil)'!$C$5:$C$271,"Matli plyonka")</f>
        <v>0</v>
      </c>
      <c r="P19" s="8" t="n">
        <f aca="false">SUMIFS('Hisob (batafsil)'!$J$5:$J$271,'Hisob (batafsil)'!$B$5:$B$271,$A19,'Hisob (batafsil)'!$C$5:$C$271,"Yong'in xavfsizligi")</f>
        <v>0</v>
      </c>
      <c r="Q19" s="8" t="n">
        <f aca="false">SUMIFS('Hisob (batafsil)'!$J$5:$J$271,'Hisob (batafsil)'!$B$5:$B$271,$A19,'Hisob (batafsil)'!$C$5:$C$271,"Buzish ishlari")</f>
        <v>0</v>
      </c>
      <c r="R19" s="8" t="n">
        <f aca="false">SUMIFS('Hisob (batafsil)'!$J$5:$J$271,'Hisob (batafsil)'!$B$5:$B$271,$A19,'Hisob (batafsil)'!$C$5:$C$271,"Santexnika")</f>
        <v>0</v>
      </c>
      <c r="S19" s="8" t="n">
        <f aca="false">SUMIFS('Hisob (batafsil)'!$J$5:$J$271,'Hisob (batafsil)'!$B$5:$B$271,$A19,'Hisob (batafsil)'!$C$5:$C$271,"Kafel")</f>
        <v>0</v>
      </c>
      <c r="T19" s="10" t="n">
        <f aca="false">C19+E19+G19+I19+K19+L19+M19+N19+O19+P19+Q19+R19+S19</f>
        <v>1598.575</v>
      </c>
    </row>
    <row r="20" customFormat="false" ht="15" hidden="false" customHeight="false" outlineLevel="0" collapsed="false">
      <c r="A20" s="6" t="s">
        <v>36</v>
      </c>
      <c r="B20" s="7" t="n">
        <f aca="false">SUMIFS('Hisob (batafsil)'!$G$5:$G$271,'Hisob (batafsil)'!$B$5:$B$271,$A20,'Hisob (batafsil)'!$C$5:$C$271,"Shisha devor")</f>
        <v>0</v>
      </c>
      <c r="C20" s="8" t="n">
        <f aca="false">SUMIFS('Hisob (batafsil)'!$J$5:$J$271,'Hisob (batafsil)'!$B$5:$B$271,$A20,'Hisob (batafsil)'!$C$5:$C$271,"Shisha devor")</f>
        <v>0</v>
      </c>
      <c r="D20" s="7" t="n">
        <f aca="false">SUMIFS('Hisob (batafsil)'!$G$5:$G$271,'Hisob (batafsil)'!$B$5:$B$271,$A20,'Hisob (batafsil)'!$C$5:$C$271,"Gips karton (GKL)")</f>
        <v>0</v>
      </c>
      <c r="E20" s="8" t="n">
        <f aca="false">SUMIFS('Hisob (batafsil)'!$J$5:$J$271,'Hisob (batafsil)'!$B$5:$B$271,$A20,'Hisob (batafsil)'!$C$5:$C$271,"Gips karton (GKL)")</f>
        <v>0</v>
      </c>
      <c r="F20" s="7" t="n">
        <f aca="false">SUMIFS('Hisob (batafsil)'!$G$5:$G$271,'Hisob (batafsil)'!$B$5:$B$271,$A20,'Hisob (batafsil)'!$C$5:$C$271,"Bambuk panel")</f>
        <v>29.26</v>
      </c>
      <c r="G20" s="8" t="n">
        <f aca="false">SUMIFS('Hisob (batafsil)'!$J$5:$J$271,'Hisob (batafsil)'!$B$5:$B$271,$A20,'Hisob (batafsil)'!$C$5:$C$271,"Bambuk panel")</f>
        <v>453.53</v>
      </c>
      <c r="H20" s="9" t="n">
        <f aca="false">SUMIFS('Hisob (batafsil)'!$G$5:$G$271,'Hisob (batafsil)'!$B$5:$B$271,$A20,'Hisob (batafsil)'!$C$5:$C$271,"Interaktiv doska")</f>
        <v>0</v>
      </c>
      <c r="I20" s="8" t="n">
        <f aca="false">SUMIFS('Hisob (batafsil)'!$J$5:$J$271,'Hisob (batafsil)'!$B$5:$B$271,$A20,'Hisob (batafsil)'!$C$5:$C$271,"Interaktiv doska")</f>
        <v>0</v>
      </c>
      <c r="J20" s="7" t="n">
        <f aca="false">SUMIFS('Hisob (batafsil)'!$G$5:$G$271,'Hisob (batafsil)'!$B$5:$B$271,$A20,'Hisob (batafsil)'!$C$5:$C$271,"Perila")</f>
        <v>0</v>
      </c>
      <c r="K20" s="8" t="n">
        <f aca="false">SUMIFS('Hisob (batafsil)'!$J$5:$J$271,'Hisob (batafsil)'!$B$5:$B$271,$A20,'Hisob (batafsil)'!$C$5:$C$271,"Perila")</f>
        <v>0</v>
      </c>
      <c r="L20" s="8" t="n">
        <f aca="false">SUMIFS('Hisob (batafsil)'!$J$5:$J$271,'Hisob (batafsil)'!$B$5:$B$271,$A20,'Hisob (batafsil)'!$C$5:$C$271,"Yoritish")</f>
        <v>168</v>
      </c>
      <c r="M20" s="8" t="n">
        <f aca="false">SUMIFS('Hisob (batafsil)'!$J$5:$J$271,'Hisob (batafsil)'!$B$5:$B$271,$A20,'Hisob (batafsil)'!$C$5:$C$271,"Kamera tizimi")</f>
        <v>0</v>
      </c>
      <c r="N20" s="8" t="n">
        <f aca="false">SUMIFS('Hisob (batafsil)'!$J$5:$J$271,'Hisob (batafsil)'!$B$5:$B$271,$A20,'Hisob (batafsil)'!$C$5:$C$271,"Logotip")</f>
        <v>0</v>
      </c>
      <c r="O20" s="8" t="n">
        <f aca="false">SUMIFS('Hisob (batafsil)'!$J$5:$J$271,'Hisob (batafsil)'!$B$5:$B$271,$A20,'Hisob (batafsil)'!$C$5:$C$271,"Matli plyonka")</f>
        <v>0</v>
      </c>
      <c r="P20" s="8" t="n">
        <f aca="false">SUMIFS('Hisob (batafsil)'!$J$5:$J$271,'Hisob (batafsil)'!$B$5:$B$271,$A20,'Hisob (batafsil)'!$C$5:$C$271,"Yong'in xavfsizligi")</f>
        <v>0</v>
      </c>
      <c r="Q20" s="8" t="n">
        <f aca="false">SUMIFS('Hisob (batafsil)'!$J$5:$J$271,'Hisob (batafsil)'!$B$5:$B$271,$A20,'Hisob (batafsil)'!$C$5:$C$271,"Buzish ishlari")</f>
        <v>0</v>
      </c>
      <c r="R20" s="8" t="n">
        <f aca="false">SUMIFS('Hisob (batafsil)'!$J$5:$J$271,'Hisob (batafsil)'!$B$5:$B$271,$A20,'Hisob (batafsil)'!$C$5:$C$271,"Santexnika")</f>
        <v>0</v>
      </c>
      <c r="S20" s="8" t="n">
        <f aca="false">SUMIFS('Hisob (batafsil)'!$J$5:$J$271,'Hisob (batafsil)'!$B$5:$B$271,$A20,'Hisob (batafsil)'!$C$5:$C$271,"Kafel")</f>
        <v>0</v>
      </c>
      <c r="T20" s="10" t="n">
        <f aca="false">C20+E20+G20+I20+K20+L20+M20+N20+O20+P20+Q20+R20+S20</f>
        <v>621.53</v>
      </c>
    </row>
    <row r="21" customFormat="false" ht="15" hidden="false" customHeight="false" outlineLevel="0" collapsed="false">
      <c r="A21" s="11" t="s">
        <v>37</v>
      </c>
      <c r="B21" s="12" t="n">
        <f aca="false">SUM(B16:B20)</f>
        <v>28.25</v>
      </c>
      <c r="C21" s="13" t="n">
        <f aca="false">SUM(C16:C20)</f>
        <v>1553.75</v>
      </c>
      <c r="D21" s="12" t="n">
        <f aca="false">SUM(D16:D20)</f>
        <v>141.15</v>
      </c>
      <c r="E21" s="13" t="n">
        <f aca="false">SUM(E16:E20)</f>
        <v>1693.8</v>
      </c>
      <c r="F21" s="12" t="n">
        <f aca="false">SUM(F16:F20)</f>
        <v>186.06</v>
      </c>
      <c r="G21" s="13" t="n">
        <f aca="false">SUM(G16:G20)</f>
        <v>2883.93</v>
      </c>
      <c r="H21" s="14" t="n">
        <f aca="false">SUM(H16:H20)</f>
        <v>0</v>
      </c>
      <c r="I21" s="13" t="n">
        <f aca="false">SUM(I16:I20)</f>
        <v>0</v>
      </c>
      <c r="J21" s="12" t="n">
        <f aca="false">SUM(J16:J20)</f>
        <v>0</v>
      </c>
      <c r="K21" s="13" t="n">
        <f aca="false">SUM(K16:K20)</f>
        <v>0</v>
      </c>
      <c r="L21" s="13" t="n">
        <f aca="false">SUM(L16:L20)</f>
        <v>840</v>
      </c>
      <c r="M21" s="13" t="n">
        <f aca="false">SUM(M16:M20)</f>
        <v>0</v>
      </c>
      <c r="N21" s="13" t="n">
        <f aca="false">SUM(N16:N20)</f>
        <v>0</v>
      </c>
      <c r="O21" s="13" t="n">
        <f aca="false">SUM(O16:O20)</f>
        <v>0</v>
      </c>
      <c r="P21" s="13" t="n">
        <f aca="false">SUM(P16:P20)</f>
        <v>0</v>
      </c>
      <c r="Q21" s="13" t="n">
        <f aca="false">SUM(Q16:Q20)</f>
        <v>0</v>
      </c>
      <c r="R21" s="13" t="n">
        <f aca="false">SUM(R16:R20)</f>
        <v>0</v>
      </c>
      <c r="S21" s="13" t="n">
        <f aca="false">SUM(S16:S20)</f>
        <v>0</v>
      </c>
      <c r="T21" s="13" t="n">
        <f aca="false">SUM(T16:T20)</f>
        <v>6971.48</v>
      </c>
    </row>
    <row r="23" customFormat="false" ht="15" hidden="false" customHeight="false" outlineLevel="0" collapsed="false">
      <c r="A23" s="4" t="s">
        <v>38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customFormat="false" ht="15" hidden="false" customHeight="false" outlineLevel="0" collapsed="false">
      <c r="A24" s="6" t="s">
        <v>39</v>
      </c>
      <c r="B24" s="7" t="n">
        <f aca="false">SUMIFS('Hisob (batafsil)'!$G$5:$G$271,'Hisob (batafsil)'!$B$5:$B$271,$A24,'Hisob (batafsil)'!$C$5:$C$271,"Shisha devor")</f>
        <v>0</v>
      </c>
      <c r="C24" s="8" t="n">
        <f aca="false">SUMIFS('Hisob (batafsil)'!$J$5:$J$271,'Hisob (batafsil)'!$B$5:$B$271,$A24,'Hisob (batafsil)'!$C$5:$C$271,"Shisha devor")</f>
        <v>0</v>
      </c>
      <c r="D24" s="7" t="n">
        <f aca="false">SUMIFS('Hisob (batafsil)'!$G$5:$G$271,'Hisob (batafsil)'!$B$5:$B$271,$A24,'Hisob (batafsil)'!$C$5:$C$271,"Gips karton (GKL)")</f>
        <v>45.375</v>
      </c>
      <c r="E24" s="8" t="n">
        <f aca="false">SUMIFS('Hisob (batafsil)'!$J$5:$J$271,'Hisob (batafsil)'!$B$5:$B$271,$A24,'Hisob (batafsil)'!$C$5:$C$271,"Gips karton (GKL)")</f>
        <v>544.5</v>
      </c>
      <c r="F24" s="7" t="n">
        <f aca="false">SUMIFS('Hisob (batafsil)'!$G$5:$G$271,'Hisob (batafsil)'!$B$5:$B$271,$A24,'Hisob (batafsil)'!$C$5:$C$271,"Bambuk panel")</f>
        <v>0</v>
      </c>
      <c r="G24" s="8" t="n">
        <f aca="false">SUMIFS('Hisob (batafsil)'!$J$5:$J$271,'Hisob (batafsil)'!$B$5:$B$271,$A24,'Hisob (batafsil)'!$C$5:$C$271,"Bambuk panel")</f>
        <v>0</v>
      </c>
      <c r="H24" s="9" t="n">
        <f aca="false">SUMIFS('Hisob (batafsil)'!$G$5:$G$271,'Hisob (batafsil)'!$B$5:$B$271,$A24,'Hisob (batafsil)'!$C$5:$C$271,"Interaktiv doska")</f>
        <v>0</v>
      </c>
      <c r="I24" s="8" t="n">
        <f aca="false">SUMIFS('Hisob (batafsil)'!$J$5:$J$271,'Hisob (batafsil)'!$B$5:$B$271,$A24,'Hisob (batafsil)'!$C$5:$C$271,"Interaktiv doska")</f>
        <v>0</v>
      </c>
      <c r="J24" s="7" t="n">
        <f aca="false">SUMIFS('Hisob (batafsil)'!$G$5:$G$271,'Hisob (batafsil)'!$B$5:$B$271,$A24,'Hisob (batafsil)'!$C$5:$C$271,"Perila")</f>
        <v>0</v>
      </c>
      <c r="K24" s="8" t="n">
        <f aca="false">SUMIFS('Hisob (batafsil)'!$J$5:$J$271,'Hisob (batafsil)'!$B$5:$B$271,$A24,'Hisob (batafsil)'!$C$5:$C$271,"Perila")</f>
        <v>0</v>
      </c>
      <c r="L24" s="8" t="n">
        <f aca="false">SUMIFS('Hisob (batafsil)'!$J$5:$J$271,'Hisob (batafsil)'!$B$5:$B$271,$A24,'Hisob (batafsil)'!$C$5:$C$271,"Yoritish")</f>
        <v>336</v>
      </c>
      <c r="M24" s="8" t="n">
        <f aca="false">SUMIFS('Hisob (batafsil)'!$J$5:$J$271,'Hisob (batafsil)'!$B$5:$B$271,$A24,'Hisob (batafsil)'!$C$5:$C$271,"Kamera tizimi")</f>
        <v>0</v>
      </c>
      <c r="N24" s="8" t="n">
        <f aca="false">SUMIFS('Hisob (batafsil)'!$J$5:$J$271,'Hisob (batafsil)'!$B$5:$B$271,$A24,'Hisob (batafsil)'!$C$5:$C$271,"Logotip")</f>
        <v>0</v>
      </c>
      <c r="O24" s="8" t="n">
        <f aca="false">SUMIFS('Hisob (batafsil)'!$J$5:$J$271,'Hisob (batafsil)'!$B$5:$B$271,$A24,'Hisob (batafsil)'!$C$5:$C$271,"Matli plyonka")</f>
        <v>0</v>
      </c>
      <c r="P24" s="8" t="n">
        <f aca="false">SUMIFS('Hisob (batafsil)'!$J$5:$J$271,'Hisob (batafsil)'!$B$5:$B$271,$A24,'Hisob (batafsil)'!$C$5:$C$271,"Yong'in xavfsizligi")</f>
        <v>0</v>
      </c>
      <c r="Q24" s="8" t="n">
        <f aca="false">SUMIFS('Hisob (batafsil)'!$J$5:$J$271,'Hisob (batafsil)'!$B$5:$B$271,$A24,'Hisob (batafsil)'!$C$5:$C$271,"Buzish ishlari")</f>
        <v>0</v>
      </c>
      <c r="R24" s="8" t="n">
        <f aca="false">SUMIFS('Hisob (batafsil)'!$J$5:$J$271,'Hisob (batafsil)'!$B$5:$B$271,$A24,'Hisob (batafsil)'!$C$5:$C$271,"Santexnika")</f>
        <v>0</v>
      </c>
      <c r="S24" s="8" t="n">
        <f aca="false">SUMIFS('Hisob (batafsil)'!$J$5:$J$271,'Hisob (batafsil)'!$B$5:$B$271,$A24,'Hisob (batafsil)'!$C$5:$C$271,"Kafel")</f>
        <v>0</v>
      </c>
      <c r="T24" s="10" t="n">
        <f aca="false">C24+E24+G24+I24+K24+L24+M24+N24+O24+P24+Q24+R24+S24</f>
        <v>880.5</v>
      </c>
    </row>
    <row r="25" customFormat="false" ht="15" hidden="false" customHeight="false" outlineLevel="0" collapsed="false">
      <c r="A25" s="6" t="s">
        <v>40</v>
      </c>
      <c r="B25" s="7" t="n">
        <f aca="false">SUMIFS('Hisob (batafsil)'!$G$5:$G$271,'Hisob (batafsil)'!$B$5:$B$271,$A25,'Hisob (batafsil)'!$C$5:$C$271,"Shisha devor")</f>
        <v>0</v>
      </c>
      <c r="C25" s="8" t="n">
        <f aca="false">SUMIFS('Hisob (batafsil)'!$J$5:$J$271,'Hisob (batafsil)'!$B$5:$B$271,$A25,'Hisob (batafsil)'!$C$5:$C$271,"Shisha devor")</f>
        <v>0</v>
      </c>
      <c r="D25" s="7" t="n">
        <f aca="false">SUMIFS('Hisob (batafsil)'!$G$5:$G$271,'Hisob (batafsil)'!$B$5:$B$271,$A25,'Hisob (batafsil)'!$C$5:$C$271,"Gips karton (GKL)")</f>
        <v>46.35</v>
      </c>
      <c r="E25" s="8" t="n">
        <f aca="false">SUMIFS('Hisob (batafsil)'!$J$5:$J$271,'Hisob (batafsil)'!$B$5:$B$271,$A25,'Hisob (batafsil)'!$C$5:$C$271,"Gips karton (GKL)")</f>
        <v>556.2</v>
      </c>
      <c r="F25" s="7" t="n">
        <f aca="false">SUMIFS('Hisob (batafsil)'!$G$5:$G$271,'Hisob (batafsil)'!$B$5:$B$271,$A25,'Hisob (batafsil)'!$C$5:$C$271,"Bambuk panel")</f>
        <v>0</v>
      </c>
      <c r="G25" s="8" t="n">
        <f aca="false">SUMIFS('Hisob (batafsil)'!$J$5:$J$271,'Hisob (batafsil)'!$B$5:$B$271,$A25,'Hisob (batafsil)'!$C$5:$C$271,"Bambuk panel")</f>
        <v>0</v>
      </c>
      <c r="H25" s="9" t="n">
        <f aca="false">SUMIFS('Hisob (batafsil)'!$G$5:$G$271,'Hisob (batafsil)'!$B$5:$B$271,$A25,'Hisob (batafsil)'!$C$5:$C$271,"Interaktiv doska")</f>
        <v>0</v>
      </c>
      <c r="I25" s="8" t="n">
        <f aca="false">SUMIFS('Hisob (batafsil)'!$J$5:$J$271,'Hisob (batafsil)'!$B$5:$B$271,$A25,'Hisob (batafsil)'!$C$5:$C$271,"Interaktiv doska")</f>
        <v>0</v>
      </c>
      <c r="J25" s="7" t="n">
        <f aca="false">SUMIFS('Hisob (batafsil)'!$G$5:$G$271,'Hisob (batafsil)'!$B$5:$B$271,$A25,'Hisob (batafsil)'!$C$5:$C$271,"Perila")</f>
        <v>0</v>
      </c>
      <c r="K25" s="8" t="n">
        <f aca="false">SUMIFS('Hisob (batafsil)'!$J$5:$J$271,'Hisob (batafsil)'!$B$5:$B$271,$A25,'Hisob (batafsil)'!$C$5:$C$271,"Perila")</f>
        <v>0</v>
      </c>
      <c r="L25" s="8" t="n">
        <f aca="false">SUMIFS('Hisob (batafsil)'!$J$5:$J$271,'Hisob (batafsil)'!$B$5:$B$271,$A25,'Hisob (batafsil)'!$C$5:$C$271,"Yoritish")</f>
        <v>336</v>
      </c>
      <c r="M25" s="8" t="n">
        <f aca="false">SUMIFS('Hisob (batafsil)'!$J$5:$J$271,'Hisob (batafsil)'!$B$5:$B$271,$A25,'Hisob (batafsil)'!$C$5:$C$271,"Kamera tizimi")</f>
        <v>0</v>
      </c>
      <c r="N25" s="8" t="n">
        <f aca="false">SUMIFS('Hisob (batafsil)'!$J$5:$J$271,'Hisob (batafsil)'!$B$5:$B$271,$A25,'Hisob (batafsil)'!$C$5:$C$271,"Logotip")</f>
        <v>0</v>
      </c>
      <c r="O25" s="8" t="n">
        <f aca="false">SUMIFS('Hisob (batafsil)'!$J$5:$J$271,'Hisob (batafsil)'!$B$5:$B$271,$A25,'Hisob (batafsil)'!$C$5:$C$271,"Matli plyonka")</f>
        <v>0</v>
      </c>
      <c r="P25" s="8" t="n">
        <f aca="false">SUMIFS('Hisob (batafsil)'!$J$5:$J$271,'Hisob (batafsil)'!$B$5:$B$271,$A25,'Hisob (batafsil)'!$C$5:$C$271,"Yong'in xavfsizligi")</f>
        <v>0</v>
      </c>
      <c r="Q25" s="8" t="n">
        <f aca="false">SUMIFS('Hisob (batafsil)'!$J$5:$J$271,'Hisob (batafsil)'!$B$5:$B$271,$A25,'Hisob (batafsil)'!$C$5:$C$271,"Buzish ishlari")</f>
        <v>0</v>
      </c>
      <c r="R25" s="8" t="n">
        <f aca="false">SUMIFS('Hisob (batafsil)'!$J$5:$J$271,'Hisob (batafsil)'!$B$5:$B$271,$A25,'Hisob (batafsil)'!$C$5:$C$271,"Santexnika")</f>
        <v>0</v>
      </c>
      <c r="S25" s="8" t="n">
        <f aca="false">SUMIFS('Hisob (batafsil)'!$J$5:$J$271,'Hisob (batafsil)'!$B$5:$B$271,$A25,'Hisob (batafsil)'!$C$5:$C$271,"Kafel")</f>
        <v>0</v>
      </c>
      <c r="T25" s="10" t="n">
        <f aca="false">C25+E25+G25+I25+K25+L25+M25+N25+O25+P25+Q25+R25+S25</f>
        <v>892.2</v>
      </c>
    </row>
    <row r="26" customFormat="false" ht="15" hidden="false" customHeight="false" outlineLevel="0" collapsed="false">
      <c r="A26" s="6" t="s">
        <v>41</v>
      </c>
      <c r="B26" s="7" t="n">
        <f aca="false">SUMIFS('Hisob (batafsil)'!$G$5:$G$271,'Hisob (batafsil)'!$B$5:$B$271,$A26,'Hisob (batafsil)'!$C$5:$C$271,"Shisha devor")</f>
        <v>0</v>
      </c>
      <c r="C26" s="8" t="n">
        <f aca="false">SUMIFS('Hisob (batafsil)'!$J$5:$J$271,'Hisob (batafsil)'!$B$5:$B$271,$A26,'Hisob (batafsil)'!$C$5:$C$271,"Shisha devor")</f>
        <v>0</v>
      </c>
      <c r="D26" s="7" t="n">
        <f aca="false">SUMIFS('Hisob (batafsil)'!$G$5:$G$271,'Hisob (batafsil)'!$B$5:$B$271,$A26,'Hisob (batafsil)'!$C$5:$C$271,"Gips karton (GKL)")</f>
        <v>9.625</v>
      </c>
      <c r="E26" s="8" t="n">
        <f aca="false">SUMIFS('Hisob (batafsil)'!$J$5:$J$271,'Hisob (batafsil)'!$B$5:$B$271,$A26,'Hisob (batafsil)'!$C$5:$C$271,"Gips karton (GKL)")</f>
        <v>115.5</v>
      </c>
      <c r="F26" s="7" t="n">
        <f aca="false">SUMIFS('Hisob (batafsil)'!$G$5:$G$271,'Hisob (batafsil)'!$B$5:$B$271,$A26,'Hisob (batafsil)'!$C$5:$C$271,"Bambuk panel")</f>
        <v>0</v>
      </c>
      <c r="G26" s="8" t="n">
        <f aca="false">SUMIFS('Hisob (batafsil)'!$J$5:$J$271,'Hisob (batafsil)'!$B$5:$B$271,$A26,'Hisob (batafsil)'!$C$5:$C$271,"Bambuk panel")</f>
        <v>0</v>
      </c>
      <c r="H26" s="9" t="n">
        <f aca="false">SUMIFS('Hisob (batafsil)'!$G$5:$G$271,'Hisob (batafsil)'!$B$5:$B$271,$A26,'Hisob (batafsil)'!$C$5:$C$271,"Interaktiv doska")</f>
        <v>0</v>
      </c>
      <c r="I26" s="8" t="n">
        <f aca="false">SUMIFS('Hisob (batafsil)'!$J$5:$J$271,'Hisob (batafsil)'!$B$5:$B$271,$A26,'Hisob (batafsil)'!$C$5:$C$271,"Interaktiv doska")</f>
        <v>0</v>
      </c>
      <c r="J26" s="7" t="n">
        <f aca="false">SUMIFS('Hisob (batafsil)'!$G$5:$G$271,'Hisob (batafsil)'!$B$5:$B$271,$A26,'Hisob (batafsil)'!$C$5:$C$271,"Perila")</f>
        <v>0</v>
      </c>
      <c r="K26" s="8" t="n">
        <f aca="false">SUMIFS('Hisob (batafsil)'!$J$5:$J$271,'Hisob (batafsil)'!$B$5:$B$271,$A26,'Hisob (batafsil)'!$C$5:$C$271,"Perila")</f>
        <v>0</v>
      </c>
      <c r="L26" s="8" t="n">
        <f aca="false">SUMIFS('Hisob (batafsil)'!$J$5:$J$271,'Hisob (batafsil)'!$B$5:$B$271,$A26,'Hisob (batafsil)'!$C$5:$C$271,"Yoritish")</f>
        <v>336</v>
      </c>
      <c r="M26" s="8" t="n">
        <f aca="false">SUMIFS('Hisob (batafsil)'!$J$5:$J$271,'Hisob (batafsil)'!$B$5:$B$271,$A26,'Hisob (batafsil)'!$C$5:$C$271,"Kamera tizimi")</f>
        <v>0</v>
      </c>
      <c r="N26" s="8" t="n">
        <f aca="false">SUMIFS('Hisob (batafsil)'!$J$5:$J$271,'Hisob (batafsil)'!$B$5:$B$271,$A26,'Hisob (batafsil)'!$C$5:$C$271,"Logotip")</f>
        <v>0</v>
      </c>
      <c r="O26" s="8" t="n">
        <f aca="false">SUMIFS('Hisob (batafsil)'!$J$5:$J$271,'Hisob (batafsil)'!$B$5:$B$271,$A26,'Hisob (batafsil)'!$C$5:$C$271,"Matli plyonka")</f>
        <v>0</v>
      </c>
      <c r="P26" s="8" t="n">
        <f aca="false">SUMIFS('Hisob (batafsil)'!$J$5:$J$271,'Hisob (batafsil)'!$B$5:$B$271,$A26,'Hisob (batafsil)'!$C$5:$C$271,"Yong'in xavfsizligi")</f>
        <v>0</v>
      </c>
      <c r="Q26" s="8" t="n">
        <f aca="false">SUMIFS('Hisob (batafsil)'!$J$5:$J$271,'Hisob (batafsil)'!$B$5:$B$271,$A26,'Hisob (batafsil)'!$C$5:$C$271,"Buzish ishlari")</f>
        <v>0</v>
      </c>
      <c r="R26" s="8" t="n">
        <f aca="false">SUMIFS('Hisob (batafsil)'!$J$5:$J$271,'Hisob (batafsil)'!$B$5:$B$271,$A26,'Hisob (batafsil)'!$C$5:$C$271,"Santexnika")</f>
        <v>0</v>
      </c>
      <c r="S26" s="8" t="n">
        <f aca="false">SUMIFS('Hisob (batafsil)'!$J$5:$J$271,'Hisob (batafsil)'!$B$5:$B$271,$A26,'Hisob (batafsil)'!$C$5:$C$271,"Kafel")</f>
        <v>0</v>
      </c>
      <c r="T26" s="10" t="n">
        <f aca="false">C26+E26+G26+I26+K26+L26+M26+N26+O26+P26+Q26+R26+S26</f>
        <v>451.5</v>
      </c>
    </row>
    <row r="27" customFormat="false" ht="15" hidden="false" customHeight="false" outlineLevel="0" collapsed="false">
      <c r="A27" s="6" t="s">
        <v>42</v>
      </c>
      <c r="B27" s="7" t="n">
        <f aca="false">SUMIFS('Hisob (batafsil)'!$G$5:$G$271,'Hisob (batafsil)'!$B$5:$B$271,$A27,'Hisob (batafsil)'!$C$5:$C$271,"Shisha devor")</f>
        <v>0</v>
      </c>
      <c r="C27" s="8" t="n">
        <f aca="false">SUMIFS('Hisob (batafsil)'!$J$5:$J$271,'Hisob (batafsil)'!$B$5:$B$271,$A27,'Hisob (batafsil)'!$C$5:$C$271,"Shisha devor")</f>
        <v>0</v>
      </c>
      <c r="D27" s="7" t="n">
        <f aca="false">SUMIFS('Hisob (batafsil)'!$G$5:$G$271,'Hisob (batafsil)'!$B$5:$B$271,$A27,'Hisob (batafsil)'!$C$5:$C$271,"Gips karton (GKL)")</f>
        <v>9.1</v>
      </c>
      <c r="E27" s="8" t="n">
        <f aca="false">SUMIFS('Hisob (batafsil)'!$J$5:$J$271,'Hisob (batafsil)'!$B$5:$B$271,$A27,'Hisob (batafsil)'!$C$5:$C$271,"Gips karton (GKL)")</f>
        <v>109.2</v>
      </c>
      <c r="F27" s="7" t="n">
        <f aca="false">SUMIFS('Hisob (batafsil)'!$G$5:$G$271,'Hisob (batafsil)'!$B$5:$B$271,$A27,'Hisob (batafsil)'!$C$5:$C$271,"Bambuk panel")</f>
        <v>0</v>
      </c>
      <c r="G27" s="8" t="n">
        <f aca="false">SUMIFS('Hisob (batafsil)'!$J$5:$J$271,'Hisob (batafsil)'!$B$5:$B$271,$A27,'Hisob (batafsil)'!$C$5:$C$271,"Bambuk panel")</f>
        <v>0</v>
      </c>
      <c r="H27" s="9" t="n">
        <f aca="false">SUMIFS('Hisob (batafsil)'!$G$5:$G$271,'Hisob (batafsil)'!$B$5:$B$271,$A27,'Hisob (batafsil)'!$C$5:$C$271,"Interaktiv doska")</f>
        <v>0</v>
      </c>
      <c r="I27" s="8" t="n">
        <f aca="false">SUMIFS('Hisob (batafsil)'!$J$5:$J$271,'Hisob (batafsil)'!$B$5:$B$271,$A27,'Hisob (batafsil)'!$C$5:$C$271,"Interaktiv doska")</f>
        <v>0</v>
      </c>
      <c r="J27" s="7" t="n">
        <f aca="false">SUMIFS('Hisob (batafsil)'!$G$5:$G$271,'Hisob (batafsil)'!$B$5:$B$271,$A27,'Hisob (batafsil)'!$C$5:$C$271,"Perila")</f>
        <v>0</v>
      </c>
      <c r="K27" s="8" t="n">
        <f aca="false">SUMIFS('Hisob (batafsil)'!$J$5:$J$271,'Hisob (batafsil)'!$B$5:$B$271,$A27,'Hisob (batafsil)'!$C$5:$C$271,"Perila")</f>
        <v>0</v>
      </c>
      <c r="L27" s="8" t="n">
        <f aca="false">SUMIFS('Hisob (batafsil)'!$J$5:$J$271,'Hisob (batafsil)'!$B$5:$B$271,$A27,'Hisob (batafsil)'!$C$5:$C$271,"Yoritish")</f>
        <v>0</v>
      </c>
      <c r="M27" s="8" t="n">
        <f aca="false">SUMIFS('Hisob (batafsil)'!$J$5:$J$271,'Hisob (batafsil)'!$B$5:$B$271,$A27,'Hisob (batafsil)'!$C$5:$C$271,"Kamera tizimi")</f>
        <v>0</v>
      </c>
      <c r="N27" s="8" t="n">
        <f aca="false">SUMIFS('Hisob (batafsil)'!$J$5:$J$271,'Hisob (batafsil)'!$B$5:$B$271,$A27,'Hisob (batafsil)'!$C$5:$C$271,"Logotip")</f>
        <v>0</v>
      </c>
      <c r="O27" s="8" t="n">
        <f aca="false">SUMIFS('Hisob (batafsil)'!$J$5:$J$271,'Hisob (batafsil)'!$B$5:$B$271,$A27,'Hisob (batafsil)'!$C$5:$C$271,"Matli plyonka")</f>
        <v>0</v>
      </c>
      <c r="P27" s="8" t="n">
        <f aca="false">SUMIFS('Hisob (batafsil)'!$J$5:$J$271,'Hisob (batafsil)'!$B$5:$B$271,$A27,'Hisob (batafsil)'!$C$5:$C$271,"Yong'in xavfsizligi")</f>
        <v>0</v>
      </c>
      <c r="Q27" s="8" t="n">
        <f aca="false">SUMIFS('Hisob (batafsil)'!$J$5:$J$271,'Hisob (batafsil)'!$B$5:$B$271,$A27,'Hisob (batafsil)'!$C$5:$C$271,"Buzish ishlari")</f>
        <v>0</v>
      </c>
      <c r="R27" s="8" t="n">
        <f aca="false">SUMIFS('Hisob (batafsil)'!$J$5:$J$271,'Hisob (batafsil)'!$B$5:$B$271,$A27,'Hisob (batafsil)'!$C$5:$C$271,"Santexnika")</f>
        <v>0</v>
      </c>
      <c r="S27" s="8" t="n">
        <f aca="false">SUMIFS('Hisob (batafsil)'!$J$5:$J$271,'Hisob (batafsil)'!$B$5:$B$271,$A27,'Hisob (batafsil)'!$C$5:$C$271,"Kafel")</f>
        <v>0</v>
      </c>
      <c r="T27" s="10" t="n">
        <f aca="false">C27+E27+G27+I27+K27+L27+M27+N27+O27+P27+Q27+R27+S27</f>
        <v>109.2</v>
      </c>
    </row>
    <row r="28" customFormat="false" ht="15" hidden="false" customHeight="false" outlineLevel="0" collapsed="false">
      <c r="A28" s="6" t="s">
        <v>43</v>
      </c>
      <c r="B28" s="7" t="n">
        <f aca="false">SUMIFS('Hisob (batafsil)'!$G$5:$G$271,'Hisob (batafsil)'!$B$5:$B$271,$A28,'Hisob (batafsil)'!$C$5:$C$271,"Shisha devor")</f>
        <v>0</v>
      </c>
      <c r="C28" s="8" t="n">
        <f aca="false">SUMIFS('Hisob (batafsil)'!$J$5:$J$271,'Hisob (batafsil)'!$B$5:$B$271,$A28,'Hisob (batafsil)'!$C$5:$C$271,"Shisha devor")</f>
        <v>0</v>
      </c>
      <c r="D28" s="7" t="n">
        <f aca="false">SUMIFS('Hisob (batafsil)'!$G$5:$G$271,'Hisob (batafsil)'!$B$5:$B$271,$A28,'Hisob (batafsil)'!$C$5:$C$271,"Gips karton (GKL)")</f>
        <v>0</v>
      </c>
      <c r="E28" s="8" t="n">
        <f aca="false">SUMIFS('Hisob (batafsil)'!$J$5:$J$271,'Hisob (batafsil)'!$B$5:$B$271,$A28,'Hisob (batafsil)'!$C$5:$C$271,"Gips karton (GKL)")</f>
        <v>0</v>
      </c>
      <c r="F28" s="7" t="n">
        <f aca="false">SUMIFS('Hisob (batafsil)'!$G$5:$G$271,'Hisob (batafsil)'!$B$5:$B$271,$A28,'Hisob (batafsil)'!$C$5:$C$271,"Bambuk panel")</f>
        <v>0</v>
      </c>
      <c r="G28" s="8" t="n">
        <f aca="false">SUMIFS('Hisob (batafsil)'!$J$5:$J$271,'Hisob (batafsil)'!$B$5:$B$271,$A28,'Hisob (batafsil)'!$C$5:$C$271,"Bambuk panel")</f>
        <v>0</v>
      </c>
      <c r="H28" s="9" t="n">
        <f aca="false">SUMIFS('Hisob (batafsil)'!$G$5:$G$271,'Hisob (batafsil)'!$B$5:$B$271,$A28,'Hisob (batafsil)'!$C$5:$C$271,"Interaktiv doska")</f>
        <v>0</v>
      </c>
      <c r="I28" s="8" t="n">
        <f aca="false">SUMIFS('Hisob (batafsil)'!$J$5:$J$271,'Hisob (batafsil)'!$B$5:$B$271,$A28,'Hisob (batafsil)'!$C$5:$C$271,"Interaktiv doska")</f>
        <v>0</v>
      </c>
      <c r="J28" s="7" t="n">
        <f aca="false">SUMIFS('Hisob (batafsil)'!$G$5:$G$271,'Hisob (batafsil)'!$B$5:$B$271,$A28,'Hisob (batafsil)'!$C$5:$C$271,"Perila")</f>
        <v>24</v>
      </c>
      <c r="K28" s="8" t="n">
        <f aca="false">SUMIFS('Hisob (batafsil)'!$J$5:$J$271,'Hisob (batafsil)'!$B$5:$B$271,$A28,'Hisob (batafsil)'!$C$5:$C$271,"Perila")</f>
        <v>2016</v>
      </c>
      <c r="L28" s="8" t="n">
        <f aca="false">SUMIFS('Hisob (batafsil)'!$J$5:$J$271,'Hisob (batafsil)'!$B$5:$B$271,$A28,'Hisob (batafsil)'!$C$5:$C$271,"Yoritish")</f>
        <v>0</v>
      </c>
      <c r="M28" s="8" t="n">
        <f aca="false">SUMIFS('Hisob (batafsil)'!$J$5:$J$271,'Hisob (batafsil)'!$B$5:$B$271,$A28,'Hisob (batafsil)'!$C$5:$C$271,"Kamera tizimi")</f>
        <v>0</v>
      </c>
      <c r="N28" s="8" t="n">
        <f aca="false">SUMIFS('Hisob (batafsil)'!$J$5:$J$271,'Hisob (batafsil)'!$B$5:$B$271,$A28,'Hisob (batafsil)'!$C$5:$C$271,"Logotip")</f>
        <v>0</v>
      </c>
      <c r="O28" s="8" t="n">
        <f aca="false">SUMIFS('Hisob (batafsil)'!$J$5:$J$271,'Hisob (batafsil)'!$B$5:$B$271,$A28,'Hisob (batafsil)'!$C$5:$C$271,"Matli plyonka")</f>
        <v>0</v>
      </c>
      <c r="P28" s="8" t="n">
        <f aca="false">SUMIFS('Hisob (batafsil)'!$J$5:$J$271,'Hisob (batafsil)'!$B$5:$B$271,$A28,'Hisob (batafsil)'!$C$5:$C$271,"Yong'in xavfsizligi")</f>
        <v>0</v>
      </c>
      <c r="Q28" s="8" t="n">
        <f aca="false">SUMIFS('Hisob (batafsil)'!$J$5:$J$271,'Hisob (batafsil)'!$B$5:$B$271,$A28,'Hisob (batafsil)'!$C$5:$C$271,"Buzish ishlari")</f>
        <v>0</v>
      </c>
      <c r="R28" s="8" t="n">
        <f aca="false">SUMIFS('Hisob (batafsil)'!$J$5:$J$271,'Hisob (batafsil)'!$B$5:$B$271,$A28,'Hisob (batafsil)'!$C$5:$C$271,"Santexnika")</f>
        <v>0</v>
      </c>
      <c r="S28" s="8" t="n">
        <f aca="false">SUMIFS('Hisob (batafsil)'!$J$5:$J$271,'Hisob (batafsil)'!$B$5:$B$271,$A28,'Hisob (batafsil)'!$C$5:$C$271,"Kafel")</f>
        <v>0</v>
      </c>
      <c r="T28" s="10" t="n">
        <f aca="false">C28+E28+G28+I28+K28+L28+M28+N28+O28+P28+Q28+R28+S28</f>
        <v>2016</v>
      </c>
    </row>
    <row r="29" customFormat="false" ht="15" hidden="false" customHeight="false" outlineLevel="0" collapsed="false">
      <c r="A29" s="6" t="s">
        <v>44</v>
      </c>
      <c r="B29" s="7" t="n">
        <f aca="false">SUMIFS('Hisob (batafsil)'!$G$5:$G$271,'Hisob (batafsil)'!$B$5:$B$271,$A29,'Hisob (batafsil)'!$C$5:$C$271,"Shisha devor")</f>
        <v>0</v>
      </c>
      <c r="C29" s="8" t="n">
        <f aca="false">SUMIFS('Hisob (batafsil)'!$J$5:$J$271,'Hisob (batafsil)'!$B$5:$B$271,$A29,'Hisob (batafsil)'!$C$5:$C$271,"Shisha devor")</f>
        <v>0</v>
      </c>
      <c r="D29" s="7" t="n">
        <f aca="false">SUMIFS('Hisob (batafsil)'!$G$5:$G$271,'Hisob (batafsil)'!$B$5:$B$271,$A29,'Hisob (batafsil)'!$C$5:$C$271,"Gips karton (GKL)")</f>
        <v>0</v>
      </c>
      <c r="E29" s="8" t="n">
        <f aca="false">SUMIFS('Hisob (batafsil)'!$J$5:$J$271,'Hisob (batafsil)'!$B$5:$B$271,$A29,'Hisob (batafsil)'!$C$5:$C$271,"Gips karton (GKL)")</f>
        <v>0</v>
      </c>
      <c r="F29" s="7" t="n">
        <f aca="false">SUMIFS('Hisob (batafsil)'!$G$5:$G$271,'Hisob (batafsil)'!$B$5:$B$271,$A29,'Hisob (batafsil)'!$C$5:$C$271,"Bambuk panel")</f>
        <v>0</v>
      </c>
      <c r="G29" s="8" t="n">
        <f aca="false">SUMIFS('Hisob (batafsil)'!$J$5:$J$271,'Hisob (batafsil)'!$B$5:$B$271,$A29,'Hisob (batafsil)'!$C$5:$C$271,"Bambuk panel")</f>
        <v>0</v>
      </c>
      <c r="H29" s="9" t="n">
        <f aca="false">SUMIFS('Hisob (batafsil)'!$G$5:$G$271,'Hisob (batafsil)'!$B$5:$B$271,$A29,'Hisob (batafsil)'!$C$5:$C$271,"Interaktiv doska")</f>
        <v>0</v>
      </c>
      <c r="I29" s="8" t="n">
        <f aca="false">SUMIFS('Hisob (batafsil)'!$J$5:$J$271,'Hisob (batafsil)'!$B$5:$B$271,$A29,'Hisob (batafsil)'!$C$5:$C$271,"Interaktiv doska")</f>
        <v>0</v>
      </c>
      <c r="J29" s="7" t="n">
        <f aca="false">SUMIFS('Hisob (batafsil)'!$G$5:$G$271,'Hisob (batafsil)'!$B$5:$B$271,$A29,'Hisob (batafsil)'!$C$5:$C$271,"Perila")</f>
        <v>0</v>
      </c>
      <c r="K29" s="8" t="n">
        <f aca="false">SUMIFS('Hisob (batafsil)'!$J$5:$J$271,'Hisob (batafsil)'!$B$5:$B$271,$A29,'Hisob (batafsil)'!$C$5:$C$271,"Perila")</f>
        <v>0</v>
      </c>
      <c r="L29" s="8" t="n">
        <f aca="false">SUMIFS('Hisob (batafsil)'!$J$5:$J$271,'Hisob (batafsil)'!$B$5:$B$271,$A29,'Hisob (batafsil)'!$C$5:$C$271,"Yoritish")</f>
        <v>0</v>
      </c>
      <c r="M29" s="8" t="n">
        <f aca="false">SUMIFS('Hisob (batafsil)'!$J$5:$J$271,'Hisob (batafsil)'!$B$5:$B$271,$A29,'Hisob (batafsil)'!$C$5:$C$271,"Kamera tizimi")</f>
        <v>2119</v>
      </c>
      <c r="N29" s="8" t="n">
        <f aca="false">SUMIFS('Hisob (batafsil)'!$J$5:$J$271,'Hisob (batafsil)'!$B$5:$B$271,$A29,'Hisob (batafsil)'!$C$5:$C$271,"Logotip")</f>
        <v>2500</v>
      </c>
      <c r="O29" s="8" t="n">
        <f aca="false">SUMIFS('Hisob (batafsil)'!$J$5:$J$271,'Hisob (batafsil)'!$B$5:$B$271,$A29,'Hisob (batafsil)'!$C$5:$C$271,"Matli plyonka")</f>
        <v>537.81512605042</v>
      </c>
      <c r="P29" s="8" t="n">
        <f aca="false">SUMIFS('Hisob (batafsil)'!$J$5:$J$271,'Hisob (batafsil)'!$B$5:$B$271,$A29,'Hisob (batafsil)'!$C$5:$C$271,"Yong'in xavfsizligi")</f>
        <v>1512.60504201681</v>
      </c>
      <c r="Q29" s="8" t="n">
        <f aca="false">SUMIFS('Hisob (batafsil)'!$J$5:$J$271,'Hisob (batafsil)'!$B$5:$B$271,$A29,'Hisob (batafsil)'!$C$5:$C$271,"Buzish ishlari")</f>
        <v>451.575630252101</v>
      </c>
      <c r="R29" s="8" t="n">
        <f aca="false">SUMIFS('Hisob (batafsil)'!$J$5:$J$271,'Hisob (batafsil)'!$B$5:$B$271,$A29,'Hisob (batafsil)'!$C$5:$C$271,"Santexnika")</f>
        <v>0</v>
      </c>
      <c r="S29" s="8" t="n">
        <f aca="false">SUMIFS('Hisob (batafsil)'!$J$5:$J$271,'Hisob (batafsil)'!$B$5:$B$271,$A29,'Hisob (batafsil)'!$C$5:$C$271,"Kafel")</f>
        <v>0</v>
      </c>
      <c r="T29" s="10" t="n">
        <f aca="false">C29+E29+G29+I29+K29+L29+M29+N29+O29+P29+Q29+R29+S29</f>
        <v>7120.99579831933</v>
      </c>
    </row>
    <row r="30" customFormat="false" ht="15" hidden="false" customHeight="false" outlineLevel="0" collapsed="false">
      <c r="A30" s="11" t="s">
        <v>45</v>
      </c>
      <c r="B30" s="12" t="n">
        <f aca="false">SUM(B24:B29)</f>
        <v>0</v>
      </c>
      <c r="C30" s="13" t="n">
        <f aca="false">SUM(C24:C29)</f>
        <v>0</v>
      </c>
      <c r="D30" s="12" t="n">
        <f aca="false">SUM(D24:D29)</f>
        <v>110.45</v>
      </c>
      <c r="E30" s="13" t="n">
        <f aca="false">SUM(E24:E29)</f>
        <v>1325.4</v>
      </c>
      <c r="F30" s="12" t="n">
        <f aca="false">SUM(F24:F29)</f>
        <v>0</v>
      </c>
      <c r="G30" s="13" t="n">
        <f aca="false">SUM(G24:G29)</f>
        <v>0</v>
      </c>
      <c r="H30" s="14" t="n">
        <f aca="false">SUM(H24:H29)</f>
        <v>0</v>
      </c>
      <c r="I30" s="13" t="n">
        <f aca="false">SUM(I24:I29)</f>
        <v>0</v>
      </c>
      <c r="J30" s="12" t="n">
        <f aca="false">SUM(J24:J29)</f>
        <v>24</v>
      </c>
      <c r="K30" s="13" t="n">
        <f aca="false">SUM(K24:K29)</f>
        <v>2016</v>
      </c>
      <c r="L30" s="13" t="n">
        <f aca="false">SUM(L24:L29)</f>
        <v>1008</v>
      </c>
      <c r="M30" s="13" t="n">
        <f aca="false">SUM(M24:M29)</f>
        <v>2119</v>
      </c>
      <c r="N30" s="13" t="n">
        <f aca="false">SUM(N24:N29)</f>
        <v>2500</v>
      </c>
      <c r="O30" s="13" t="n">
        <f aca="false">SUM(O24:O29)</f>
        <v>537.81512605042</v>
      </c>
      <c r="P30" s="13" t="n">
        <f aca="false">SUM(P24:P29)</f>
        <v>1512.60504201681</v>
      </c>
      <c r="Q30" s="13" t="n">
        <f aca="false">SUM(Q24:Q29)</f>
        <v>451.575630252101</v>
      </c>
      <c r="R30" s="13" t="n">
        <f aca="false">SUM(R24:R29)</f>
        <v>0</v>
      </c>
      <c r="S30" s="13" t="n">
        <f aca="false">SUM(S24:S29)</f>
        <v>0</v>
      </c>
      <c r="T30" s="13" t="n">
        <f aca="false">SUM(T24:T29)</f>
        <v>11470.3957983193</v>
      </c>
    </row>
    <row r="32" customFormat="false" ht="15" hidden="false" customHeight="false" outlineLevel="0" collapsed="false">
      <c r="A32" s="4" t="s">
        <v>46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customFormat="false" ht="15" hidden="false" customHeight="false" outlineLevel="0" collapsed="false">
      <c r="A33" s="6" t="s">
        <v>47</v>
      </c>
      <c r="B33" s="7" t="n">
        <f aca="false">SUMIFS('Hisob (batafsil)'!$G$5:$G$271,'Hisob (batafsil)'!$B$5:$B$271,$A33,'Hisob (batafsil)'!$C$5:$C$271,"Shisha devor")</f>
        <v>0</v>
      </c>
      <c r="C33" s="8" t="n">
        <f aca="false">SUMIFS('Hisob (batafsil)'!$J$5:$J$271,'Hisob (batafsil)'!$B$5:$B$271,$A33,'Hisob (batafsil)'!$C$5:$C$271,"Shisha devor")</f>
        <v>0</v>
      </c>
      <c r="D33" s="7" t="n">
        <f aca="false">SUMIFS('Hisob (batafsil)'!$G$5:$G$271,'Hisob (batafsil)'!$B$5:$B$271,$A33,'Hisob (batafsil)'!$C$5:$C$271,"Gips karton (GKL)")</f>
        <v>0</v>
      </c>
      <c r="E33" s="8" t="n">
        <f aca="false">SUMIFS('Hisob (batafsil)'!$J$5:$J$271,'Hisob (batafsil)'!$B$5:$B$271,$A33,'Hisob (batafsil)'!$C$5:$C$271,"Gips karton (GKL)")</f>
        <v>0</v>
      </c>
      <c r="F33" s="7" t="n">
        <f aca="false">SUMIFS('Hisob (batafsil)'!$G$5:$G$271,'Hisob (batafsil)'!$B$5:$B$271,$A33,'Hisob (batafsil)'!$C$5:$C$271,"Bambuk panel")</f>
        <v>46.86</v>
      </c>
      <c r="G33" s="8" t="n">
        <f aca="false">SUMIFS('Hisob (batafsil)'!$J$5:$J$271,'Hisob (batafsil)'!$B$5:$B$271,$A33,'Hisob (batafsil)'!$C$5:$C$271,"Bambuk panel")</f>
        <v>726.33</v>
      </c>
      <c r="H33" s="9" t="n">
        <f aca="false">SUMIFS('Hisob (batafsil)'!$G$5:$G$271,'Hisob (batafsil)'!$B$5:$B$271,$A33,'Hisob (batafsil)'!$C$5:$C$271,"Interaktiv doska")</f>
        <v>1</v>
      </c>
      <c r="I33" s="8" t="n">
        <f aca="false">SUMIFS('Hisob (batafsil)'!$J$5:$J$271,'Hisob (batafsil)'!$B$5:$B$271,$A33,'Hisob (batafsil)'!$C$5:$C$271,"Interaktiv doska")</f>
        <v>1032</v>
      </c>
      <c r="J33" s="7" t="n">
        <f aca="false">SUMIFS('Hisob (batafsil)'!$G$5:$G$271,'Hisob (batafsil)'!$B$5:$B$271,$A33,'Hisob (batafsil)'!$C$5:$C$271,"Perila")</f>
        <v>0</v>
      </c>
      <c r="K33" s="8" t="n">
        <f aca="false">SUMIFS('Hisob (batafsil)'!$J$5:$J$271,'Hisob (batafsil)'!$B$5:$B$271,$A33,'Hisob (batafsil)'!$C$5:$C$271,"Perila")</f>
        <v>0</v>
      </c>
      <c r="L33" s="8" t="n">
        <f aca="false">SUMIFS('Hisob (batafsil)'!$J$5:$J$271,'Hisob (batafsil)'!$B$5:$B$271,$A33,'Hisob (batafsil)'!$C$5:$C$271,"Yoritish")</f>
        <v>0</v>
      </c>
      <c r="M33" s="8" t="n">
        <f aca="false">SUMIFS('Hisob (batafsil)'!$J$5:$J$271,'Hisob (batafsil)'!$B$5:$B$271,$A33,'Hisob (batafsil)'!$C$5:$C$271,"Kamera tizimi")</f>
        <v>0</v>
      </c>
      <c r="N33" s="8" t="n">
        <f aca="false">SUMIFS('Hisob (batafsil)'!$J$5:$J$271,'Hisob (batafsil)'!$B$5:$B$271,$A33,'Hisob (batafsil)'!$C$5:$C$271,"Logotip")</f>
        <v>0</v>
      </c>
      <c r="O33" s="8" t="n">
        <f aca="false">SUMIFS('Hisob (batafsil)'!$J$5:$J$271,'Hisob (batafsil)'!$B$5:$B$271,$A33,'Hisob (batafsil)'!$C$5:$C$271,"Matli plyonka")</f>
        <v>0</v>
      </c>
      <c r="P33" s="8" t="n">
        <f aca="false">SUMIFS('Hisob (batafsil)'!$J$5:$J$271,'Hisob (batafsil)'!$B$5:$B$271,$A33,'Hisob (batafsil)'!$C$5:$C$271,"Yong'in xavfsizligi")</f>
        <v>0</v>
      </c>
      <c r="Q33" s="8" t="n">
        <f aca="false">SUMIFS('Hisob (batafsil)'!$J$5:$J$271,'Hisob (batafsil)'!$B$5:$B$271,$A33,'Hisob (batafsil)'!$C$5:$C$271,"Buzish ishlari")</f>
        <v>0</v>
      </c>
      <c r="R33" s="8" t="n">
        <f aca="false">SUMIFS('Hisob (batafsil)'!$J$5:$J$271,'Hisob (batafsil)'!$B$5:$B$271,$A33,'Hisob (batafsil)'!$C$5:$C$271,"Santexnika")</f>
        <v>0</v>
      </c>
      <c r="S33" s="8" t="n">
        <f aca="false">SUMIFS('Hisob (batafsil)'!$J$5:$J$271,'Hisob (batafsil)'!$B$5:$B$271,$A33,'Hisob (batafsil)'!$C$5:$C$271,"Kafel")</f>
        <v>0</v>
      </c>
      <c r="T33" s="10" t="n">
        <f aca="false">C33+E33+G33+I33+K33+L33+M33+N33+O33+P33+Q33+R33+S33</f>
        <v>1758.33</v>
      </c>
    </row>
    <row r="34" customFormat="false" ht="15" hidden="false" customHeight="false" outlineLevel="0" collapsed="false">
      <c r="A34" s="6" t="s">
        <v>48</v>
      </c>
      <c r="B34" s="7" t="n">
        <f aca="false">SUMIFS('Hisob (batafsil)'!$G$5:$G$271,'Hisob (batafsil)'!$B$5:$B$271,$A34,'Hisob (batafsil)'!$C$5:$C$271,"Shisha devor")</f>
        <v>0</v>
      </c>
      <c r="C34" s="8" t="n">
        <f aca="false">SUMIFS('Hisob (batafsil)'!$J$5:$J$271,'Hisob (batafsil)'!$B$5:$B$271,$A34,'Hisob (batafsil)'!$C$5:$C$271,"Shisha devor")</f>
        <v>0</v>
      </c>
      <c r="D34" s="7" t="n">
        <f aca="false">SUMIFS('Hisob (batafsil)'!$G$5:$G$271,'Hisob (batafsil)'!$B$5:$B$271,$A34,'Hisob (batafsil)'!$C$5:$C$271,"Gips karton (GKL)")</f>
        <v>0</v>
      </c>
      <c r="E34" s="8" t="n">
        <f aca="false">SUMIFS('Hisob (batafsil)'!$J$5:$J$271,'Hisob (batafsil)'!$B$5:$B$271,$A34,'Hisob (batafsil)'!$C$5:$C$271,"Gips karton (GKL)")</f>
        <v>0</v>
      </c>
      <c r="F34" s="7" t="n">
        <f aca="false">SUMIFS('Hisob (batafsil)'!$G$5:$G$271,'Hisob (batafsil)'!$B$5:$B$271,$A34,'Hisob (batafsil)'!$C$5:$C$271,"Bambuk panel")</f>
        <v>0</v>
      </c>
      <c r="G34" s="8" t="n">
        <f aca="false">SUMIFS('Hisob (batafsil)'!$J$5:$J$271,'Hisob (batafsil)'!$B$5:$B$271,$A34,'Hisob (batafsil)'!$C$5:$C$271,"Bambuk panel")</f>
        <v>0</v>
      </c>
      <c r="H34" s="9" t="n">
        <f aca="false">SUMIFS('Hisob (batafsil)'!$G$5:$G$271,'Hisob (batafsil)'!$B$5:$B$271,$A34,'Hisob (batafsil)'!$C$5:$C$271,"Interaktiv doska")</f>
        <v>0</v>
      </c>
      <c r="I34" s="8" t="n">
        <f aca="false">SUMIFS('Hisob (batafsil)'!$J$5:$J$271,'Hisob (batafsil)'!$B$5:$B$271,$A34,'Hisob (batafsil)'!$C$5:$C$271,"Interaktiv doska")</f>
        <v>0</v>
      </c>
      <c r="J34" s="7" t="n">
        <f aca="false">SUMIFS('Hisob (batafsil)'!$G$5:$G$271,'Hisob (batafsil)'!$B$5:$B$271,$A34,'Hisob (batafsil)'!$C$5:$C$271,"Perila")</f>
        <v>0</v>
      </c>
      <c r="K34" s="8" t="n">
        <f aca="false">SUMIFS('Hisob (batafsil)'!$J$5:$J$271,'Hisob (batafsil)'!$B$5:$B$271,$A34,'Hisob (batafsil)'!$C$5:$C$271,"Perila")</f>
        <v>0</v>
      </c>
      <c r="L34" s="8" t="n">
        <f aca="false">SUMIFS('Hisob (batafsil)'!$J$5:$J$271,'Hisob (batafsil)'!$B$5:$B$271,$A34,'Hisob (batafsil)'!$C$5:$C$271,"Yoritish")</f>
        <v>0</v>
      </c>
      <c r="M34" s="8" t="n">
        <f aca="false">SUMIFS('Hisob (batafsil)'!$J$5:$J$271,'Hisob (batafsil)'!$B$5:$B$271,$A34,'Hisob (batafsil)'!$C$5:$C$271,"Kamera tizimi")</f>
        <v>0</v>
      </c>
      <c r="N34" s="8" t="n">
        <f aca="false">SUMIFS('Hisob (batafsil)'!$J$5:$J$271,'Hisob (batafsil)'!$B$5:$B$271,$A34,'Hisob (batafsil)'!$C$5:$C$271,"Logotip")</f>
        <v>0</v>
      </c>
      <c r="O34" s="8" t="n">
        <f aca="false">SUMIFS('Hisob (batafsil)'!$J$5:$J$271,'Hisob (batafsil)'!$B$5:$B$271,$A34,'Hisob (batafsil)'!$C$5:$C$271,"Matli plyonka")</f>
        <v>0</v>
      </c>
      <c r="P34" s="8" t="n">
        <f aca="false">SUMIFS('Hisob (batafsil)'!$J$5:$J$271,'Hisob (batafsil)'!$B$5:$B$271,$A34,'Hisob (batafsil)'!$C$5:$C$271,"Yong'in xavfsizligi")</f>
        <v>0</v>
      </c>
      <c r="Q34" s="8" t="n">
        <f aca="false">SUMIFS('Hisob (batafsil)'!$J$5:$J$271,'Hisob (batafsil)'!$B$5:$B$271,$A34,'Hisob (batafsil)'!$C$5:$C$271,"Buzish ishlari")</f>
        <v>0</v>
      </c>
      <c r="R34" s="8" t="n">
        <f aca="false">SUMIFS('Hisob (batafsil)'!$J$5:$J$271,'Hisob (batafsil)'!$B$5:$B$271,$A34,'Hisob (batafsil)'!$C$5:$C$271,"Santexnika")</f>
        <v>2487.39495798319</v>
      </c>
      <c r="S34" s="8" t="n">
        <f aca="false">SUMIFS('Hisob (batafsil)'!$J$5:$J$271,'Hisob (batafsil)'!$B$5:$B$271,$A34,'Hisob (batafsil)'!$C$5:$C$271,"Kafel")</f>
        <v>1243.6974789916</v>
      </c>
      <c r="T34" s="10" t="n">
        <f aca="false">C34+E34+G34+I34+K34+L34+M34+N34+O34+P34+Q34+R34+S34</f>
        <v>3731.09243697479</v>
      </c>
    </row>
    <row r="35" customFormat="false" ht="15" hidden="false" customHeight="false" outlineLevel="0" collapsed="false">
      <c r="A35" s="11" t="s">
        <v>49</v>
      </c>
      <c r="B35" s="12" t="n">
        <f aca="false">SUM(B33:B34)</f>
        <v>0</v>
      </c>
      <c r="C35" s="13" t="n">
        <f aca="false">SUM(C33:C34)</f>
        <v>0</v>
      </c>
      <c r="D35" s="12" t="n">
        <f aca="false">SUM(D33:D34)</f>
        <v>0</v>
      </c>
      <c r="E35" s="13" t="n">
        <f aca="false">SUM(E33:E34)</f>
        <v>0</v>
      </c>
      <c r="F35" s="12" t="n">
        <f aca="false">SUM(F33:F34)</f>
        <v>46.86</v>
      </c>
      <c r="G35" s="13" t="n">
        <f aca="false">SUM(G33:G34)</f>
        <v>726.33</v>
      </c>
      <c r="H35" s="14" t="n">
        <f aca="false">SUM(H33:H34)</f>
        <v>1</v>
      </c>
      <c r="I35" s="13" t="n">
        <f aca="false">SUM(I33:I34)</f>
        <v>1032</v>
      </c>
      <c r="J35" s="12" t="n">
        <f aca="false">SUM(J33:J34)</f>
        <v>0</v>
      </c>
      <c r="K35" s="13" t="n">
        <f aca="false">SUM(K33:K34)</f>
        <v>0</v>
      </c>
      <c r="L35" s="13" t="n">
        <f aca="false">SUM(L33:L34)</f>
        <v>0</v>
      </c>
      <c r="M35" s="13" t="n">
        <f aca="false">SUM(M33:M34)</f>
        <v>0</v>
      </c>
      <c r="N35" s="13" t="n">
        <f aca="false">SUM(N33:N34)</f>
        <v>0</v>
      </c>
      <c r="O35" s="13" t="n">
        <f aca="false">SUM(O33:O34)</f>
        <v>0</v>
      </c>
      <c r="P35" s="13" t="n">
        <f aca="false">SUM(P33:P34)</f>
        <v>0</v>
      </c>
      <c r="Q35" s="13" t="n">
        <f aca="false">SUM(Q33:Q34)</f>
        <v>0</v>
      </c>
      <c r="R35" s="13" t="n">
        <f aca="false">SUM(R33:R34)</f>
        <v>2487.39495798319</v>
      </c>
      <c r="S35" s="13" t="n">
        <f aca="false">SUM(S33:S34)</f>
        <v>1243.6974789916</v>
      </c>
      <c r="T35" s="13" t="n">
        <f aca="false">SUM(T33:T34)</f>
        <v>5489.42243697479</v>
      </c>
    </row>
    <row r="37" customFormat="false" ht="15" hidden="false" customHeight="false" outlineLevel="0" collapsed="false">
      <c r="A37" s="15" t="s">
        <v>50</v>
      </c>
      <c r="B37" s="16" t="n">
        <f aca="false">B13+B21+B30+B35</f>
        <v>101.125</v>
      </c>
      <c r="C37" s="17" t="n">
        <f aca="false">C13+C21+C30+C35</f>
        <v>5561.875</v>
      </c>
      <c r="D37" s="16" t="n">
        <f aca="false">D13+D21+D30+D35</f>
        <v>408.15</v>
      </c>
      <c r="E37" s="17" t="n">
        <f aca="false">E13+E21+E30+E35</f>
        <v>4897.8</v>
      </c>
      <c r="F37" s="16" t="n">
        <f aca="false">F13+F21+F30+F35</f>
        <v>606.72</v>
      </c>
      <c r="G37" s="17" t="n">
        <f aca="false">G13+G21+G30+G35</f>
        <v>9404.16</v>
      </c>
      <c r="H37" s="18" t="n">
        <f aca="false">H13+H21+H30+H35</f>
        <v>8</v>
      </c>
      <c r="I37" s="17" t="n">
        <f aca="false">I13+I21+I30+I35</f>
        <v>8256</v>
      </c>
      <c r="J37" s="16" t="n">
        <f aca="false">J13+J21+J30+J35</f>
        <v>24</v>
      </c>
      <c r="K37" s="17" t="n">
        <f aca="false">K13+K21+K30+K35</f>
        <v>2016</v>
      </c>
      <c r="L37" s="17" t="n">
        <f aca="false">L13+L21+L30+L35</f>
        <v>3024</v>
      </c>
      <c r="M37" s="17" t="n">
        <f aca="false">M13+M21+M30+M35</f>
        <v>2119</v>
      </c>
      <c r="N37" s="17" t="n">
        <f aca="false">N13+N21+N30+N35</f>
        <v>2500</v>
      </c>
      <c r="O37" s="17" t="n">
        <f aca="false">O13+O21+O30+O35</f>
        <v>537.81512605042</v>
      </c>
      <c r="P37" s="17" t="n">
        <f aca="false">P13+P21+P30+P35</f>
        <v>1512.60504201681</v>
      </c>
      <c r="Q37" s="17" t="n">
        <f aca="false">Q13+Q21+Q30+Q35</f>
        <v>451.575630252101</v>
      </c>
      <c r="R37" s="17" t="n">
        <f aca="false">R13+R21+R30+R35</f>
        <v>2487.39495798319</v>
      </c>
      <c r="S37" s="17" t="n">
        <f aca="false">S13+S21+S30+S35</f>
        <v>1243.6974789916</v>
      </c>
      <c r="T37" s="17" t="n">
        <f aca="false">T13+T21+T30+T35</f>
        <v>44011.9232352941</v>
      </c>
    </row>
    <row r="38" customFormat="false" ht="15" hidden="false" customHeight="false" outlineLevel="0" collapsed="false">
      <c r="A38" s="19" t="str">
        <f aca="false">"Kutilmagan xarajatlar ("&amp;TEXT(Narxlar!$C$43,"0%")&amp;" — «Narxlar» varag'idan)"</f>
        <v>Kutilmagan xarajatlar (10% — «Narxlar» varag'idan)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20" t="n">
        <f aca="false">T37*Narxlar!$C$43</f>
        <v>4401.19232352941</v>
      </c>
    </row>
    <row r="39" customFormat="false" ht="15" hidden="false" customHeight="false" outlineLevel="0" collapsed="false">
      <c r="A39" s="15" t="s">
        <v>51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7" t="n">
        <f aca="false">T37+T38</f>
        <v>48413.1155588235</v>
      </c>
    </row>
    <row r="40" customFormat="false" ht="15" hidden="false" customHeight="false" outlineLevel="0" collapsed="false">
      <c r="A40" s="15" t="s">
        <v>52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21" t="n">
        <f aca="false">T39*Narxlar!$C$19</f>
        <v>576116075.15</v>
      </c>
    </row>
    <row r="42" customFormat="false" ht="15" hidden="false" customHeight="false" outlineLevel="0" collapsed="false">
      <c r="A42" s="2" t="s">
        <v>53</v>
      </c>
      <c r="T42" s="22" t="n">
        <f aca="false">T37-'Hisob (batafsil)'!J272</f>
        <v>0</v>
      </c>
    </row>
  </sheetData>
  <mergeCells count="3">
    <mergeCell ref="A38:S38"/>
    <mergeCell ref="A39:S39"/>
    <mergeCell ref="A40:S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80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3" t="s">
        <v>56</v>
      </c>
      <c r="B4" s="3" t="s">
        <v>57</v>
      </c>
      <c r="C4" s="3" t="s">
        <v>58</v>
      </c>
      <c r="D4" s="3" t="s">
        <v>59</v>
      </c>
      <c r="E4" s="3" t="s">
        <v>60</v>
      </c>
    </row>
    <row r="5" customFormat="false" ht="15" hidden="false" customHeight="false" outlineLevel="0" collapsed="false">
      <c r="A5" s="23" t="n">
        <v>1</v>
      </c>
      <c r="B5" s="6" t="s">
        <v>61</v>
      </c>
      <c r="C5" s="24" t="n">
        <v>55</v>
      </c>
      <c r="D5" s="6" t="s">
        <v>62</v>
      </c>
      <c r="E5" s="6" t="s">
        <v>63</v>
      </c>
    </row>
    <row r="6" customFormat="false" ht="15" hidden="false" customHeight="false" outlineLevel="0" collapsed="false">
      <c r="A6" s="23" t="n">
        <v>2</v>
      </c>
      <c r="B6" s="6" t="s">
        <v>64</v>
      </c>
      <c r="C6" s="24" t="n">
        <v>12</v>
      </c>
      <c r="D6" s="6" t="s">
        <v>62</v>
      </c>
      <c r="E6" s="6" t="s">
        <v>65</v>
      </c>
    </row>
    <row r="7" customFormat="false" ht="15" hidden="false" customHeight="false" outlineLevel="0" collapsed="false">
      <c r="A7" s="23" t="n">
        <v>3</v>
      </c>
      <c r="B7" s="6" t="s">
        <v>66</v>
      </c>
      <c r="C7" s="24" t="n">
        <v>15.5</v>
      </c>
      <c r="D7" s="6" t="s">
        <v>62</v>
      </c>
      <c r="E7" s="6" t="s">
        <v>63</v>
      </c>
    </row>
    <row r="8" customFormat="false" ht="15" hidden="false" customHeight="false" outlineLevel="0" collapsed="false">
      <c r="A8" s="23" t="n">
        <v>4</v>
      </c>
      <c r="B8" s="6" t="s">
        <v>67</v>
      </c>
      <c r="C8" s="24" t="n">
        <v>1032</v>
      </c>
      <c r="D8" s="6" t="s">
        <v>68</v>
      </c>
      <c r="E8" s="6" t="s">
        <v>69</v>
      </c>
    </row>
    <row r="9" customFormat="false" ht="15" hidden="false" customHeight="false" outlineLevel="0" collapsed="false">
      <c r="A9" s="23" t="n">
        <v>5</v>
      </c>
      <c r="B9" s="6" t="s">
        <v>70</v>
      </c>
      <c r="C9" s="24" t="n">
        <v>84</v>
      </c>
      <c r="D9" s="6" t="s">
        <v>71</v>
      </c>
      <c r="E9" s="6" t="s">
        <v>63</v>
      </c>
    </row>
    <row r="10" customFormat="false" ht="15" hidden="false" customHeight="false" outlineLevel="0" collapsed="false">
      <c r="A10" s="23" t="n">
        <v>6</v>
      </c>
      <c r="B10" s="6" t="s">
        <v>72</v>
      </c>
      <c r="C10" s="25" t="n">
        <v>24</v>
      </c>
      <c r="D10" s="6" t="s">
        <v>73</v>
      </c>
      <c r="E10" s="6" t="s">
        <v>63</v>
      </c>
    </row>
    <row r="11" customFormat="false" ht="15" hidden="false" customHeight="false" outlineLevel="0" collapsed="false">
      <c r="A11" s="23" t="n">
        <v>7</v>
      </c>
      <c r="B11" s="6" t="s">
        <v>74</v>
      </c>
      <c r="C11" s="24" t="n">
        <v>336</v>
      </c>
      <c r="D11" s="6" t="s">
        <v>75</v>
      </c>
      <c r="E11" s="6" t="s">
        <v>76</v>
      </c>
    </row>
    <row r="12" customFormat="false" ht="15" hidden="false" customHeight="false" outlineLevel="0" collapsed="false">
      <c r="A12" s="23" t="n">
        <v>8</v>
      </c>
      <c r="B12" s="6" t="s">
        <v>77</v>
      </c>
      <c r="C12" s="24" t="n">
        <v>168</v>
      </c>
      <c r="D12" s="6" t="s">
        <v>78</v>
      </c>
      <c r="E12" s="6" t="s">
        <v>79</v>
      </c>
    </row>
    <row r="13" customFormat="false" ht="15" hidden="false" customHeight="false" outlineLevel="0" collapsed="false">
      <c r="A13" s="23" t="n">
        <v>9</v>
      </c>
      <c r="B13" s="6" t="s">
        <v>80</v>
      </c>
      <c r="C13" s="24" t="n">
        <v>40</v>
      </c>
      <c r="D13" s="6" t="s">
        <v>68</v>
      </c>
      <c r="E13" s="6" t="s">
        <v>63</v>
      </c>
    </row>
    <row r="14" customFormat="false" ht="15" hidden="false" customHeight="false" outlineLevel="0" collapsed="false">
      <c r="A14" s="23" t="n">
        <v>10</v>
      </c>
      <c r="B14" s="6" t="s">
        <v>81</v>
      </c>
      <c r="C14" s="26" t="n">
        <v>16</v>
      </c>
      <c r="D14" s="6" t="s">
        <v>82</v>
      </c>
      <c r="E14" s="6" t="s">
        <v>63</v>
      </c>
    </row>
    <row r="15" customFormat="false" ht="15" hidden="false" customHeight="false" outlineLevel="0" collapsed="false">
      <c r="A15" s="23" t="n">
        <v>11</v>
      </c>
      <c r="B15" s="6" t="s">
        <v>83</v>
      </c>
      <c r="C15" s="24" t="n">
        <v>21</v>
      </c>
      <c r="D15" s="6" t="s">
        <v>68</v>
      </c>
      <c r="E15" s="6" t="s">
        <v>63</v>
      </c>
    </row>
    <row r="16" customFormat="false" ht="15" hidden="false" customHeight="false" outlineLevel="0" collapsed="false">
      <c r="A16" s="23" t="n">
        <v>12</v>
      </c>
      <c r="B16" s="6" t="s">
        <v>84</v>
      </c>
      <c r="C16" s="24" t="n">
        <v>840</v>
      </c>
      <c r="D16" s="6" t="s">
        <v>68</v>
      </c>
      <c r="E16" s="6" t="s">
        <v>63</v>
      </c>
    </row>
    <row r="17" customFormat="false" ht="15" hidden="false" customHeight="false" outlineLevel="0" collapsed="false">
      <c r="A17" s="23" t="n">
        <v>13</v>
      </c>
      <c r="B17" s="6" t="s">
        <v>85</v>
      </c>
      <c r="C17" s="24" t="n">
        <v>303</v>
      </c>
      <c r="D17" s="6" t="s">
        <v>86</v>
      </c>
      <c r="E17" s="6" t="s">
        <v>87</v>
      </c>
    </row>
    <row r="18" customFormat="false" ht="15" hidden="false" customHeight="false" outlineLevel="0" collapsed="false">
      <c r="A18" s="23" t="n">
        <v>14</v>
      </c>
      <c r="B18" s="6" t="s">
        <v>88</v>
      </c>
      <c r="C18" s="24" t="n">
        <v>2500</v>
      </c>
      <c r="D18" s="6" t="s">
        <v>86</v>
      </c>
      <c r="E18" s="6" t="s">
        <v>87</v>
      </c>
    </row>
    <row r="19" customFormat="false" ht="15" hidden="false" customHeight="false" outlineLevel="0" collapsed="false">
      <c r="A19" s="23" t="n">
        <v>15</v>
      </c>
      <c r="B19" s="6" t="s">
        <v>89</v>
      </c>
      <c r="C19" s="27" t="n">
        <v>11900</v>
      </c>
      <c r="D19" s="6" t="s">
        <v>90</v>
      </c>
      <c r="E19" s="6" t="s">
        <v>91</v>
      </c>
    </row>
    <row r="20" customFormat="false" ht="15" hidden="false" customHeight="false" outlineLevel="0" collapsed="false">
      <c r="A20" s="23" t="n">
        <v>16</v>
      </c>
      <c r="B20" s="6" t="s">
        <v>92</v>
      </c>
      <c r="C20" s="27" t="n">
        <v>800000</v>
      </c>
      <c r="D20" s="6" t="s">
        <v>93</v>
      </c>
      <c r="E20" s="6" t="s">
        <v>63</v>
      </c>
    </row>
    <row r="21" customFormat="false" ht="15" hidden="false" customHeight="false" outlineLevel="0" collapsed="false">
      <c r="A21" s="23" t="n">
        <v>17</v>
      </c>
      <c r="B21" s="6" t="s">
        <v>94</v>
      </c>
      <c r="C21" s="26" t="n">
        <v>8</v>
      </c>
      <c r="D21" s="6" t="s">
        <v>82</v>
      </c>
      <c r="E21" s="6" t="s">
        <v>63</v>
      </c>
    </row>
    <row r="22" customFormat="false" ht="15" hidden="false" customHeight="false" outlineLevel="0" collapsed="false">
      <c r="A22" s="23" t="n">
        <v>18</v>
      </c>
      <c r="B22" s="6" t="s">
        <v>95</v>
      </c>
      <c r="C22" s="27" t="n">
        <v>18000000</v>
      </c>
      <c r="D22" s="6" t="s">
        <v>96</v>
      </c>
      <c r="E22" s="6" t="s">
        <v>87</v>
      </c>
    </row>
    <row r="23" customFormat="false" ht="15" hidden="false" customHeight="false" outlineLevel="0" collapsed="false">
      <c r="A23" s="23" t="n">
        <v>19</v>
      </c>
      <c r="B23" s="6" t="s">
        <v>97</v>
      </c>
      <c r="C23" s="27" t="n">
        <v>50000</v>
      </c>
      <c r="D23" s="6" t="s">
        <v>98</v>
      </c>
      <c r="E23" s="6" t="s">
        <v>63</v>
      </c>
    </row>
    <row r="24" customFormat="false" ht="15" hidden="false" customHeight="false" outlineLevel="0" collapsed="false">
      <c r="A24" s="23" t="n">
        <v>20</v>
      </c>
      <c r="B24" s="6" t="s">
        <v>99</v>
      </c>
      <c r="C24" s="27" t="n">
        <v>1200000</v>
      </c>
      <c r="D24" s="6" t="s">
        <v>96</v>
      </c>
      <c r="E24" s="6" t="s">
        <v>87</v>
      </c>
    </row>
    <row r="25" customFormat="false" ht="15" hidden="false" customHeight="false" outlineLevel="0" collapsed="false">
      <c r="A25" s="23" t="n">
        <v>21</v>
      </c>
      <c r="B25" s="6" t="s">
        <v>100</v>
      </c>
      <c r="C25" s="27" t="n">
        <v>700000</v>
      </c>
      <c r="D25" s="6" t="s">
        <v>93</v>
      </c>
      <c r="E25" s="6" t="s">
        <v>63</v>
      </c>
    </row>
    <row r="26" customFormat="false" ht="15" hidden="false" customHeight="false" outlineLevel="0" collapsed="false">
      <c r="A26" s="23" t="n">
        <v>22</v>
      </c>
      <c r="B26" s="6" t="s">
        <v>101</v>
      </c>
      <c r="C26" s="26" t="n">
        <v>4</v>
      </c>
      <c r="D26" s="6" t="s">
        <v>82</v>
      </c>
      <c r="E26" s="6" t="s">
        <v>102</v>
      </c>
    </row>
    <row r="27" customFormat="false" ht="15" hidden="false" customHeight="false" outlineLevel="0" collapsed="false">
      <c r="A27" s="23" t="n">
        <v>23</v>
      </c>
      <c r="B27" s="6" t="s">
        <v>103</v>
      </c>
      <c r="C27" s="27" t="n">
        <v>1200000</v>
      </c>
      <c r="D27" s="6" t="s">
        <v>93</v>
      </c>
      <c r="E27" s="6" t="s">
        <v>63</v>
      </c>
    </row>
    <row r="28" customFormat="false" ht="15" hidden="false" customHeight="false" outlineLevel="0" collapsed="false">
      <c r="A28" s="23" t="n">
        <v>24</v>
      </c>
      <c r="B28" s="6" t="s">
        <v>104</v>
      </c>
      <c r="C28" s="26" t="n">
        <v>3</v>
      </c>
      <c r="D28" s="6" t="s">
        <v>82</v>
      </c>
      <c r="E28" s="6" t="s">
        <v>105</v>
      </c>
    </row>
    <row r="29" customFormat="false" ht="15" hidden="false" customHeight="false" outlineLevel="0" collapsed="false">
      <c r="A29" s="23" t="n">
        <v>25</v>
      </c>
      <c r="B29" s="6" t="s">
        <v>106</v>
      </c>
      <c r="C29" s="27" t="n">
        <v>650000</v>
      </c>
      <c r="D29" s="6" t="s">
        <v>93</v>
      </c>
      <c r="E29" s="6" t="s">
        <v>63</v>
      </c>
    </row>
    <row r="30" customFormat="false" ht="15" hidden="false" customHeight="false" outlineLevel="0" collapsed="false">
      <c r="A30" s="23" t="n">
        <v>26</v>
      </c>
      <c r="B30" s="6" t="s">
        <v>107</v>
      </c>
      <c r="C30" s="26" t="n">
        <v>4</v>
      </c>
      <c r="D30" s="6" t="s">
        <v>82</v>
      </c>
      <c r="E30" s="6" t="s">
        <v>108</v>
      </c>
    </row>
    <row r="31" customFormat="false" ht="15" hidden="false" customHeight="false" outlineLevel="0" collapsed="false">
      <c r="A31" s="23" t="n">
        <v>27</v>
      </c>
      <c r="B31" s="6" t="s">
        <v>109</v>
      </c>
      <c r="C31" s="27" t="n">
        <v>200000</v>
      </c>
      <c r="D31" s="6" t="s">
        <v>93</v>
      </c>
      <c r="E31" s="6" t="s">
        <v>63</v>
      </c>
    </row>
    <row r="32" customFormat="false" ht="15" hidden="false" customHeight="false" outlineLevel="0" collapsed="false">
      <c r="A32" s="23" t="n">
        <v>28</v>
      </c>
      <c r="B32" s="6" t="s">
        <v>110</v>
      </c>
      <c r="C32" s="26" t="n">
        <v>7</v>
      </c>
      <c r="D32" s="6" t="s">
        <v>82</v>
      </c>
      <c r="E32" s="6" t="s">
        <v>111</v>
      </c>
    </row>
    <row r="33" customFormat="false" ht="15" hidden="false" customHeight="false" outlineLevel="0" collapsed="false">
      <c r="A33" s="23" t="n">
        <v>29</v>
      </c>
      <c r="B33" s="6" t="s">
        <v>112</v>
      </c>
      <c r="C33" s="27" t="n">
        <v>400000</v>
      </c>
      <c r="D33" s="6" t="s">
        <v>93</v>
      </c>
      <c r="E33" s="6" t="s">
        <v>63</v>
      </c>
    </row>
    <row r="34" customFormat="false" ht="15" hidden="false" customHeight="false" outlineLevel="0" collapsed="false">
      <c r="A34" s="23" t="n">
        <v>30</v>
      </c>
      <c r="B34" s="6" t="s">
        <v>113</v>
      </c>
      <c r="C34" s="26" t="n">
        <v>4</v>
      </c>
      <c r="D34" s="6" t="s">
        <v>82</v>
      </c>
      <c r="E34" s="6" t="s">
        <v>114</v>
      </c>
    </row>
    <row r="35" customFormat="false" ht="15" hidden="false" customHeight="false" outlineLevel="0" collapsed="false">
      <c r="A35" s="23" t="n">
        <v>31</v>
      </c>
      <c r="B35" s="6" t="s">
        <v>115</v>
      </c>
      <c r="C35" s="27" t="n">
        <v>400000</v>
      </c>
      <c r="D35" s="6" t="s">
        <v>93</v>
      </c>
      <c r="E35" s="6" t="s">
        <v>63</v>
      </c>
    </row>
    <row r="36" customFormat="false" ht="15" hidden="false" customHeight="false" outlineLevel="0" collapsed="false">
      <c r="A36" s="23" t="n">
        <v>32</v>
      </c>
      <c r="B36" s="6" t="s">
        <v>116</v>
      </c>
      <c r="C36" s="26" t="n">
        <v>4</v>
      </c>
      <c r="D36" s="6" t="s">
        <v>82</v>
      </c>
      <c r="E36" s="6" t="s">
        <v>117</v>
      </c>
    </row>
    <row r="37" customFormat="false" ht="15" hidden="false" customHeight="false" outlineLevel="0" collapsed="false">
      <c r="A37" s="23" t="n">
        <v>33</v>
      </c>
      <c r="B37" s="6" t="s">
        <v>118</v>
      </c>
      <c r="C37" s="27" t="n">
        <v>1000000</v>
      </c>
      <c r="D37" s="6" t="s">
        <v>119</v>
      </c>
      <c r="E37" s="6" t="s">
        <v>63</v>
      </c>
    </row>
    <row r="38" customFormat="false" ht="15" hidden="false" customHeight="false" outlineLevel="0" collapsed="false">
      <c r="A38" s="23" t="n">
        <v>34</v>
      </c>
      <c r="B38" s="6" t="s">
        <v>120</v>
      </c>
      <c r="C38" s="26" t="n">
        <v>16</v>
      </c>
      <c r="D38" s="6" t="s">
        <v>121</v>
      </c>
      <c r="E38" s="6" t="s">
        <v>63</v>
      </c>
    </row>
    <row r="39" customFormat="false" ht="15" hidden="false" customHeight="false" outlineLevel="0" collapsed="false">
      <c r="A39" s="23" t="n">
        <v>35</v>
      </c>
      <c r="B39" s="6" t="s">
        <v>122</v>
      </c>
      <c r="C39" s="27" t="n">
        <v>100000</v>
      </c>
      <c r="D39" s="6" t="s">
        <v>98</v>
      </c>
      <c r="E39" s="6" t="s">
        <v>63</v>
      </c>
    </row>
    <row r="40" customFormat="false" ht="15" hidden="false" customHeight="false" outlineLevel="0" collapsed="false">
      <c r="A40" s="23" t="n">
        <v>36</v>
      </c>
      <c r="B40" s="6" t="s">
        <v>123</v>
      </c>
      <c r="C40" s="27" t="n">
        <v>100000</v>
      </c>
      <c r="D40" s="6" t="s">
        <v>98</v>
      </c>
      <c r="E40" s="6" t="s">
        <v>63</v>
      </c>
    </row>
    <row r="41" customFormat="false" ht="15" hidden="false" customHeight="false" outlineLevel="0" collapsed="false">
      <c r="A41" s="23" t="n">
        <v>37</v>
      </c>
      <c r="B41" s="6" t="s">
        <v>124</v>
      </c>
      <c r="C41" s="25" t="n">
        <v>58</v>
      </c>
      <c r="D41" s="6" t="s">
        <v>125</v>
      </c>
      <c r="E41" s="6" t="s">
        <v>63</v>
      </c>
    </row>
    <row r="42" customFormat="false" ht="15" hidden="false" customHeight="false" outlineLevel="0" collapsed="false">
      <c r="A42" s="23" t="n">
        <v>38</v>
      </c>
      <c r="B42" s="6" t="s">
        <v>126</v>
      </c>
      <c r="C42" s="25" t="n">
        <v>16</v>
      </c>
      <c r="D42" s="6" t="s">
        <v>125</v>
      </c>
      <c r="E42" s="6" t="s">
        <v>63</v>
      </c>
    </row>
    <row r="43" customFormat="false" ht="15" hidden="false" customHeight="false" outlineLevel="0" collapsed="false">
      <c r="A43" s="23" t="n">
        <v>39</v>
      </c>
      <c r="B43" s="6" t="s">
        <v>127</v>
      </c>
      <c r="C43" s="28" t="n">
        <v>0.1</v>
      </c>
      <c r="D43" s="6" t="s">
        <v>128</v>
      </c>
      <c r="E43" s="6" t="s">
        <v>129</v>
      </c>
    </row>
    <row r="44" customFormat="false" ht="15" hidden="false" customHeight="false" outlineLevel="0" collapsed="false">
      <c r="A44" s="23" t="n">
        <v>40</v>
      </c>
      <c r="B44" s="6" t="s">
        <v>130</v>
      </c>
      <c r="C44" s="25" t="n">
        <v>3.5</v>
      </c>
      <c r="D44" s="6" t="s">
        <v>73</v>
      </c>
      <c r="E44" s="6" t="s">
        <v>131</v>
      </c>
    </row>
    <row r="45" customFormat="false" ht="15" hidden="false" customHeight="false" outlineLevel="0" collapsed="false">
      <c r="A45" s="23" t="n">
        <v>41</v>
      </c>
      <c r="B45" s="6" t="s">
        <v>132</v>
      </c>
      <c r="C45" s="25" t="n">
        <v>2.5</v>
      </c>
      <c r="D45" s="6" t="s">
        <v>73</v>
      </c>
      <c r="E45" s="6" t="s">
        <v>63</v>
      </c>
    </row>
    <row r="46" customFormat="false" ht="15" hidden="false" customHeight="false" outlineLevel="0" collapsed="false">
      <c r="A46" s="23" t="n">
        <v>42</v>
      </c>
      <c r="B46" s="6" t="s">
        <v>133</v>
      </c>
      <c r="C46" s="29" t="n">
        <f aca="false">C44-C45</f>
        <v>1</v>
      </c>
      <c r="D46" s="6" t="s">
        <v>73</v>
      </c>
      <c r="E46" s="6" t="s">
        <v>134</v>
      </c>
    </row>
    <row r="47" customFormat="false" ht="15" hidden="false" customHeight="false" outlineLevel="0" collapsed="false">
      <c r="A47" s="23" t="n">
        <v>43</v>
      </c>
      <c r="B47" s="6" t="s">
        <v>135</v>
      </c>
      <c r="C47" s="25" t="n">
        <v>2.1</v>
      </c>
      <c r="D47" s="6" t="s">
        <v>73</v>
      </c>
      <c r="E47" s="6" t="s">
        <v>136</v>
      </c>
    </row>
    <row r="48" customFormat="false" ht="15" hidden="false" customHeight="false" outlineLevel="0" collapsed="false">
      <c r="A48" s="23" t="n">
        <v>44</v>
      </c>
      <c r="B48" s="6" t="s">
        <v>137</v>
      </c>
      <c r="C48" s="29" t="n">
        <f aca="false">C44-C47</f>
        <v>1.4</v>
      </c>
      <c r="D48" s="6" t="s">
        <v>73</v>
      </c>
      <c r="E48" s="6" t="s">
        <v>138</v>
      </c>
    </row>
    <row r="49" customFormat="false" ht="15" hidden="false" customHeight="false" outlineLevel="0" collapsed="false">
      <c r="A49" s="23" t="n">
        <v>45</v>
      </c>
      <c r="B49" s="6" t="s">
        <v>139</v>
      </c>
      <c r="C49" s="25" t="n">
        <v>0.9</v>
      </c>
      <c r="D49" s="6" t="s">
        <v>73</v>
      </c>
      <c r="E49" s="6" t="s">
        <v>140</v>
      </c>
    </row>
    <row r="50" customFormat="false" ht="15" hidden="false" customHeight="false" outlineLevel="0" collapsed="false">
      <c r="A50" s="23" t="n">
        <v>46</v>
      </c>
      <c r="B50" s="6" t="s">
        <v>141</v>
      </c>
      <c r="C50" s="30" t="n">
        <f aca="false">C44</f>
        <v>3.5</v>
      </c>
      <c r="D50" s="6" t="s">
        <v>73</v>
      </c>
      <c r="E50" s="6" t="s">
        <v>142</v>
      </c>
    </row>
    <row r="51" customFormat="false" ht="15" hidden="false" customHeight="false" outlineLevel="0" collapsed="false">
      <c r="A51" s="23" t="n">
        <v>47</v>
      </c>
      <c r="B51" s="6" t="s">
        <v>143</v>
      </c>
      <c r="C51" s="25" t="n">
        <v>2.5</v>
      </c>
      <c r="D51" s="6" t="s">
        <v>73</v>
      </c>
      <c r="E51" s="6" t="s">
        <v>63</v>
      </c>
    </row>
    <row r="53" customFormat="false" ht="15" hidden="false" customHeight="false" outlineLevel="0" collapsed="false">
      <c r="B53" s="31" t="s">
        <v>144</v>
      </c>
    </row>
    <row r="54" customFormat="false" ht="15" hidden="false" customHeight="false" outlineLevel="0" collapsed="false">
      <c r="B54" s="2" t="s">
        <v>145</v>
      </c>
    </row>
    <row r="55" customFormat="false" ht="15" hidden="false" customHeight="false" outlineLevel="0" collapsed="false">
      <c r="B55" s="2" t="s">
        <v>146</v>
      </c>
    </row>
    <row r="56" customFormat="false" ht="15" hidden="false" customHeight="false" outlineLevel="0" collapsed="false">
      <c r="B56" s="2" t="s">
        <v>147</v>
      </c>
    </row>
    <row r="57" customFormat="false" ht="15" hidden="false" customHeight="false" outlineLevel="0" collapsed="false">
      <c r="B57" s="2" t="s">
        <v>148</v>
      </c>
    </row>
    <row r="58" customFormat="false" ht="15" hidden="false" customHeight="false" outlineLevel="0" collapsed="false">
      <c r="B58" s="2" t="s">
        <v>149</v>
      </c>
    </row>
    <row r="59" customFormat="false" ht="15" hidden="false" customHeight="false" outlineLevel="0" collapsed="false">
      <c r="B59" s="2" t="s">
        <v>150</v>
      </c>
    </row>
    <row r="60" customFormat="false" ht="15" hidden="false" customHeight="false" outlineLevel="0" collapsed="false">
      <c r="B60" s="2" t="s">
        <v>151</v>
      </c>
    </row>
    <row r="61" customFormat="false" ht="15" hidden="false" customHeight="false" outlineLevel="0" collapsed="false">
      <c r="B61" s="2" t="s">
        <v>152</v>
      </c>
    </row>
    <row r="62" customFormat="false" ht="15" hidden="false" customHeight="false" outlineLevel="0" collapsed="false">
      <c r="B62" s="2" t="s">
        <v>153</v>
      </c>
    </row>
    <row r="63" customFormat="false" ht="15" hidden="false" customHeight="false" outlineLevel="0" collapsed="false">
      <c r="B63" s="2" t="s">
        <v>154</v>
      </c>
    </row>
    <row r="64" customFormat="false" ht="15" hidden="false" customHeight="false" outlineLevel="0" collapsed="false">
      <c r="B64" s="2" t="s">
        <v>155</v>
      </c>
    </row>
    <row r="65" customFormat="false" ht="15" hidden="false" customHeight="false" outlineLevel="0" collapsed="false">
      <c r="B65" s="2" t="s">
        <v>156</v>
      </c>
    </row>
    <row r="66" customFormat="false" ht="15" hidden="false" customHeight="false" outlineLevel="0" collapsed="false">
      <c r="B66" s="2" t="s">
        <v>157</v>
      </c>
    </row>
    <row r="67" customFormat="false" ht="15" hidden="false" customHeight="false" outlineLevel="0" collapsed="false">
      <c r="B67" s="2" t="s">
        <v>158</v>
      </c>
    </row>
    <row r="68" customFormat="false" ht="15" hidden="false" customHeight="false" outlineLevel="0" collapsed="false">
      <c r="B68" s="2" t="s">
        <v>159</v>
      </c>
    </row>
    <row r="69" customFormat="false" ht="15" hidden="false" customHeight="false" outlineLevel="0" collapsed="false">
      <c r="B69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6" min="5" style="0" width="11"/>
    <col collapsed="false" customWidth="true" hidden="false" outlineLevel="0" max="7" min="7" style="0" width="10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3" t="s">
        <v>56</v>
      </c>
      <c r="B4" s="3" t="s">
        <v>2</v>
      </c>
      <c r="C4" s="3" t="s">
        <v>163</v>
      </c>
      <c r="D4" s="3" t="s">
        <v>164</v>
      </c>
      <c r="E4" s="3" t="s">
        <v>165</v>
      </c>
      <c r="F4" s="3" t="s">
        <v>166</v>
      </c>
      <c r="G4" s="3" t="s">
        <v>167</v>
      </c>
      <c r="H4" s="3" t="s">
        <v>59</v>
      </c>
      <c r="I4" s="3" t="s">
        <v>168</v>
      </c>
      <c r="J4" s="3" t="s">
        <v>169</v>
      </c>
    </row>
    <row r="5" customFormat="false" ht="15" hidden="false" customHeight="false" outlineLevel="0" collapsed="false">
      <c r="A5" s="4" t="s">
        <v>23</v>
      </c>
      <c r="B5" s="5"/>
      <c r="C5" s="5"/>
      <c r="D5" s="5"/>
      <c r="E5" s="5"/>
      <c r="F5" s="5"/>
      <c r="G5" s="5"/>
      <c r="H5" s="5"/>
      <c r="I5" s="5"/>
      <c r="J5" s="5"/>
    </row>
    <row r="6" customFormat="false" ht="15" hidden="false" customHeight="false" outlineLevel="0" collapsed="false">
      <c r="A6" s="23" t="n">
        <v>1</v>
      </c>
      <c r="B6" s="6" t="s">
        <v>23</v>
      </c>
      <c r="C6" s="6" t="s">
        <v>61</v>
      </c>
      <c r="D6" s="6" t="s">
        <v>170</v>
      </c>
      <c r="E6" s="32" t="n">
        <v>4.6</v>
      </c>
      <c r="F6" s="7" t="n">
        <f aca="false">Narxlar!$C$45</f>
        <v>2.5</v>
      </c>
      <c r="G6" s="33" t="n">
        <f aca="false">E6*F6</f>
        <v>11.5</v>
      </c>
      <c r="H6" s="23" t="s">
        <v>125</v>
      </c>
      <c r="I6" s="34" t="n">
        <f aca="false">Narxlar!$C$5</f>
        <v>55</v>
      </c>
      <c r="J6" s="35" t="n">
        <f aca="false">G6*I6</f>
        <v>632.5</v>
      </c>
    </row>
    <row r="7" customFormat="false" ht="15" hidden="false" customHeight="false" outlineLevel="0" collapsed="false">
      <c r="A7" s="23" t="n">
        <v>2</v>
      </c>
      <c r="B7" s="6" t="s">
        <v>23</v>
      </c>
      <c r="C7" s="6" t="s">
        <v>61</v>
      </c>
      <c r="D7" s="6" t="s">
        <v>171</v>
      </c>
      <c r="E7" s="7" t="n">
        <f aca="false">Narxlar!$C$49</f>
        <v>0.9</v>
      </c>
      <c r="F7" s="7" t="n">
        <f aca="false">Narxlar!$C$45</f>
        <v>2.5</v>
      </c>
      <c r="G7" s="33" t="n">
        <f aca="false">E7*F7</f>
        <v>2.25</v>
      </c>
      <c r="H7" s="23" t="s">
        <v>125</v>
      </c>
      <c r="I7" s="34" t="n">
        <f aca="false">Narxlar!$C$5</f>
        <v>55</v>
      </c>
      <c r="J7" s="35" t="n">
        <f aca="false">G7*I7</f>
        <v>123.75</v>
      </c>
    </row>
    <row r="8" customFormat="false" ht="15" hidden="false" customHeight="false" outlineLevel="0" collapsed="false">
      <c r="A8" s="23" t="n">
        <v>3</v>
      </c>
      <c r="B8" s="6" t="s">
        <v>23</v>
      </c>
      <c r="C8" s="6" t="s">
        <v>172</v>
      </c>
      <c r="D8" s="6" t="s">
        <v>173</v>
      </c>
      <c r="E8" s="32" t="n">
        <v>0.3</v>
      </c>
      <c r="F8" s="7" t="n">
        <f aca="false">Narxlar!$C$44</f>
        <v>3.5</v>
      </c>
      <c r="G8" s="33" t="n">
        <f aca="false">E8*F8</f>
        <v>1.05</v>
      </c>
      <c r="H8" s="23" t="s">
        <v>125</v>
      </c>
      <c r="I8" s="34" t="n">
        <f aca="false">Narxlar!$C$6</f>
        <v>12</v>
      </c>
      <c r="J8" s="35" t="n">
        <f aca="false">G8*I8</f>
        <v>12.6</v>
      </c>
    </row>
    <row r="9" customFormat="false" ht="15" hidden="false" customHeight="false" outlineLevel="0" collapsed="false">
      <c r="A9" s="23" t="n">
        <v>4</v>
      </c>
      <c r="B9" s="6" t="s">
        <v>23</v>
      </c>
      <c r="C9" s="6" t="s">
        <v>172</v>
      </c>
      <c r="D9" s="6" t="s">
        <v>174</v>
      </c>
      <c r="E9" s="32" t="n">
        <v>4.6</v>
      </c>
      <c r="F9" s="7" t="n">
        <f aca="false">Narxlar!$C$46</f>
        <v>1</v>
      </c>
      <c r="G9" s="33" t="n">
        <f aca="false">E9*F9</f>
        <v>4.6</v>
      </c>
      <c r="H9" s="23" t="s">
        <v>125</v>
      </c>
      <c r="I9" s="34" t="n">
        <f aca="false">Narxlar!$C$6</f>
        <v>12</v>
      </c>
      <c r="J9" s="35" t="n">
        <f aca="false">G9*I9</f>
        <v>55.2</v>
      </c>
    </row>
    <row r="10" customFormat="false" ht="15" hidden="false" customHeight="false" outlineLevel="0" collapsed="false">
      <c r="A10" s="23" t="n">
        <v>5</v>
      </c>
      <c r="B10" s="6" t="s">
        <v>23</v>
      </c>
      <c r="C10" s="6" t="s">
        <v>172</v>
      </c>
      <c r="D10" s="6" t="s">
        <v>175</v>
      </c>
      <c r="E10" s="32" t="n">
        <v>0.2</v>
      </c>
      <c r="F10" s="7" t="n">
        <f aca="false">Narxlar!$C$44</f>
        <v>3.5</v>
      </c>
      <c r="G10" s="33" t="n">
        <f aca="false">E10*F10</f>
        <v>0.7</v>
      </c>
      <c r="H10" s="23" t="s">
        <v>125</v>
      </c>
      <c r="I10" s="34" t="n">
        <f aca="false">Narxlar!$C$6</f>
        <v>12</v>
      </c>
      <c r="J10" s="35" t="n">
        <f aca="false">G10*I10</f>
        <v>8.4</v>
      </c>
    </row>
    <row r="11" customFormat="false" ht="15" hidden="false" customHeight="false" outlineLevel="0" collapsed="false">
      <c r="A11" s="23" t="n">
        <v>6</v>
      </c>
      <c r="B11" s="6" t="s">
        <v>23</v>
      </c>
      <c r="C11" s="6" t="s">
        <v>172</v>
      </c>
      <c r="D11" s="6" t="s">
        <v>176</v>
      </c>
      <c r="E11" s="7" t="n">
        <f aca="false">Narxlar!$C$49</f>
        <v>0.9</v>
      </c>
      <c r="F11" s="7" t="n">
        <f aca="false">Narxlar!$C$46</f>
        <v>1</v>
      </c>
      <c r="G11" s="33" t="n">
        <f aca="false">E11*F11</f>
        <v>0.9</v>
      </c>
      <c r="H11" s="23" t="s">
        <v>125</v>
      </c>
      <c r="I11" s="34" t="n">
        <f aca="false">Narxlar!$C$6</f>
        <v>12</v>
      </c>
      <c r="J11" s="35" t="n">
        <f aca="false">G11*I11</f>
        <v>10.8</v>
      </c>
    </row>
    <row r="12" customFormat="false" ht="15" hidden="false" customHeight="false" outlineLevel="0" collapsed="false">
      <c r="A12" s="23" t="n">
        <v>7</v>
      </c>
      <c r="B12" s="6" t="s">
        <v>23</v>
      </c>
      <c r="C12" s="6" t="s">
        <v>66</v>
      </c>
      <c r="D12" s="6" t="s">
        <v>177</v>
      </c>
      <c r="E12" s="32" t="n">
        <v>7.7</v>
      </c>
      <c r="F12" s="7" t="n">
        <f aca="false">Narxlar!$C$50</f>
        <v>3.5</v>
      </c>
      <c r="G12" s="33" t="n">
        <f aca="false">E12*F12</f>
        <v>26.95</v>
      </c>
      <c r="H12" s="23" t="s">
        <v>125</v>
      </c>
      <c r="I12" s="34" t="n">
        <f aca="false">Narxlar!$C$7</f>
        <v>15.5</v>
      </c>
      <c r="J12" s="35" t="n">
        <f aca="false">G12*I12</f>
        <v>417.725</v>
      </c>
    </row>
    <row r="13" customFormat="false" ht="15" hidden="false" customHeight="false" outlineLevel="0" collapsed="false">
      <c r="A13" s="23" t="n">
        <v>8</v>
      </c>
      <c r="B13" s="6" t="s">
        <v>23</v>
      </c>
      <c r="C13" s="6" t="s">
        <v>66</v>
      </c>
      <c r="D13" s="6" t="s">
        <v>178</v>
      </c>
      <c r="E13" s="32" t="n">
        <v>7.7</v>
      </c>
      <c r="F13" s="7" t="n">
        <f aca="false">Narxlar!$C$50</f>
        <v>3.5</v>
      </c>
      <c r="G13" s="33" t="n">
        <f aca="false">E13*F13</f>
        <v>26.95</v>
      </c>
      <c r="H13" s="23" t="s">
        <v>125</v>
      </c>
      <c r="I13" s="34" t="n">
        <f aca="false">Narxlar!$C$7</f>
        <v>15.5</v>
      </c>
      <c r="J13" s="35" t="n">
        <f aca="false">G13*I13</f>
        <v>417.725</v>
      </c>
    </row>
    <row r="14" customFormat="false" ht="15" hidden="false" customHeight="false" outlineLevel="0" collapsed="false">
      <c r="A14" s="23" t="n">
        <v>9</v>
      </c>
      <c r="B14" s="6" t="s">
        <v>23</v>
      </c>
      <c r="C14" s="6" t="s">
        <v>67</v>
      </c>
      <c r="D14" s="6" t="s">
        <v>179</v>
      </c>
      <c r="E14" s="32"/>
      <c r="F14" s="33"/>
      <c r="G14" s="36" t="n">
        <v>1</v>
      </c>
      <c r="H14" s="23" t="s">
        <v>82</v>
      </c>
      <c r="I14" s="34" t="n">
        <f aca="false">Narxlar!$C$8</f>
        <v>1032</v>
      </c>
      <c r="J14" s="35" t="n">
        <f aca="false">G14*I14</f>
        <v>1032</v>
      </c>
    </row>
    <row r="15" customFormat="false" ht="15" hidden="false" customHeight="false" outlineLevel="0" collapsed="false">
      <c r="A15" s="23" t="n">
        <v>10</v>
      </c>
      <c r="B15" s="6" t="s">
        <v>23</v>
      </c>
      <c r="C15" s="6" t="s">
        <v>180</v>
      </c>
      <c r="D15" s="6" t="s">
        <v>181</v>
      </c>
      <c r="E15" s="32"/>
      <c r="F15" s="33"/>
      <c r="G15" s="36" t="n">
        <v>1</v>
      </c>
      <c r="H15" s="23" t="s">
        <v>182</v>
      </c>
      <c r="I15" s="34" t="n">
        <f aca="false">Narxlar!$C$12</f>
        <v>168</v>
      </c>
      <c r="J15" s="35" t="n">
        <f aca="false">G15*I15</f>
        <v>168</v>
      </c>
    </row>
    <row r="16" customFormat="false" ht="15" hidden="false" customHeight="false" outlineLevel="0" collapsed="false">
      <c r="A16" s="37"/>
      <c r="B16" s="37"/>
      <c r="C16" s="37"/>
      <c r="D16" s="11" t="s">
        <v>183</v>
      </c>
      <c r="E16" s="37"/>
      <c r="F16" s="37"/>
      <c r="G16" s="37"/>
      <c r="H16" s="37"/>
      <c r="I16" s="37"/>
      <c r="J16" s="38" t="n">
        <f aca="false">SUM(J6:J15)</f>
        <v>2878.7</v>
      </c>
    </row>
    <row r="18" customFormat="false" ht="15" hidden="false" customHeight="false" outlineLevel="0" collapsed="false">
      <c r="A18" s="4" t="s">
        <v>24</v>
      </c>
      <c r="B18" s="5"/>
      <c r="C18" s="5"/>
      <c r="D18" s="5"/>
      <c r="E18" s="5"/>
      <c r="F18" s="5"/>
      <c r="G18" s="5"/>
      <c r="H18" s="5"/>
      <c r="I18" s="5"/>
      <c r="J18" s="5"/>
    </row>
    <row r="19" customFormat="false" ht="15" hidden="false" customHeight="false" outlineLevel="0" collapsed="false">
      <c r="A19" s="23" t="n">
        <v>11</v>
      </c>
      <c r="B19" s="6" t="s">
        <v>24</v>
      </c>
      <c r="C19" s="6" t="s">
        <v>61</v>
      </c>
      <c r="D19" s="6" t="s">
        <v>170</v>
      </c>
      <c r="E19" s="32" t="n">
        <v>4.7</v>
      </c>
      <c r="F19" s="7" t="n">
        <f aca="false">Narxlar!$C$45</f>
        <v>2.5</v>
      </c>
      <c r="G19" s="33" t="n">
        <f aca="false">E19*F19</f>
        <v>11.75</v>
      </c>
      <c r="H19" s="23" t="s">
        <v>125</v>
      </c>
      <c r="I19" s="34" t="n">
        <f aca="false">Narxlar!$C$5</f>
        <v>55</v>
      </c>
      <c r="J19" s="35" t="n">
        <f aca="false">G19*I19</f>
        <v>646.25</v>
      </c>
    </row>
    <row r="20" customFormat="false" ht="15" hidden="false" customHeight="false" outlineLevel="0" collapsed="false">
      <c r="A20" s="23" t="n">
        <v>12</v>
      </c>
      <c r="B20" s="6" t="s">
        <v>24</v>
      </c>
      <c r="C20" s="6" t="s">
        <v>61</v>
      </c>
      <c r="D20" s="6" t="s">
        <v>171</v>
      </c>
      <c r="E20" s="7" t="n">
        <f aca="false">Narxlar!$C$49</f>
        <v>0.9</v>
      </c>
      <c r="F20" s="7" t="n">
        <f aca="false">Narxlar!$C$45</f>
        <v>2.5</v>
      </c>
      <c r="G20" s="33" t="n">
        <f aca="false">E20*F20</f>
        <v>2.25</v>
      </c>
      <c r="H20" s="23" t="s">
        <v>125</v>
      </c>
      <c r="I20" s="34" t="n">
        <f aca="false">Narxlar!$C$5</f>
        <v>55</v>
      </c>
      <c r="J20" s="35" t="n">
        <f aca="false">G20*I20</f>
        <v>123.75</v>
      </c>
    </row>
    <row r="21" customFormat="false" ht="15" hidden="false" customHeight="false" outlineLevel="0" collapsed="false">
      <c r="A21" s="23" t="n">
        <v>13</v>
      </c>
      <c r="B21" s="6" t="s">
        <v>24</v>
      </c>
      <c r="C21" s="6" t="s">
        <v>172</v>
      </c>
      <c r="D21" s="6" t="s">
        <v>174</v>
      </c>
      <c r="E21" s="32" t="n">
        <v>4.7</v>
      </c>
      <c r="F21" s="7" t="n">
        <f aca="false">Narxlar!$C$46</f>
        <v>1</v>
      </c>
      <c r="G21" s="33" t="n">
        <f aca="false">E21*F21</f>
        <v>4.7</v>
      </c>
      <c r="H21" s="23" t="s">
        <v>125</v>
      </c>
      <c r="I21" s="34" t="n">
        <f aca="false">Narxlar!$C$6</f>
        <v>12</v>
      </c>
      <c r="J21" s="35" t="n">
        <f aca="false">G21*I21</f>
        <v>56.4</v>
      </c>
    </row>
    <row r="22" customFormat="false" ht="15" hidden="false" customHeight="false" outlineLevel="0" collapsed="false">
      <c r="A22" s="23" t="n">
        <v>14</v>
      </c>
      <c r="B22" s="6" t="s">
        <v>24</v>
      </c>
      <c r="C22" s="6" t="s">
        <v>172</v>
      </c>
      <c r="D22" s="6" t="s">
        <v>175</v>
      </c>
      <c r="E22" s="32" t="n">
        <v>0.2</v>
      </c>
      <c r="F22" s="7" t="n">
        <f aca="false">Narxlar!$C$44</f>
        <v>3.5</v>
      </c>
      <c r="G22" s="33" t="n">
        <f aca="false">E22*F22</f>
        <v>0.7</v>
      </c>
      <c r="H22" s="23" t="s">
        <v>125</v>
      </c>
      <c r="I22" s="34" t="n">
        <f aca="false">Narxlar!$C$6</f>
        <v>12</v>
      </c>
      <c r="J22" s="35" t="n">
        <f aca="false">G22*I22</f>
        <v>8.4</v>
      </c>
    </row>
    <row r="23" customFormat="false" ht="15" hidden="false" customHeight="false" outlineLevel="0" collapsed="false">
      <c r="A23" s="23" t="n">
        <v>15</v>
      </c>
      <c r="B23" s="6" t="s">
        <v>24</v>
      </c>
      <c r="C23" s="6" t="s">
        <v>172</v>
      </c>
      <c r="D23" s="6" t="s">
        <v>176</v>
      </c>
      <c r="E23" s="7" t="n">
        <f aca="false">Narxlar!$C$49</f>
        <v>0.9</v>
      </c>
      <c r="F23" s="7" t="n">
        <f aca="false">Narxlar!$C$46</f>
        <v>1</v>
      </c>
      <c r="G23" s="33" t="n">
        <f aca="false">E23*F23</f>
        <v>0.9</v>
      </c>
      <c r="H23" s="23" t="s">
        <v>125</v>
      </c>
      <c r="I23" s="34" t="n">
        <f aca="false">Narxlar!$C$6</f>
        <v>12</v>
      </c>
      <c r="J23" s="35" t="n">
        <f aca="false">G23*I23</f>
        <v>10.8</v>
      </c>
    </row>
    <row r="24" customFormat="false" ht="15" hidden="false" customHeight="false" outlineLevel="0" collapsed="false">
      <c r="A24" s="23" t="n">
        <v>16</v>
      </c>
      <c r="B24" s="6" t="s">
        <v>24</v>
      </c>
      <c r="C24" s="6" t="s">
        <v>66</v>
      </c>
      <c r="D24" s="6" t="s">
        <v>177</v>
      </c>
      <c r="E24" s="32" t="n">
        <v>7.7</v>
      </c>
      <c r="F24" s="7" t="n">
        <f aca="false">Narxlar!$C$50</f>
        <v>3.5</v>
      </c>
      <c r="G24" s="33" t="n">
        <f aca="false">E24*F24</f>
        <v>26.95</v>
      </c>
      <c r="H24" s="23" t="s">
        <v>125</v>
      </c>
      <c r="I24" s="34" t="n">
        <f aca="false">Narxlar!$C$7</f>
        <v>15.5</v>
      </c>
      <c r="J24" s="35" t="n">
        <f aca="false">G24*I24</f>
        <v>417.725</v>
      </c>
    </row>
    <row r="25" customFormat="false" ht="15" hidden="false" customHeight="false" outlineLevel="0" collapsed="false">
      <c r="A25" s="23" t="n">
        <v>17</v>
      </c>
      <c r="B25" s="6" t="s">
        <v>24</v>
      </c>
      <c r="C25" s="6" t="s">
        <v>66</v>
      </c>
      <c r="D25" s="6" t="s">
        <v>178</v>
      </c>
      <c r="E25" s="32" t="n">
        <v>7.7</v>
      </c>
      <c r="F25" s="7" t="n">
        <f aca="false">Narxlar!$C$50</f>
        <v>3.5</v>
      </c>
      <c r="G25" s="33" t="n">
        <f aca="false">E25*F25</f>
        <v>26.95</v>
      </c>
      <c r="H25" s="23" t="s">
        <v>125</v>
      </c>
      <c r="I25" s="34" t="n">
        <f aca="false">Narxlar!$C$7</f>
        <v>15.5</v>
      </c>
      <c r="J25" s="35" t="n">
        <f aca="false">G25*I25</f>
        <v>417.725</v>
      </c>
    </row>
    <row r="26" customFormat="false" ht="15" hidden="false" customHeight="false" outlineLevel="0" collapsed="false">
      <c r="A26" s="23" t="n">
        <v>18</v>
      </c>
      <c r="B26" s="6" t="s">
        <v>24</v>
      </c>
      <c r="C26" s="6" t="s">
        <v>67</v>
      </c>
      <c r="D26" s="6" t="s">
        <v>179</v>
      </c>
      <c r="E26" s="32"/>
      <c r="F26" s="33"/>
      <c r="G26" s="36" t="n">
        <v>1</v>
      </c>
      <c r="H26" s="23" t="s">
        <v>82</v>
      </c>
      <c r="I26" s="34" t="n">
        <f aca="false">Narxlar!$C$8</f>
        <v>1032</v>
      </c>
      <c r="J26" s="35" t="n">
        <f aca="false">G26*I26</f>
        <v>1032</v>
      </c>
    </row>
    <row r="27" customFormat="false" ht="15" hidden="false" customHeight="false" outlineLevel="0" collapsed="false">
      <c r="A27" s="23" t="n">
        <v>19</v>
      </c>
      <c r="B27" s="6" t="s">
        <v>24</v>
      </c>
      <c r="C27" s="6" t="s">
        <v>180</v>
      </c>
      <c r="D27" s="6" t="s">
        <v>181</v>
      </c>
      <c r="E27" s="32"/>
      <c r="F27" s="33"/>
      <c r="G27" s="36" t="n">
        <v>1</v>
      </c>
      <c r="H27" s="23" t="s">
        <v>182</v>
      </c>
      <c r="I27" s="34" t="n">
        <f aca="false">Narxlar!$C$12</f>
        <v>168</v>
      </c>
      <c r="J27" s="35" t="n">
        <f aca="false">G27*I27</f>
        <v>168</v>
      </c>
    </row>
    <row r="28" customFormat="false" ht="15" hidden="false" customHeight="false" outlineLevel="0" collapsed="false">
      <c r="A28" s="37"/>
      <c r="B28" s="37"/>
      <c r="C28" s="37"/>
      <c r="D28" s="11" t="s">
        <v>184</v>
      </c>
      <c r="E28" s="37"/>
      <c r="F28" s="37"/>
      <c r="G28" s="37"/>
      <c r="H28" s="37"/>
      <c r="I28" s="37"/>
      <c r="J28" s="38" t="n">
        <f aca="false">SUM(J19:J27)</f>
        <v>2881.05</v>
      </c>
    </row>
    <row r="30" customFormat="false" ht="15" hidden="false" customHeight="false" outlineLevel="0" collapsed="false">
      <c r="A30" s="4" t="s">
        <v>25</v>
      </c>
      <c r="B30" s="5"/>
      <c r="C30" s="5"/>
      <c r="D30" s="5"/>
      <c r="E30" s="5"/>
      <c r="F30" s="5"/>
      <c r="G30" s="5"/>
      <c r="H30" s="5"/>
      <c r="I30" s="5"/>
      <c r="J30" s="5"/>
    </row>
    <row r="31" customFormat="false" ht="15" hidden="false" customHeight="false" outlineLevel="0" collapsed="false">
      <c r="A31" s="23" t="n">
        <v>20</v>
      </c>
      <c r="B31" s="6" t="s">
        <v>25</v>
      </c>
      <c r="C31" s="6" t="s">
        <v>61</v>
      </c>
      <c r="D31" s="6" t="s">
        <v>171</v>
      </c>
      <c r="E31" s="7" t="n">
        <f aca="false">Narxlar!$C$49</f>
        <v>0.9</v>
      </c>
      <c r="F31" s="7" t="n">
        <f aca="false">Narxlar!$C$45</f>
        <v>2.5</v>
      </c>
      <c r="G31" s="33" t="n">
        <f aca="false">E31*F31</f>
        <v>2.25</v>
      </c>
      <c r="H31" s="23" t="s">
        <v>125</v>
      </c>
      <c r="I31" s="34" t="n">
        <f aca="false">Narxlar!$C$5</f>
        <v>55</v>
      </c>
      <c r="J31" s="35" t="n">
        <f aca="false">G31*I31</f>
        <v>123.75</v>
      </c>
    </row>
    <row r="32" customFormat="false" ht="15" hidden="false" customHeight="false" outlineLevel="0" collapsed="false">
      <c r="A32" s="23" t="n">
        <v>21</v>
      </c>
      <c r="B32" s="6" t="s">
        <v>25</v>
      </c>
      <c r="C32" s="6" t="s">
        <v>172</v>
      </c>
      <c r="D32" s="6" t="s">
        <v>175</v>
      </c>
      <c r="E32" s="32" t="n">
        <v>0.15</v>
      </c>
      <c r="F32" s="7" t="n">
        <f aca="false">Narxlar!$C$44</f>
        <v>3.5</v>
      </c>
      <c r="G32" s="33" t="n">
        <f aca="false">E32*F32</f>
        <v>0.525</v>
      </c>
      <c r="H32" s="23" t="s">
        <v>125</v>
      </c>
      <c r="I32" s="34" t="n">
        <f aca="false">Narxlar!$C$6</f>
        <v>12</v>
      </c>
      <c r="J32" s="35" t="n">
        <f aca="false">G32*I32</f>
        <v>6.3</v>
      </c>
    </row>
    <row r="33" customFormat="false" ht="15" hidden="false" customHeight="false" outlineLevel="0" collapsed="false">
      <c r="A33" s="23" t="n">
        <v>22</v>
      </c>
      <c r="B33" s="6" t="s">
        <v>25</v>
      </c>
      <c r="C33" s="6" t="s">
        <v>172</v>
      </c>
      <c r="D33" s="6" t="s">
        <v>185</v>
      </c>
      <c r="E33" s="32" t="n">
        <v>4.7</v>
      </c>
      <c r="F33" s="7" t="n">
        <f aca="false">Narxlar!$C$44</f>
        <v>3.5</v>
      </c>
      <c r="G33" s="33" t="n">
        <f aca="false">E33*F33</f>
        <v>16.45</v>
      </c>
      <c r="H33" s="23" t="s">
        <v>125</v>
      </c>
      <c r="I33" s="34" t="n">
        <f aca="false">Narxlar!$C$6</f>
        <v>12</v>
      </c>
      <c r="J33" s="35" t="n">
        <f aca="false">G33*I33</f>
        <v>197.4</v>
      </c>
    </row>
    <row r="34" customFormat="false" ht="15" hidden="false" customHeight="false" outlineLevel="0" collapsed="false">
      <c r="A34" s="23" t="n">
        <v>23</v>
      </c>
      <c r="B34" s="6" t="s">
        <v>25</v>
      </c>
      <c r="C34" s="6" t="s">
        <v>172</v>
      </c>
      <c r="D34" s="6" t="s">
        <v>176</v>
      </c>
      <c r="E34" s="7" t="n">
        <f aca="false">Narxlar!$C$49</f>
        <v>0.9</v>
      </c>
      <c r="F34" s="7" t="n">
        <f aca="false">Narxlar!$C$46</f>
        <v>1</v>
      </c>
      <c r="G34" s="33" t="n">
        <f aca="false">E34*F34</f>
        <v>0.9</v>
      </c>
      <c r="H34" s="23" t="s">
        <v>125</v>
      </c>
      <c r="I34" s="34" t="n">
        <f aca="false">Narxlar!$C$6</f>
        <v>12</v>
      </c>
      <c r="J34" s="35" t="n">
        <f aca="false">G34*I34</f>
        <v>10.8</v>
      </c>
    </row>
    <row r="35" customFormat="false" ht="15" hidden="false" customHeight="false" outlineLevel="0" collapsed="false">
      <c r="A35" s="23" t="n">
        <v>24</v>
      </c>
      <c r="B35" s="6" t="s">
        <v>25</v>
      </c>
      <c r="C35" s="6" t="s">
        <v>66</v>
      </c>
      <c r="D35" s="6" t="s">
        <v>177</v>
      </c>
      <c r="E35" s="32" t="n">
        <v>7.7</v>
      </c>
      <c r="F35" s="7" t="n">
        <f aca="false">Narxlar!$C$50</f>
        <v>3.5</v>
      </c>
      <c r="G35" s="33" t="n">
        <f aca="false">E35*F35</f>
        <v>26.95</v>
      </c>
      <c r="H35" s="23" t="s">
        <v>125</v>
      </c>
      <c r="I35" s="34" t="n">
        <f aca="false">Narxlar!$C$7</f>
        <v>15.5</v>
      </c>
      <c r="J35" s="35" t="n">
        <f aca="false">G35*I35</f>
        <v>417.725</v>
      </c>
    </row>
    <row r="36" customFormat="false" ht="15" hidden="false" customHeight="false" outlineLevel="0" collapsed="false">
      <c r="A36" s="23" t="n">
        <v>25</v>
      </c>
      <c r="B36" s="6" t="s">
        <v>25</v>
      </c>
      <c r="C36" s="6" t="s">
        <v>66</v>
      </c>
      <c r="D36" s="6" t="s">
        <v>178</v>
      </c>
      <c r="E36" s="32" t="n">
        <v>7.7</v>
      </c>
      <c r="F36" s="7" t="n">
        <f aca="false">Narxlar!$C$50</f>
        <v>3.5</v>
      </c>
      <c r="G36" s="33" t="n">
        <f aca="false">E36*F36</f>
        <v>26.95</v>
      </c>
      <c r="H36" s="23" t="s">
        <v>125</v>
      </c>
      <c r="I36" s="34" t="n">
        <f aca="false">Narxlar!$C$7</f>
        <v>15.5</v>
      </c>
      <c r="J36" s="35" t="n">
        <f aca="false">G36*I36</f>
        <v>417.725</v>
      </c>
    </row>
    <row r="37" customFormat="false" ht="15" hidden="false" customHeight="false" outlineLevel="0" collapsed="false">
      <c r="A37" s="23" t="n">
        <v>26</v>
      </c>
      <c r="B37" s="6" t="s">
        <v>25</v>
      </c>
      <c r="C37" s="6" t="s">
        <v>67</v>
      </c>
      <c r="D37" s="6" t="s">
        <v>179</v>
      </c>
      <c r="E37" s="32"/>
      <c r="F37" s="33"/>
      <c r="G37" s="36" t="n">
        <v>1</v>
      </c>
      <c r="H37" s="23" t="s">
        <v>82</v>
      </c>
      <c r="I37" s="34" t="n">
        <f aca="false">Narxlar!$C$8</f>
        <v>1032</v>
      </c>
      <c r="J37" s="35" t="n">
        <f aca="false">G37*I37</f>
        <v>1032</v>
      </c>
    </row>
    <row r="38" customFormat="false" ht="15" hidden="false" customHeight="false" outlineLevel="0" collapsed="false">
      <c r="A38" s="23" t="n">
        <v>27</v>
      </c>
      <c r="B38" s="6" t="s">
        <v>25</v>
      </c>
      <c r="C38" s="6" t="s">
        <v>180</v>
      </c>
      <c r="D38" s="6" t="s">
        <v>181</v>
      </c>
      <c r="E38" s="32"/>
      <c r="F38" s="33"/>
      <c r="G38" s="36" t="n">
        <v>1</v>
      </c>
      <c r="H38" s="23" t="s">
        <v>182</v>
      </c>
      <c r="I38" s="34" t="n">
        <f aca="false">Narxlar!$C$12</f>
        <v>168</v>
      </c>
      <c r="J38" s="35" t="n">
        <f aca="false">G38*I38</f>
        <v>168</v>
      </c>
    </row>
    <row r="39" customFormat="false" ht="15" hidden="false" customHeight="false" outlineLevel="0" collapsed="false">
      <c r="A39" s="37"/>
      <c r="B39" s="37"/>
      <c r="C39" s="37"/>
      <c r="D39" s="11" t="s">
        <v>186</v>
      </c>
      <c r="E39" s="37"/>
      <c r="F39" s="37"/>
      <c r="G39" s="37"/>
      <c r="H39" s="37"/>
      <c r="I39" s="37"/>
      <c r="J39" s="38" t="n">
        <f aca="false">SUM(J31:J38)</f>
        <v>2373.7</v>
      </c>
    </row>
    <row r="41" customFormat="false" ht="15" hidden="false" customHeight="false" outlineLevel="0" collapsed="false">
      <c r="A41" s="4" t="s">
        <v>26</v>
      </c>
      <c r="B41" s="5"/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false" outlineLevel="0" collapsed="false">
      <c r="A42" s="23" t="n">
        <v>28</v>
      </c>
      <c r="B42" s="6" t="s">
        <v>26</v>
      </c>
      <c r="C42" s="6" t="s">
        <v>61</v>
      </c>
      <c r="D42" s="6" t="s">
        <v>170</v>
      </c>
      <c r="E42" s="32" t="n">
        <v>1.5</v>
      </c>
      <c r="F42" s="7" t="n">
        <f aca="false">Narxlar!$C$45</f>
        <v>2.5</v>
      </c>
      <c r="G42" s="33" t="n">
        <f aca="false">E42*F42</f>
        <v>3.75</v>
      </c>
      <c r="H42" s="23" t="s">
        <v>125</v>
      </c>
      <c r="I42" s="34" t="n">
        <f aca="false">Narxlar!$C$5</f>
        <v>55</v>
      </c>
      <c r="J42" s="35" t="n">
        <f aca="false">G42*I42</f>
        <v>206.25</v>
      </c>
    </row>
    <row r="43" customFormat="false" ht="15" hidden="false" customHeight="false" outlineLevel="0" collapsed="false">
      <c r="A43" s="23" t="n">
        <v>29</v>
      </c>
      <c r="B43" s="6" t="s">
        <v>26</v>
      </c>
      <c r="C43" s="6" t="s">
        <v>61</v>
      </c>
      <c r="D43" s="6" t="s">
        <v>170</v>
      </c>
      <c r="E43" s="32" t="n">
        <v>1.15</v>
      </c>
      <c r="F43" s="7" t="n">
        <f aca="false">Narxlar!$C$45</f>
        <v>2.5</v>
      </c>
      <c r="G43" s="33" t="n">
        <f aca="false">E43*F43</f>
        <v>2.875</v>
      </c>
      <c r="H43" s="23" t="s">
        <v>125</v>
      </c>
      <c r="I43" s="34" t="n">
        <f aca="false">Narxlar!$C$5</f>
        <v>55</v>
      </c>
      <c r="J43" s="35" t="n">
        <f aca="false">G43*I43</f>
        <v>158.125</v>
      </c>
    </row>
    <row r="44" customFormat="false" ht="15" hidden="false" customHeight="false" outlineLevel="0" collapsed="false">
      <c r="A44" s="23" t="n">
        <v>30</v>
      </c>
      <c r="B44" s="6" t="s">
        <v>26</v>
      </c>
      <c r="C44" s="6" t="s">
        <v>61</v>
      </c>
      <c r="D44" s="6" t="s">
        <v>187</v>
      </c>
      <c r="E44" s="32" t="n">
        <v>1.5</v>
      </c>
      <c r="F44" s="7" t="n">
        <f aca="false">Narxlar!$C$45</f>
        <v>2.5</v>
      </c>
      <c r="G44" s="33" t="n">
        <f aca="false">E44*F44</f>
        <v>3.75</v>
      </c>
      <c r="H44" s="23" t="s">
        <v>125</v>
      </c>
      <c r="I44" s="34" t="n">
        <f aca="false">Narxlar!$C$5</f>
        <v>55</v>
      </c>
      <c r="J44" s="35" t="n">
        <f aca="false">G44*I44</f>
        <v>206.25</v>
      </c>
    </row>
    <row r="45" customFormat="false" ht="15" hidden="false" customHeight="false" outlineLevel="0" collapsed="false">
      <c r="A45" s="23" t="n">
        <v>31</v>
      </c>
      <c r="B45" s="6" t="s">
        <v>26</v>
      </c>
      <c r="C45" s="6" t="s">
        <v>61</v>
      </c>
      <c r="D45" s="6" t="s">
        <v>188</v>
      </c>
      <c r="E45" s="7" t="n">
        <f aca="false">Narxlar!$C$49</f>
        <v>0.9</v>
      </c>
      <c r="F45" s="7" t="n">
        <f aca="false">Narxlar!$C$45</f>
        <v>2.5</v>
      </c>
      <c r="G45" s="33" t="n">
        <f aca="false">E45*F45</f>
        <v>2.25</v>
      </c>
      <c r="H45" s="23" t="s">
        <v>125</v>
      </c>
      <c r="I45" s="34" t="n">
        <f aca="false">Narxlar!$C$5</f>
        <v>55</v>
      </c>
      <c r="J45" s="35" t="n">
        <f aca="false">G45*I45</f>
        <v>123.75</v>
      </c>
    </row>
    <row r="46" customFormat="false" ht="15" hidden="false" customHeight="false" outlineLevel="0" collapsed="false">
      <c r="A46" s="23" t="n">
        <v>32</v>
      </c>
      <c r="B46" s="6" t="s">
        <v>26</v>
      </c>
      <c r="C46" s="6" t="s">
        <v>172</v>
      </c>
      <c r="D46" s="6" t="s">
        <v>189</v>
      </c>
      <c r="E46" s="32" t="n">
        <v>1</v>
      </c>
      <c r="F46" s="7" t="n">
        <f aca="false">Narxlar!$C$44</f>
        <v>3.5</v>
      </c>
      <c r="G46" s="33" t="n">
        <f aca="false">E46*F46</f>
        <v>3.5</v>
      </c>
      <c r="H46" s="23" t="s">
        <v>125</v>
      </c>
      <c r="I46" s="34" t="n">
        <f aca="false">Narxlar!$C$6</f>
        <v>12</v>
      </c>
      <c r="J46" s="35" t="n">
        <f aca="false">G46*I46</f>
        <v>42</v>
      </c>
    </row>
    <row r="47" customFormat="false" ht="15" hidden="false" customHeight="false" outlineLevel="0" collapsed="false">
      <c r="A47" s="23" t="n">
        <v>33</v>
      </c>
      <c r="B47" s="6" t="s">
        <v>26</v>
      </c>
      <c r="C47" s="6" t="s">
        <v>172</v>
      </c>
      <c r="D47" s="6" t="s">
        <v>190</v>
      </c>
      <c r="E47" s="32" t="n">
        <v>4.5</v>
      </c>
      <c r="F47" s="7" t="n">
        <f aca="false">Narxlar!$C$44</f>
        <v>3.5</v>
      </c>
      <c r="G47" s="33" t="n">
        <f aca="false">E47*F47</f>
        <v>15.75</v>
      </c>
      <c r="H47" s="23" t="s">
        <v>125</v>
      </c>
      <c r="I47" s="34" t="n">
        <f aca="false">Narxlar!$C$6</f>
        <v>12</v>
      </c>
      <c r="J47" s="35" t="n">
        <f aca="false">G47*I47</f>
        <v>189</v>
      </c>
    </row>
    <row r="48" customFormat="false" ht="15" hidden="false" customHeight="false" outlineLevel="0" collapsed="false">
      <c r="A48" s="23" t="n">
        <v>34</v>
      </c>
      <c r="B48" s="6" t="s">
        <v>26</v>
      </c>
      <c r="C48" s="6" t="s">
        <v>172</v>
      </c>
      <c r="D48" s="6" t="s">
        <v>174</v>
      </c>
      <c r="E48" s="32" t="n">
        <v>1.5</v>
      </c>
      <c r="F48" s="7" t="n">
        <f aca="false">Narxlar!$C$46</f>
        <v>1</v>
      </c>
      <c r="G48" s="33" t="n">
        <f aca="false">E48*F48</f>
        <v>1.5</v>
      </c>
      <c r="H48" s="23" t="s">
        <v>125</v>
      </c>
      <c r="I48" s="34" t="n">
        <f aca="false">Narxlar!$C$6</f>
        <v>12</v>
      </c>
      <c r="J48" s="35" t="n">
        <f aca="false">G48*I48</f>
        <v>18</v>
      </c>
    </row>
    <row r="49" customFormat="false" ht="15" hidden="false" customHeight="false" outlineLevel="0" collapsed="false">
      <c r="A49" s="23" t="n">
        <v>35</v>
      </c>
      <c r="B49" s="6" t="s">
        <v>26</v>
      </c>
      <c r="C49" s="6" t="s">
        <v>172</v>
      </c>
      <c r="D49" s="6" t="s">
        <v>174</v>
      </c>
      <c r="E49" s="32" t="n">
        <v>1.15</v>
      </c>
      <c r="F49" s="7" t="n">
        <f aca="false">Narxlar!$C$46</f>
        <v>1</v>
      </c>
      <c r="G49" s="33" t="n">
        <f aca="false">E49*F49</f>
        <v>1.15</v>
      </c>
      <c r="H49" s="23" t="s">
        <v>125</v>
      </c>
      <c r="I49" s="34" t="n">
        <f aca="false">Narxlar!$C$6</f>
        <v>12</v>
      </c>
      <c r="J49" s="35" t="n">
        <f aca="false">G49*I49</f>
        <v>13.8</v>
      </c>
    </row>
    <row r="50" customFormat="false" ht="15" hidden="false" customHeight="false" outlineLevel="0" collapsed="false">
      <c r="A50" s="23" t="n">
        <v>36</v>
      </c>
      <c r="B50" s="6" t="s">
        <v>26</v>
      </c>
      <c r="C50" s="6" t="s">
        <v>172</v>
      </c>
      <c r="D50" s="6" t="s">
        <v>191</v>
      </c>
      <c r="E50" s="32" t="n">
        <v>0.1</v>
      </c>
      <c r="F50" s="7" t="n">
        <f aca="false">Narxlar!$C$44</f>
        <v>3.5</v>
      </c>
      <c r="G50" s="33" t="n">
        <f aca="false">E50*F50</f>
        <v>0.35</v>
      </c>
      <c r="H50" s="23" t="s">
        <v>125</v>
      </c>
      <c r="I50" s="34" t="n">
        <f aca="false">Narxlar!$C$6</f>
        <v>12</v>
      </c>
      <c r="J50" s="35" t="n">
        <f aca="false">G50*I50</f>
        <v>4.2</v>
      </c>
    </row>
    <row r="51" customFormat="false" ht="15" hidden="false" customHeight="false" outlineLevel="0" collapsed="false">
      <c r="A51" s="23" t="n">
        <v>37</v>
      </c>
      <c r="B51" s="6" t="s">
        <v>26</v>
      </c>
      <c r="C51" s="6" t="s">
        <v>172</v>
      </c>
      <c r="D51" s="6" t="s">
        <v>192</v>
      </c>
      <c r="E51" s="32" t="n">
        <v>0.1</v>
      </c>
      <c r="F51" s="7" t="n">
        <f aca="false">Narxlar!$C$44</f>
        <v>3.5</v>
      </c>
      <c r="G51" s="33" t="n">
        <f aca="false">E51*F51</f>
        <v>0.35</v>
      </c>
      <c r="H51" s="23" t="s">
        <v>125</v>
      </c>
      <c r="I51" s="34" t="n">
        <f aca="false">Narxlar!$C$6</f>
        <v>12</v>
      </c>
      <c r="J51" s="35" t="n">
        <f aca="false">G51*I51</f>
        <v>4.2</v>
      </c>
    </row>
    <row r="52" customFormat="false" ht="15" hidden="false" customHeight="false" outlineLevel="0" collapsed="false">
      <c r="A52" s="23" t="n">
        <v>38</v>
      </c>
      <c r="B52" s="6" t="s">
        <v>26</v>
      </c>
      <c r="C52" s="6" t="s">
        <v>172</v>
      </c>
      <c r="D52" s="6" t="s">
        <v>192</v>
      </c>
      <c r="E52" s="32" t="n">
        <v>0.25</v>
      </c>
      <c r="F52" s="7" t="n">
        <f aca="false">Narxlar!$C$44</f>
        <v>3.5</v>
      </c>
      <c r="G52" s="33" t="n">
        <f aca="false">E52*F52</f>
        <v>0.875</v>
      </c>
      <c r="H52" s="23" t="s">
        <v>125</v>
      </c>
      <c r="I52" s="34" t="n">
        <f aca="false">Narxlar!$C$6</f>
        <v>12</v>
      </c>
      <c r="J52" s="35" t="n">
        <f aca="false">G52*I52</f>
        <v>10.5</v>
      </c>
    </row>
    <row r="53" customFormat="false" ht="15" hidden="false" customHeight="false" outlineLevel="0" collapsed="false">
      <c r="A53" s="23" t="n">
        <v>39</v>
      </c>
      <c r="B53" s="6" t="s">
        <v>26</v>
      </c>
      <c r="C53" s="6" t="s">
        <v>172</v>
      </c>
      <c r="D53" s="6" t="s">
        <v>193</v>
      </c>
      <c r="E53" s="32" t="n">
        <v>1.5</v>
      </c>
      <c r="F53" s="7" t="n">
        <f aca="false">Narxlar!$C$46</f>
        <v>1</v>
      </c>
      <c r="G53" s="33" t="n">
        <f aca="false">E53*F53</f>
        <v>1.5</v>
      </c>
      <c r="H53" s="23" t="s">
        <v>125</v>
      </c>
      <c r="I53" s="34" t="n">
        <f aca="false">Narxlar!$C$6</f>
        <v>12</v>
      </c>
      <c r="J53" s="35" t="n">
        <f aca="false">G53*I53</f>
        <v>18</v>
      </c>
    </row>
    <row r="54" customFormat="false" ht="15" hidden="false" customHeight="false" outlineLevel="0" collapsed="false">
      <c r="A54" s="23" t="n">
        <v>40</v>
      </c>
      <c r="B54" s="6" t="s">
        <v>26</v>
      </c>
      <c r="C54" s="6" t="s">
        <v>172</v>
      </c>
      <c r="D54" s="6" t="s">
        <v>194</v>
      </c>
      <c r="E54" s="32" t="n">
        <v>4.5</v>
      </c>
      <c r="F54" s="7" t="n">
        <f aca="false">Narxlar!$C$44</f>
        <v>3.5</v>
      </c>
      <c r="G54" s="33" t="n">
        <f aca="false">E54*F54</f>
        <v>15.75</v>
      </c>
      <c r="H54" s="23" t="s">
        <v>125</v>
      </c>
      <c r="I54" s="34" t="n">
        <f aca="false">Narxlar!$C$6</f>
        <v>12</v>
      </c>
      <c r="J54" s="35" t="n">
        <f aca="false">G54*I54</f>
        <v>189</v>
      </c>
    </row>
    <row r="55" customFormat="false" ht="15" hidden="false" customHeight="false" outlineLevel="0" collapsed="false">
      <c r="A55" s="23" t="n">
        <v>41</v>
      </c>
      <c r="B55" s="6" t="s">
        <v>26</v>
      </c>
      <c r="C55" s="6" t="s">
        <v>172</v>
      </c>
      <c r="D55" s="6" t="s">
        <v>195</v>
      </c>
      <c r="E55" s="7" t="n">
        <f aca="false">Narxlar!$C$49</f>
        <v>0.9</v>
      </c>
      <c r="F55" s="7" t="n">
        <f aca="false">Narxlar!$C$46</f>
        <v>1</v>
      </c>
      <c r="G55" s="33" t="n">
        <f aca="false">E55*F55</f>
        <v>0.9</v>
      </c>
      <c r="H55" s="23" t="s">
        <v>125</v>
      </c>
      <c r="I55" s="34" t="n">
        <f aca="false">Narxlar!$C$6</f>
        <v>12</v>
      </c>
      <c r="J55" s="35" t="n">
        <f aca="false">G55*I55</f>
        <v>10.8</v>
      </c>
    </row>
    <row r="56" customFormat="false" ht="15" hidden="false" customHeight="false" outlineLevel="0" collapsed="false">
      <c r="A56" s="23" t="n">
        <v>42</v>
      </c>
      <c r="B56" s="6" t="s">
        <v>26</v>
      </c>
      <c r="C56" s="6" t="s">
        <v>66</v>
      </c>
      <c r="D56" s="6" t="s">
        <v>177</v>
      </c>
      <c r="E56" s="32" t="n">
        <v>8.8</v>
      </c>
      <c r="F56" s="7" t="n">
        <f aca="false">Narxlar!$C$50</f>
        <v>3.5</v>
      </c>
      <c r="G56" s="33" t="n">
        <f aca="false">E56*F56</f>
        <v>30.8</v>
      </c>
      <c r="H56" s="23" t="s">
        <v>125</v>
      </c>
      <c r="I56" s="34" t="n">
        <f aca="false">Narxlar!$C$7</f>
        <v>15.5</v>
      </c>
      <c r="J56" s="35" t="n">
        <f aca="false">G56*I56</f>
        <v>477.4</v>
      </c>
    </row>
    <row r="57" customFormat="false" ht="15" hidden="false" customHeight="false" outlineLevel="0" collapsed="false">
      <c r="A57" s="23" t="n">
        <v>43</v>
      </c>
      <c r="B57" s="6" t="s">
        <v>26</v>
      </c>
      <c r="C57" s="6" t="s">
        <v>66</v>
      </c>
      <c r="D57" s="6" t="s">
        <v>196</v>
      </c>
      <c r="E57" s="32" t="n">
        <v>5.6</v>
      </c>
      <c r="F57" s="7" t="n">
        <f aca="false">Narxlar!$C$50</f>
        <v>3.5</v>
      </c>
      <c r="G57" s="33" t="n">
        <f aca="false">E57*F57</f>
        <v>19.6</v>
      </c>
      <c r="H57" s="23" t="s">
        <v>125</v>
      </c>
      <c r="I57" s="34" t="n">
        <f aca="false">Narxlar!$C$7</f>
        <v>15.5</v>
      </c>
      <c r="J57" s="35" t="n">
        <f aca="false">G57*I57</f>
        <v>303.8</v>
      </c>
    </row>
    <row r="58" customFormat="false" ht="15" hidden="false" customHeight="false" outlineLevel="0" collapsed="false">
      <c r="A58" s="23" t="n">
        <v>44</v>
      </c>
      <c r="B58" s="6" t="s">
        <v>26</v>
      </c>
      <c r="C58" s="6" t="s">
        <v>67</v>
      </c>
      <c r="D58" s="6" t="s">
        <v>179</v>
      </c>
      <c r="E58" s="32"/>
      <c r="F58" s="33"/>
      <c r="G58" s="36" t="n">
        <v>1</v>
      </c>
      <c r="H58" s="23" t="s">
        <v>82</v>
      </c>
      <c r="I58" s="34" t="n">
        <f aca="false">Narxlar!$C$8</f>
        <v>1032</v>
      </c>
      <c r="J58" s="35" t="n">
        <f aca="false">G58*I58</f>
        <v>1032</v>
      </c>
    </row>
    <row r="59" customFormat="false" ht="15" hidden="false" customHeight="false" outlineLevel="0" collapsed="false">
      <c r="A59" s="23" t="n">
        <v>45</v>
      </c>
      <c r="B59" s="6" t="s">
        <v>26</v>
      </c>
      <c r="C59" s="6" t="s">
        <v>180</v>
      </c>
      <c r="D59" s="6" t="s">
        <v>181</v>
      </c>
      <c r="E59" s="32"/>
      <c r="F59" s="33"/>
      <c r="G59" s="36" t="n">
        <v>1</v>
      </c>
      <c r="H59" s="23" t="s">
        <v>182</v>
      </c>
      <c r="I59" s="34" t="n">
        <f aca="false">Narxlar!$C$12</f>
        <v>168</v>
      </c>
      <c r="J59" s="35" t="n">
        <f aca="false">G59*I59</f>
        <v>168</v>
      </c>
    </row>
    <row r="60" customFormat="false" ht="15" hidden="false" customHeight="false" outlineLevel="0" collapsed="false">
      <c r="A60" s="37"/>
      <c r="B60" s="37"/>
      <c r="C60" s="37"/>
      <c r="D60" s="11" t="s">
        <v>197</v>
      </c>
      <c r="E60" s="37"/>
      <c r="F60" s="37"/>
      <c r="G60" s="37"/>
      <c r="H60" s="37"/>
      <c r="I60" s="37"/>
      <c r="J60" s="38" t="n">
        <f aca="false">SUM(J42:J59)</f>
        <v>3175.075</v>
      </c>
    </row>
    <row r="62" customFormat="false" ht="15" hidden="false" customHeight="false" outlineLevel="0" collapsed="false">
      <c r="A62" s="4" t="s">
        <v>27</v>
      </c>
      <c r="B62" s="5"/>
      <c r="C62" s="5"/>
      <c r="D62" s="5"/>
      <c r="E62" s="5"/>
      <c r="F62" s="5"/>
      <c r="G62" s="5"/>
      <c r="H62" s="5"/>
      <c r="I62" s="5"/>
      <c r="J62" s="5"/>
    </row>
    <row r="63" customFormat="false" ht="15" hidden="false" customHeight="false" outlineLevel="0" collapsed="false">
      <c r="A63" s="23" t="n">
        <v>46</v>
      </c>
      <c r="B63" s="6" t="s">
        <v>27</v>
      </c>
      <c r="C63" s="6" t="s">
        <v>61</v>
      </c>
      <c r="D63" s="6" t="s">
        <v>188</v>
      </c>
      <c r="E63" s="7" t="n">
        <f aca="false">Narxlar!$C$49</f>
        <v>0.9</v>
      </c>
      <c r="F63" s="7" t="n">
        <f aca="false">Narxlar!$C$45</f>
        <v>2.5</v>
      </c>
      <c r="G63" s="33" t="n">
        <f aca="false">E63*F63</f>
        <v>2.25</v>
      </c>
      <c r="H63" s="23" t="s">
        <v>125</v>
      </c>
      <c r="I63" s="34" t="n">
        <f aca="false">Narxlar!$C$5</f>
        <v>55</v>
      </c>
      <c r="J63" s="35" t="n">
        <f aca="false">G63*I63</f>
        <v>123.75</v>
      </c>
    </row>
    <row r="64" customFormat="false" ht="15" hidden="false" customHeight="false" outlineLevel="0" collapsed="false">
      <c r="A64" s="23" t="n">
        <v>47</v>
      </c>
      <c r="B64" s="6" t="s">
        <v>27</v>
      </c>
      <c r="C64" s="6" t="s">
        <v>172</v>
      </c>
      <c r="D64" s="6" t="s">
        <v>198</v>
      </c>
      <c r="E64" s="32" t="n">
        <v>2.75</v>
      </c>
      <c r="F64" s="7" t="n">
        <f aca="false">Narxlar!$C$44</f>
        <v>3.5</v>
      </c>
      <c r="G64" s="33" t="n">
        <f aca="false">E64*F64</f>
        <v>9.625</v>
      </c>
      <c r="H64" s="23" t="s">
        <v>125</v>
      </c>
      <c r="I64" s="34" t="n">
        <f aca="false">Narxlar!$C$6</f>
        <v>12</v>
      </c>
      <c r="J64" s="35" t="n">
        <f aca="false">G64*I64</f>
        <v>115.5</v>
      </c>
    </row>
    <row r="65" customFormat="false" ht="15" hidden="false" customHeight="false" outlineLevel="0" collapsed="false">
      <c r="A65" s="23" t="n">
        <v>48</v>
      </c>
      <c r="B65" s="6" t="s">
        <v>27</v>
      </c>
      <c r="C65" s="6" t="s">
        <v>172</v>
      </c>
      <c r="D65" s="6" t="s">
        <v>192</v>
      </c>
      <c r="E65" s="32" t="n">
        <v>0.15</v>
      </c>
      <c r="F65" s="7" t="n">
        <f aca="false">Narxlar!$C$44</f>
        <v>3.5</v>
      </c>
      <c r="G65" s="33" t="n">
        <f aca="false">E65*F65</f>
        <v>0.525</v>
      </c>
      <c r="H65" s="23" t="s">
        <v>125</v>
      </c>
      <c r="I65" s="34" t="n">
        <f aca="false">Narxlar!$C$6</f>
        <v>12</v>
      </c>
      <c r="J65" s="35" t="n">
        <f aca="false">G65*I65</f>
        <v>6.3</v>
      </c>
    </row>
    <row r="66" customFormat="false" ht="15" hidden="false" customHeight="false" outlineLevel="0" collapsed="false">
      <c r="A66" s="23" t="n">
        <v>49</v>
      </c>
      <c r="B66" s="6" t="s">
        <v>27</v>
      </c>
      <c r="C66" s="6" t="s">
        <v>172</v>
      </c>
      <c r="D66" s="6" t="s">
        <v>199</v>
      </c>
      <c r="E66" s="32" t="n">
        <v>4.7</v>
      </c>
      <c r="F66" s="7" t="n">
        <f aca="false">Narxlar!$C$44</f>
        <v>3.5</v>
      </c>
      <c r="G66" s="33" t="n">
        <f aca="false">E66*F66</f>
        <v>16.45</v>
      </c>
      <c r="H66" s="23" t="s">
        <v>125</v>
      </c>
      <c r="I66" s="34" t="n">
        <f aca="false">Narxlar!$C$6</f>
        <v>12</v>
      </c>
      <c r="J66" s="35" t="n">
        <f aca="false">G66*I66</f>
        <v>197.4</v>
      </c>
    </row>
    <row r="67" customFormat="false" ht="15" hidden="false" customHeight="false" outlineLevel="0" collapsed="false">
      <c r="A67" s="23" t="n">
        <v>50</v>
      </c>
      <c r="B67" s="6" t="s">
        <v>27</v>
      </c>
      <c r="C67" s="6" t="s">
        <v>172</v>
      </c>
      <c r="D67" s="6" t="s">
        <v>195</v>
      </c>
      <c r="E67" s="7" t="n">
        <f aca="false">Narxlar!$C$49</f>
        <v>0.9</v>
      </c>
      <c r="F67" s="7" t="n">
        <f aca="false">Narxlar!$C$46</f>
        <v>1</v>
      </c>
      <c r="G67" s="33" t="n">
        <f aca="false">E67*F67</f>
        <v>0.9</v>
      </c>
      <c r="H67" s="23" t="s">
        <v>125</v>
      </c>
      <c r="I67" s="34" t="n">
        <f aca="false">Narxlar!$C$6</f>
        <v>12</v>
      </c>
      <c r="J67" s="35" t="n">
        <f aca="false">G67*I67</f>
        <v>10.8</v>
      </c>
    </row>
    <row r="68" customFormat="false" ht="15" hidden="false" customHeight="false" outlineLevel="0" collapsed="false">
      <c r="A68" s="23" t="n">
        <v>51</v>
      </c>
      <c r="B68" s="6" t="s">
        <v>27</v>
      </c>
      <c r="C68" s="6" t="s">
        <v>66</v>
      </c>
      <c r="D68" s="6" t="s">
        <v>177</v>
      </c>
      <c r="E68" s="32" t="n">
        <v>7.7</v>
      </c>
      <c r="F68" s="7" t="n">
        <f aca="false">Narxlar!$C$50</f>
        <v>3.5</v>
      </c>
      <c r="G68" s="33" t="n">
        <f aca="false">E68*F68</f>
        <v>26.95</v>
      </c>
      <c r="H68" s="23" t="s">
        <v>125</v>
      </c>
      <c r="I68" s="34" t="n">
        <f aca="false">Narxlar!$C$7</f>
        <v>15.5</v>
      </c>
      <c r="J68" s="35" t="n">
        <f aca="false">G68*I68</f>
        <v>417.725</v>
      </c>
    </row>
    <row r="69" customFormat="false" ht="15" hidden="false" customHeight="false" outlineLevel="0" collapsed="false">
      <c r="A69" s="23" t="n">
        <v>52</v>
      </c>
      <c r="B69" s="6" t="s">
        <v>27</v>
      </c>
      <c r="C69" s="6" t="s">
        <v>66</v>
      </c>
      <c r="D69" s="6" t="s">
        <v>178</v>
      </c>
      <c r="E69" s="32" t="n">
        <v>7.7</v>
      </c>
      <c r="F69" s="7" t="n">
        <f aca="false">Narxlar!$C$50</f>
        <v>3.5</v>
      </c>
      <c r="G69" s="33" t="n">
        <f aca="false">E69*F69</f>
        <v>26.95</v>
      </c>
      <c r="H69" s="23" t="s">
        <v>125</v>
      </c>
      <c r="I69" s="34" t="n">
        <f aca="false">Narxlar!$C$7</f>
        <v>15.5</v>
      </c>
      <c r="J69" s="35" t="n">
        <f aca="false">G69*I69</f>
        <v>417.725</v>
      </c>
    </row>
    <row r="70" customFormat="false" ht="15" hidden="false" customHeight="false" outlineLevel="0" collapsed="false">
      <c r="A70" s="23" t="n">
        <v>53</v>
      </c>
      <c r="B70" s="6" t="s">
        <v>27</v>
      </c>
      <c r="C70" s="6" t="s">
        <v>67</v>
      </c>
      <c r="D70" s="6" t="s">
        <v>179</v>
      </c>
      <c r="E70" s="32"/>
      <c r="F70" s="33"/>
      <c r="G70" s="36" t="n">
        <v>1</v>
      </c>
      <c r="H70" s="23" t="s">
        <v>82</v>
      </c>
      <c r="I70" s="34" t="n">
        <f aca="false">Narxlar!$C$8</f>
        <v>1032</v>
      </c>
      <c r="J70" s="35" t="n">
        <f aca="false">G70*I70</f>
        <v>1032</v>
      </c>
    </row>
    <row r="71" customFormat="false" ht="15" hidden="false" customHeight="false" outlineLevel="0" collapsed="false">
      <c r="A71" s="23" t="n">
        <v>54</v>
      </c>
      <c r="B71" s="6" t="s">
        <v>27</v>
      </c>
      <c r="C71" s="6" t="s">
        <v>180</v>
      </c>
      <c r="D71" s="6" t="s">
        <v>181</v>
      </c>
      <c r="E71" s="32"/>
      <c r="F71" s="33"/>
      <c r="G71" s="36" t="n">
        <v>1</v>
      </c>
      <c r="H71" s="23" t="s">
        <v>182</v>
      </c>
      <c r="I71" s="34" t="n">
        <f aca="false">Narxlar!$C$12</f>
        <v>168</v>
      </c>
      <c r="J71" s="35" t="n">
        <f aca="false">G71*I71</f>
        <v>168</v>
      </c>
    </row>
    <row r="72" customFormat="false" ht="15" hidden="false" customHeight="false" outlineLevel="0" collapsed="false">
      <c r="A72" s="37"/>
      <c r="B72" s="37"/>
      <c r="C72" s="37"/>
      <c r="D72" s="11" t="s">
        <v>200</v>
      </c>
      <c r="E72" s="37"/>
      <c r="F72" s="37"/>
      <c r="G72" s="37"/>
      <c r="H72" s="37"/>
      <c r="I72" s="37"/>
      <c r="J72" s="38" t="n">
        <f aca="false">SUM(J63:J71)</f>
        <v>2489.2</v>
      </c>
    </row>
    <row r="74" customFormat="false" ht="15" hidden="false" customHeight="false" outlineLevel="0" collapsed="false">
      <c r="A74" s="4" t="s">
        <v>28</v>
      </c>
      <c r="B74" s="5"/>
      <c r="C74" s="5"/>
      <c r="D74" s="5"/>
      <c r="E74" s="5"/>
      <c r="F74" s="5"/>
      <c r="G74" s="5"/>
      <c r="H74" s="5"/>
      <c r="I74" s="5"/>
      <c r="J74" s="5"/>
    </row>
    <row r="75" customFormat="false" ht="15" hidden="false" customHeight="false" outlineLevel="0" collapsed="false">
      <c r="A75" s="23" t="n">
        <v>55</v>
      </c>
      <c r="B75" s="6" t="s">
        <v>28</v>
      </c>
      <c r="C75" s="6" t="s">
        <v>61</v>
      </c>
      <c r="D75" s="6" t="s">
        <v>187</v>
      </c>
      <c r="E75" s="32" t="n">
        <v>4.7</v>
      </c>
      <c r="F75" s="7" t="n">
        <f aca="false">Narxlar!$C$45</f>
        <v>2.5</v>
      </c>
      <c r="G75" s="33" t="n">
        <f aca="false">E75*F75</f>
        <v>11.75</v>
      </c>
      <c r="H75" s="23" t="s">
        <v>125</v>
      </c>
      <c r="I75" s="34" t="n">
        <f aca="false">Narxlar!$C$5</f>
        <v>55</v>
      </c>
      <c r="J75" s="35" t="n">
        <f aca="false">G75*I75</f>
        <v>646.25</v>
      </c>
    </row>
    <row r="76" customFormat="false" ht="15" hidden="false" customHeight="false" outlineLevel="0" collapsed="false">
      <c r="A76" s="23" t="n">
        <v>56</v>
      </c>
      <c r="B76" s="6" t="s">
        <v>28</v>
      </c>
      <c r="C76" s="6" t="s">
        <v>61</v>
      </c>
      <c r="D76" s="6" t="s">
        <v>188</v>
      </c>
      <c r="E76" s="7" t="n">
        <f aca="false">Narxlar!$C$49</f>
        <v>0.9</v>
      </c>
      <c r="F76" s="7" t="n">
        <f aca="false">Narxlar!$C$45</f>
        <v>2.5</v>
      </c>
      <c r="G76" s="33" t="n">
        <f aca="false">E76*F76</f>
        <v>2.25</v>
      </c>
      <c r="H76" s="23" t="s">
        <v>125</v>
      </c>
      <c r="I76" s="34" t="n">
        <f aca="false">Narxlar!$C$5</f>
        <v>55</v>
      </c>
      <c r="J76" s="35" t="n">
        <f aca="false">G76*I76</f>
        <v>123.75</v>
      </c>
    </row>
    <row r="77" customFormat="false" ht="15" hidden="false" customHeight="false" outlineLevel="0" collapsed="false">
      <c r="A77" s="23" t="n">
        <v>57</v>
      </c>
      <c r="B77" s="6" t="s">
        <v>28</v>
      </c>
      <c r="C77" s="6" t="s">
        <v>172</v>
      </c>
      <c r="D77" s="6" t="s">
        <v>201</v>
      </c>
      <c r="E77" s="32" t="n">
        <v>2.75</v>
      </c>
      <c r="F77" s="7" t="n">
        <f aca="false">Narxlar!$C$44</f>
        <v>3.5</v>
      </c>
      <c r="G77" s="33" t="n">
        <f aca="false">E77*F77</f>
        <v>9.625</v>
      </c>
      <c r="H77" s="23" t="s">
        <v>125</v>
      </c>
      <c r="I77" s="34" t="n">
        <f aca="false">Narxlar!$C$6</f>
        <v>12</v>
      </c>
      <c r="J77" s="35" t="n">
        <f aca="false">G77*I77</f>
        <v>115.5</v>
      </c>
    </row>
    <row r="78" customFormat="false" ht="15" hidden="false" customHeight="false" outlineLevel="0" collapsed="false">
      <c r="A78" s="23" t="n">
        <v>58</v>
      </c>
      <c r="B78" s="6" t="s">
        <v>28</v>
      </c>
      <c r="C78" s="6" t="s">
        <v>172</v>
      </c>
      <c r="D78" s="6" t="s">
        <v>202</v>
      </c>
      <c r="E78" s="32" t="n">
        <v>2.75</v>
      </c>
      <c r="F78" s="7" t="n">
        <f aca="false">Narxlar!$C$44</f>
        <v>3.5</v>
      </c>
      <c r="G78" s="33" t="n">
        <f aca="false">E78*F78</f>
        <v>9.625</v>
      </c>
      <c r="H78" s="23" t="s">
        <v>125</v>
      </c>
      <c r="I78" s="34" t="n">
        <f aca="false">Narxlar!$C$6</f>
        <v>12</v>
      </c>
      <c r="J78" s="35" t="n">
        <f aca="false">G78*I78</f>
        <v>115.5</v>
      </c>
    </row>
    <row r="79" customFormat="false" ht="15" hidden="false" customHeight="false" outlineLevel="0" collapsed="false">
      <c r="A79" s="23" t="n">
        <v>59</v>
      </c>
      <c r="B79" s="6" t="s">
        <v>28</v>
      </c>
      <c r="C79" s="6" t="s">
        <v>172</v>
      </c>
      <c r="D79" s="6" t="s">
        <v>192</v>
      </c>
      <c r="E79" s="32" t="n">
        <v>0.2</v>
      </c>
      <c r="F79" s="7" t="n">
        <f aca="false">Narxlar!$C$44</f>
        <v>3.5</v>
      </c>
      <c r="G79" s="33" t="n">
        <f aca="false">E79*F79</f>
        <v>0.7</v>
      </c>
      <c r="H79" s="23" t="s">
        <v>125</v>
      </c>
      <c r="I79" s="34" t="n">
        <f aca="false">Narxlar!$C$6</f>
        <v>12</v>
      </c>
      <c r="J79" s="35" t="n">
        <f aca="false">G79*I79</f>
        <v>8.4</v>
      </c>
    </row>
    <row r="80" customFormat="false" ht="15" hidden="false" customHeight="false" outlineLevel="0" collapsed="false">
      <c r="A80" s="23" t="n">
        <v>60</v>
      </c>
      <c r="B80" s="6" t="s">
        <v>28</v>
      </c>
      <c r="C80" s="6" t="s">
        <v>172</v>
      </c>
      <c r="D80" s="6" t="s">
        <v>193</v>
      </c>
      <c r="E80" s="32" t="n">
        <v>4.7</v>
      </c>
      <c r="F80" s="7" t="n">
        <f aca="false">Narxlar!$C$46</f>
        <v>1</v>
      </c>
      <c r="G80" s="33" t="n">
        <f aca="false">E80*F80</f>
        <v>4.7</v>
      </c>
      <c r="H80" s="23" t="s">
        <v>125</v>
      </c>
      <c r="I80" s="34" t="n">
        <f aca="false">Narxlar!$C$6</f>
        <v>12</v>
      </c>
      <c r="J80" s="35" t="n">
        <f aca="false">G80*I80</f>
        <v>56.4</v>
      </c>
    </row>
    <row r="81" customFormat="false" ht="15" hidden="false" customHeight="false" outlineLevel="0" collapsed="false">
      <c r="A81" s="23" t="n">
        <v>61</v>
      </c>
      <c r="B81" s="6" t="s">
        <v>28</v>
      </c>
      <c r="C81" s="6" t="s">
        <v>172</v>
      </c>
      <c r="D81" s="6" t="s">
        <v>195</v>
      </c>
      <c r="E81" s="7" t="n">
        <f aca="false">Narxlar!$C$49</f>
        <v>0.9</v>
      </c>
      <c r="F81" s="7" t="n">
        <f aca="false">Narxlar!$C$46</f>
        <v>1</v>
      </c>
      <c r="G81" s="33" t="n">
        <f aca="false">E81*F81</f>
        <v>0.9</v>
      </c>
      <c r="H81" s="23" t="s">
        <v>125</v>
      </c>
      <c r="I81" s="34" t="n">
        <f aca="false">Narxlar!$C$6</f>
        <v>12</v>
      </c>
      <c r="J81" s="35" t="n">
        <f aca="false">G81*I81</f>
        <v>10.8</v>
      </c>
    </row>
    <row r="82" customFormat="false" ht="15" hidden="false" customHeight="false" outlineLevel="0" collapsed="false">
      <c r="A82" s="23" t="n">
        <v>62</v>
      </c>
      <c r="B82" s="6" t="s">
        <v>28</v>
      </c>
      <c r="C82" s="6" t="s">
        <v>66</v>
      </c>
      <c r="D82" s="6" t="s">
        <v>177</v>
      </c>
      <c r="E82" s="32" t="n">
        <v>7.7</v>
      </c>
      <c r="F82" s="7" t="n">
        <f aca="false">Narxlar!$C$50</f>
        <v>3.5</v>
      </c>
      <c r="G82" s="33" t="n">
        <f aca="false">E82*F82</f>
        <v>26.95</v>
      </c>
      <c r="H82" s="23" t="s">
        <v>125</v>
      </c>
      <c r="I82" s="34" t="n">
        <f aca="false">Narxlar!$C$7</f>
        <v>15.5</v>
      </c>
      <c r="J82" s="35" t="n">
        <f aca="false">G82*I82</f>
        <v>417.725</v>
      </c>
    </row>
    <row r="83" customFormat="false" ht="15" hidden="false" customHeight="false" outlineLevel="0" collapsed="false">
      <c r="A83" s="23" t="n">
        <v>63</v>
      </c>
      <c r="B83" s="6" t="s">
        <v>28</v>
      </c>
      <c r="C83" s="6" t="s">
        <v>66</v>
      </c>
      <c r="D83" s="6" t="s">
        <v>178</v>
      </c>
      <c r="E83" s="32" t="n">
        <v>7.7</v>
      </c>
      <c r="F83" s="7" t="n">
        <f aca="false">Narxlar!$C$50</f>
        <v>3.5</v>
      </c>
      <c r="G83" s="33" t="n">
        <f aca="false">E83*F83</f>
        <v>26.95</v>
      </c>
      <c r="H83" s="23" t="s">
        <v>125</v>
      </c>
      <c r="I83" s="34" t="n">
        <f aca="false">Narxlar!$C$7</f>
        <v>15.5</v>
      </c>
      <c r="J83" s="35" t="n">
        <f aca="false">G83*I83</f>
        <v>417.725</v>
      </c>
    </row>
    <row r="84" customFormat="false" ht="15" hidden="false" customHeight="false" outlineLevel="0" collapsed="false">
      <c r="A84" s="23" t="n">
        <v>64</v>
      </c>
      <c r="B84" s="6" t="s">
        <v>28</v>
      </c>
      <c r="C84" s="6" t="s">
        <v>67</v>
      </c>
      <c r="D84" s="6" t="s">
        <v>179</v>
      </c>
      <c r="E84" s="32"/>
      <c r="F84" s="33"/>
      <c r="G84" s="36" t="n">
        <v>1</v>
      </c>
      <c r="H84" s="23" t="s">
        <v>82</v>
      </c>
      <c r="I84" s="34" t="n">
        <f aca="false">Narxlar!$C$8</f>
        <v>1032</v>
      </c>
      <c r="J84" s="35" t="n">
        <f aca="false">G84*I84</f>
        <v>1032</v>
      </c>
    </row>
    <row r="85" customFormat="false" ht="15" hidden="false" customHeight="false" outlineLevel="0" collapsed="false">
      <c r="A85" s="23" t="n">
        <v>65</v>
      </c>
      <c r="B85" s="6" t="s">
        <v>28</v>
      </c>
      <c r="C85" s="6" t="s">
        <v>180</v>
      </c>
      <c r="D85" s="6" t="s">
        <v>181</v>
      </c>
      <c r="E85" s="32"/>
      <c r="F85" s="33"/>
      <c r="G85" s="36" t="n">
        <v>1</v>
      </c>
      <c r="H85" s="23" t="s">
        <v>182</v>
      </c>
      <c r="I85" s="34" t="n">
        <f aca="false">Narxlar!$C$12</f>
        <v>168</v>
      </c>
      <c r="J85" s="35" t="n">
        <f aca="false">G85*I85</f>
        <v>168</v>
      </c>
    </row>
    <row r="86" customFormat="false" ht="15" hidden="false" customHeight="false" outlineLevel="0" collapsed="false">
      <c r="A86" s="37"/>
      <c r="B86" s="37"/>
      <c r="C86" s="37"/>
      <c r="D86" s="11" t="s">
        <v>203</v>
      </c>
      <c r="E86" s="37"/>
      <c r="F86" s="37"/>
      <c r="G86" s="37"/>
      <c r="H86" s="37"/>
      <c r="I86" s="37"/>
      <c r="J86" s="38" t="n">
        <f aca="false">SUM(J75:J85)</f>
        <v>3112.05</v>
      </c>
    </row>
    <row r="88" customFormat="false" ht="15" hidden="false" customHeight="false" outlineLevel="0" collapsed="false">
      <c r="A88" s="4" t="s">
        <v>29</v>
      </c>
      <c r="B88" s="5"/>
      <c r="C88" s="5"/>
      <c r="D88" s="5"/>
      <c r="E88" s="5"/>
      <c r="F88" s="5"/>
      <c r="G88" s="5"/>
      <c r="H88" s="5"/>
      <c r="I88" s="5"/>
      <c r="J88" s="5"/>
    </row>
    <row r="89" customFormat="false" ht="15" hidden="false" customHeight="false" outlineLevel="0" collapsed="false">
      <c r="A89" s="23" t="n">
        <v>66</v>
      </c>
      <c r="B89" s="6" t="s">
        <v>29</v>
      </c>
      <c r="C89" s="6" t="s">
        <v>61</v>
      </c>
      <c r="D89" s="6" t="s">
        <v>187</v>
      </c>
      <c r="E89" s="32" t="n">
        <v>4.7</v>
      </c>
      <c r="F89" s="7" t="n">
        <f aca="false">Narxlar!$C$45</f>
        <v>2.5</v>
      </c>
      <c r="G89" s="33" t="n">
        <f aca="false">E89*F89</f>
        <v>11.75</v>
      </c>
      <c r="H89" s="23" t="s">
        <v>125</v>
      </c>
      <c r="I89" s="34" t="n">
        <f aca="false">Narxlar!$C$5</f>
        <v>55</v>
      </c>
      <c r="J89" s="35" t="n">
        <f aca="false">G89*I89</f>
        <v>646.25</v>
      </c>
    </row>
    <row r="90" customFormat="false" ht="15" hidden="false" customHeight="false" outlineLevel="0" collapsed="false">
      <c r="A90" s="23" t="n">
        <v>67</v>
      </c>
      <c r="B90" s="6" t="s">
        <v>29</v>
      </c>
      <c r="C90" s="6" t="s">
        <v>61</v>
      </c>
      <c r="D90" s="6" t="s">
        <v>188</v>
      </c>
      <c r="E90" s="7" t="n">
        <f aca="false">Narxlar!$C$49</f>
        <v>0.9</v>
      </c>
      <c r="F90" s="7" t="n">
        <f aca="false">Narxlar!$C$45</f>
        <v>2.5</v>
      </c>
      <c r="G90" s="33" t="n">
        <f aca="false">E90*F90</f>
        <v>2.25</v>
      </c>
      <c r="H90" s="23" t="s">
        <v>125</v>
      </c>
      <c r="I90" s="34" t="n">
        <f aca="false">Narxlar!$C$5</f>
        <v>55</v>
      </c>
      <c r="J90" s="35" t="n">
        <f aca="false">G90*I90</f>
        <v>123.75</v>
      </c>
    </row>
    <row r="91" customFormat="false" ht="15" hidden="false" customHeight="false" outlineLevel="0" collapsed="false">
      <c r="A91" s="23" t="n">
        <v>68</v>
      </c>
      <c r="B91" s="6" t="s">
        <v>29</v>
      </c>
      <c r="C91" s="6" t="s">
        <v>172</v>
      </c>
      <c r="D91" s="6" t="s">
        <v>173</v>
      </c>
      <c r="E91" s="32" t="n">
        <v>1.55</v>
      </c>
      <c r="F91" s="7" t="n">
        <f aca="false">Narxlar!$C$44</f>
        <v>3.5</v>
      </c>
      <c r="G91" s="33" t="n">
        <f aca="false">E91*F91</f>
        <v>5.425</v>
      </c>
      <c r="H91" s="23" t="s">
        <v>125</v>
      </c>
      <c r="I91" s="34" t="n">
        <f aca="false">Narxlar!$C$6</f>
        <v>12</v>
      </c>
      <c r="J91" s="35" t="n">
        <f aca="false">G91*I91</f>
        <v>65.1</v>
      </c>
    </row>
    <row r="92" customFormat="false" ht="15" hidden="false" customHeight="false" outlineLevel="0" collapsed="false">
      <c r="A92" s="23" t="n">
        <v>69</v>
      </c>
      <c r="B92" s="6" t="s">
        <v>29</v>
      </c>
      <c r="C92" s="6" t="s">
        <v>172</v>
      </c>
      <c r="D92" s="6" t="s">
        <v>204</v>
      </c>
      <c r="E92" s="32" t="n">
        <v>2.6</v>
      </c>
      <c r="F92" s="7" t="n">
        <f aca="false">Narxlar!$C$44</f>
        <v>3.5</v>
      </c>
      <c r="G92" s="33" t="n">
        <f aca="false">E92*F92</f>
        <v>9.1</v>
      </c>
      <c r="H92" s="23" t="s">
        <v>125</v>
      </c>
      <c r="I92" s="34" t="n">
        <f aca="false">Narxlar!$C$6</f>
        <v>12</v>
      </c>
      <c r="J92" s="35" t="n">
        <f aca="false">G92*I92</f>
        <v>109.2</v>
      </c>
    </row>
    <row r="93" customFormat="false" ht="15" hidden="false" customHeight="false" outlineLevel="0" collapsed="false">
      <c r="A93" s="23" t="n">
        <v>70</v>
      </c>
      <c r="B93" s="6" t="s">
        <v>29</v>
      </c>
      <c r="C93" s="6" t="s">
        <v>172</v>
      </c>
      <c r="D93" s="6" t="s">
        <v>198</v>
      </c>
      <c r="E93" s="32" t="n">
        <v>2.75</v>
      </c>
      <c r="F93" s="7" t="n">
        <f aca="false">Narxlar!$C$44</f>
        <v>3.5</v>
      </c>
      <c r="G93" s="33" t="n">
        <f aca="false">E93*F93</f>
        <v>9.625</v>
      </c>
      <c r="H93" s="23" t="s">
        <v>125</v>
      </c>
      <c r="I93" s="34" t="n">
        <f aca="false">Narxlar!$C$6</f>
        <v>12</v>
      </c>
      <c r="J93" s="35" t="n">
        <f aca="false">G93*I93</f>
        <v>115.5</v>
      </c>
    </row>
    <row r="94" customFormat="false" ht="15" hidden="false" customHeight="false" outlineLevel="0" collapsed="false">
      <c r="A94" s="23" t="n">
        <v>71</v>
      </c>
      <c r="B94" s="6" t="s">
        <v>29</v>
      </c>
      <c r="C94" s="6" t="s">
        <v>172</v>
      </c>
      <c r="D94" s="6" t="s">
        <v>192</v>
      </c>
      <c r="E94" s="32" t="n">
        <v>0.2</v>
      </c>
      <c r="F94" s="7" t="n">
        <f aca="false">Narxlar!$C$44</f>
        <v>3.5</v>
      </c>
      <c r="G94" s="33" t="n">
        <f aca="false">E94*F94</f>
        <v>0.7</v>
      </c>
      <c r="H94" s="23" t="s">
        <v>125</v>
      </c>
      <c r="I94" s="34" t="n">
        <f aca="false">Narxlar!$C$6</f>
        <v>12</v>
      </c>
      <c r="J94" s="35" t="n">
        <f aca="false">G94*I94</f>
        <v>8.4</v>
      </c>
    </row>
    <row r="95" customFormat="false" ht="15" hidden="false" customHeight="false" outlineLevel="0" collapsed="false">
      <c r="A95" s="23" t="n">
        <v>72</v>
      </c>
      <c r="B95" s="6" t="s">
        <v>29</v>
      </c>
      <c r="C95" s="6" t="s">
        <v>172</v>
      </c>
      <c r="D95" s="6" t="s">
        <v>193</v>
      </c>
      <c r="E95" s="32" t="n">
        <v>4.7</v>
      </c>
      <c r="F95" s="7" t="n">
        <f aca="false">Narxlar!$C$46</f>
        <v>1</v>
      </c>
      <c r="G95" s="33" t="n">
        <f aca="false">E95*F95</f>
        <v>4.7</v>
      </c>
      <c r="H95" s="23" t="s">
        <v>125</v>
      </c>
      <c r="I95" s="34" t="n">
        <f aca="false">Narxlar!$C$6</f>
        <v>12</v>
      </c>
      <c r="J95" s="35" t="n">
        <f aca="false">G95*I95</f>
        <v>56.4</v>
      </c>
    </row>
    <row r="96" customFormat="false" ht="15" hidden="false" customHeight="false" outlineLevel="0" collapsed="false">
      <c r="A96" s="23" t="n">
        <v>73</v>
      </c>
      <c r="B96" s="6" t="s">
        <v>29</v>
      </c>
      <c r="C96" s="6" t="s">
        <v>172</v>
      </c>
      <c r="D96" s="6" t="s">
        <v>195</v>
      </c>
      <c r="E96" s="7" t="n">
        <f aca="false">Narxlar!$C$49</f>
        <v>0.9</v>
      </c>
      <c r="F96" s="7" t="n">
        <f aca="false">Narxlar!$C$46</f>
        <v>1</v>
      </c>
      <c r="G96" s="33" t="n">
        <f aca="false">E96*F96</f>
        <v>0.9</v>
      </c>
      <c r="H96" s="23" t="s">
        <v>125</v>
      </c>
      <c r="I96" s="34" t="n">
        <f aca="false">Narxlar!$C$6</f>
        <v>12</v>
      </c>
      <c r="J96" s="35" t="n">
        <f aca="false">G96*I96</f>
        <v>10.8</v>
      </c>
    </row>
    <row r="97" customFormat="false" ht="15" hidden="false" customHeight="false" outlineLevel="0" collapsed="false">
      <c r="A97" s="23" t="n">
        <v>74</v>
      </c>
      <c r="B97" s="6" t="s">
        <v>29</v>
      </c>
      <c r="C97" s="6" t="s">
        <v>66</v>
      </c>
      <c r="D97" s="6" t="s">
        <v>177</v>
      </c>
      <c r="E97" s="32" t="n">
        <v>7.7</v>
      </c>
      <c r="F97" s="7" t="n">
        <f aca="false">Narxlar!$C$50</f>
        <v>3.5</v>
      </c>
      <c r="G97" s="33" t="n">
        <f aca="false">E97*F97</f>
        <v>26.95</v>
      </c>
      <c r="H97" s="23" t="s">
        <v>125</v>
      </c>
      <c r="I97" s="34" t="n">
        <f aca="false">Narxlar!$C$7</f>
        <v>15.5</v>
      </c>
      <c r="J97" s="35" t="n">
        <f aca="false">G97*I97</f>
        <v>417.725</v>
      </c>
    </row>
    <row r="98" customFormat="false" ht="15" hidden="false" customHeight="false" outlineLevel="0" collapsed="false">
      <c r="A98" s="23" t="n">
        <v>75</v>
      </c>
      <c r="B98" s="6" t="s">
        <v>29</v>
      </c>
      <c r="C98" s="6" t="s">
        <v>66</v>
      </c>
      <c r="D98" s="6" t="s">
        <v>178</v>
      </c>
      <c r="E98" s="32" t="n">
        <v>7.7</v>
      </c>
      <c r="F98" s="7" t="n">
        <f aca="false">Narxlar!$C$50</f>
        <v>3.5</v>
      </c>
      <c r="G98" s="33" t="n">
        <f aca="false">E98*F98</f>
        <v>26.95</v>
      </c>
      <c r="H98" s="23" t="s">
        <v>125</v>
      </c>
      <c r="I98" s="34" t="n">
        <f aca="false">Narxlar!$C$7</f>
        <v>15.5</v>
      </c>
      <c r="J98" s="35" t="n">
        <f aca="false">G98*I98</f>
        <v>417.725</v>
      </c>
    </row>
    <row r="99" customFormat="false" ht="15" hidden="false" customHeight="false" outlineLevel="0" collapsed="false">
      <c r="A99" s="23" t="n">
        <v>76</v>
      </c>
      <c r="B99" s="6" t="s">
        <v>29</v>
      </c>
      <c r="C99" s="6" t="s">
        <v>67</v>
      </c>
      <c r="D99" s="6" t="s">
        <v>179</v>
      </c>
      <c r="E99" s="32"/>
      <c r="F99" s="33"/>
      <c r="G99" s="36" t="n">
        <v>1</v>
      </c>
      <c r="H99" s="23" t="s">
        <v>82</v>
      </c>
      <c r="I99" s="34" t="n">
        <f aca="false">Narxlar!$C$8</f>
        <v>1032</v>
      </c>
      <c r="J99" s="35" t="n">
        <f aca="false">G99*I99</f>
        <v>1032</v>
      </c>
    </row>
    <row r="100" customFormat="false" ht="15" hidden="false" customHeight="false" outlineLevel="0" collapsed="false">
      <c r="A100" s="23" t="n">
        <v>77</v>
      </c>
      <c r="B100" s="6" t="s">
        <v>29</v>
      </c>
      <c r="C100" s="6" t="s">
        <v>180</v>
      </c>
      <c r="D100" s="6" t="s">
        <v>181</v>
      </c>
      <c r="E100" s="32"/>
      <c r="F100" s="33"/>
      <c r="G100" s="36" t="n">
        <v>1</v>
      </c>
      <c r="H100" s="23" t="s">
        <v>182</v>
      </c>
      <c r="I100" s="34" t="n">
        <f aca="false">Narxlar!$C$12</f>
        <v>168</v>
      </c>
      <c r="J100" s="35" t="n">
        <f aca="false">G100*I100</f>
        <v>168</v>
      </c>
    </row>
    <row r="101" customFormat="false" ht="15" hidden="false" customHeight="false" outlineLevel="0" collapsed="false">
      <c r="A101" s="37"/>
      <c r="B101" s="37"/>
      <c r="C101" s="37"/>
      <c r="D101" s="11" t="s">
        <v>205</v>
      </c>
      <c r="E101" s="37"/>
      <c r="F101" s="37"/>
      <c r="G101" s="37"/>
      <c r="H101" s="37"/>
      <c r="I101" s="37"/>
      <c r="J101" s="38" t="n">
        <f aca="false">SUM(J89:J100)</f>
        <v>3170.85</v>
      </c>
    </row>
    <row r="103" customFormat="false" ht="15" hidden="false" customHeight="false" outlineLevel="0" collapsed="false">
      <c r="A103" s="4" t="s">
        <v>32</v>
      </c>
      <c r="B103" s="5"/>
      <c r="C103" s="5"/>
      <c r="D103" s="5"/>
      <c r="E103" s="5"/>
      <c r="F103" s="5"/>
      <c r="G103" s="5"/>
      <c r="H103" s="5"/>
      <c r="I103" s="5"/>
      <c r="J103" s="5"/>
    </row>
    <row r="104" customFormat="false" ht="15" hidden="false" customHeight="false" outlineLevel="0" collapsed="false">
      <c r="A104" s="23" t="n">
        <v>78</v>
      </c>
      <c r="B104" s="6" t="s">
        <v>32</v>
      </c>
      <c r="C104" s="6" t="s">
        <v>61</v>
      </c>
      <c r="D104" s="6" t="s">
        <v>187</v>
      </c>
      <c r="E104" s="32" t="n">
        <v>0.15</v>
      </c>
      <c r="F104" s="7" t="n">
        <f aca="false">Narxlar!$C$45</f>
        <v>2.5</v>
      </c>
      <c r="G104" s="33" t="n">
        <f aca="false">E104*F104</f>
        <v>0.375</v>
      </c>
      <c r="H104" s="23" t="s">
        <v>125</v>
      </c>
      <c r="I104" s="34" t="n">
        <f aca="false">Narxlar!$C$5</f>
        <v>55</v>
      </c>
      <c r="J104" s="35" t="n">
        <f aca="false">G104*I104</f>
        <v>20.625</v>
      </c>
    </row>
    <row r="105" customFormat="false" ht="15" hidden="false" customHeight="false" outlineLevel="0" collapsed="false">
      <c r="A105" s="23" t="n">
        <v>79</v>
      </c>
      <c r="B105" s="6" t="s">
        <v>32</v>
      </c>
      <c r="C105" s="6" t="s">
        <v>61</v>
      </c>
      <c r="D105" s="6" t="s">
        <v>187</v>
      </c>
      <c r="E105" s="32" t="n">
        <v>1.75</v>
      </c>
      <c r="F105" s="7" t="n">
        <f aca="false">Narxlar!$C$45</f>
        <v>2.5</v>
      </c>
      <c r="G105" s="33" t="n">
        <f aca="false">E105*F105</f>
        <v>4.375</v>
      </c>
      <c r="H105" s="23" t="s">
        <v>125</v>
      </c>
      <c r="I105" s="34" t="n">
        <f aca="false">Narxlar!$C$5</f>
        <v>55</v>
      </c>
      <c r="J105" s="35" t="n">
        <f aca="false">G105*I105</f>
        <v>240.625</v>
      </c>
    </row>
    <row r="106" customFormat="false" ht="15" hidden="false" customHeight="false" outlineLevel="0" collapsed="false">
      <c r="A106" s="23" t="n">
        <v>80</v>
      </c>
      <c r="B106" s="6" t="s">
        <v>32</v>
      </c>
      <c r="C106" s="6" t="s">
        <v>61</v>
      </c>
      <c r="D106" s="6" t="s">
        <v>188</v>
      </c>
      <c r="E106" s="7" t="n">
        <f aca="false">Narxlar!$C$49</f>
        <v>0.9</v>
      </c>
      <c r="F106" s="7" t="n">
        <f aca="false">Narxlar!$C$45</f>
        <v>2.5</v>
      </c>
      <c r="G106" s="33" t="n">
        <f aca="false">E106*F106</f>
        <v>2.25</v>
      </c>
      <c r="H106" s="23" t="s">
        <v>125</v>
      </c>
      <c r="I106" s="34" t="n">
        <f aca="false">Narxlar!$C$5</f>
        <v>55</v>
      </c>
      <c r="J106" s="35" t="n">
        <f aca="false">G106*I106</f>
        <v>123.75</v>
      </c>
    </row>
    <row r="107" customFormat="false" ht="15" hidden="false" customHeight="false" outlineLevel="0" collapsed="false">
      <c r="A107" s="23" t="n">
        <v>81</v>
      </c>
      <c r="B107" s="6" t="s">
        <v>32</v>
      </c>
      <c r="C107" s="6" t="s">
        <v>172</v>
      </c>
      <c r="D107" s="6" t="s">
        <v>173</v>
      </c>
      <c r="E107" s="32" t="n">
        <v>0.6</v>
      </c>
      <c r="F107" s="7" t="n">
        <f aca="false">Narxlar!$C$44</f>
        <v>3.5</v>
      </c>
      <c r="G107" s="33" t="n">
        <f aca="false">E107*F107</f>
        <v>2.1</v>
      </c>
      <c r="H107" s="23" t="s">
        <v>125</v>
      </c>
      <c r="I107" s="34" t="n">
        <f aca="false">Narxlar!$C$6</f>
        <v>12</v>
      </c>
      <c r="J107" s="35" t="n">
        <f aca="false">G107*I107</f>
        <v>25.2</v>
      </c>
    </row>
    <row r="108" customFormat="false" ht="15" hidden="false" customHeight="false" outlineLevel="0" collapsed="false">
      <c r="A108" s="23" t="n">
        <v>82</v>
      </c>
      <c r="B108" s="6" t="s">
        <v>32</v>
      </c>
      <c r="C108" s="6" t="s">
        <v>172</v>
      </c>
      <c r="D108" s="6" t="s">
        <v>206</v>
      </c>
      <c r="E108" s="32" t="n">
        <v>2.8</v>
      </c>
      <c r="F108" s="7" t="n">
        <f aca="false">Narxlar!$C$44</f>
        <v>3.5</v>
      </c>
      <c r="G108" s="33" t="n">
        <f aca="false">E108*F108</f>
        <v>9.8</v>
      </c>
      <c r="H108" s="23" t="s">
        <v>125</v>
      </c>
      <c r="I108" s="34" t="n">
        <f aca="false">Narxlar!$C$6</f>
        <v>12</v>
      </c>
      <c r="J108" s="35" t="n">
        <f aca="false">G108*I108</f>
        <v>117.6</v>
      </c>
    </row>
    <row r="109" customFormat="false" ht="15" hidden="false" customHeight="false" outlineLevel="0" collapsed="false">
      <c r="A109" s="23" t="n">
        <v>83</v>
      </c>
      <c r="B109" s="6" t="s">
        <v>32</v>
      </c>
      <c r="C109" s="6" t="s">
        <v>172</v>
      </c>
      <c r="D109" s="6" t="s">
        <v>207</v>
      </c>
      <c r="E109" s="32" t="n">
        <v>5.6</v>
      </c>
      <c r="F109" s="7" t="n">
        <f aca="false">Narxlar!$C$44</f>
        <v>3.5</v>
      </c>
      <c r="G109" s="33" t="n">
        <f aca="false">E109*F109</f>
        <v>19.6</v>
      </c>
      <c r="H109" s="23" t="s">
        <v>125</v>
      </c>
      <c r="I109" s="34" t="n">
        <f aca="false">Narxlar!$C$6</f>
        <v>12</v>
      </c>
      <c r="J109" s="35" t="n">
        <f aca="false">G109*I109</f>
        <v>235.2</v>
      </c>
    </row>
    <row r="110" customFormat="false" ht="15" hidden="false" customHeight="false" outlineLevel="0" collapsed="false">
      <c r="A110" s="23" t="n">
        <v>84</v>
      </c>
      <c r="B110" s="6" t="s">
        <v>32</v>
      </c>
      <c r="C110" s="6" t="s">
        <v>172</v>
      </c>
      <c r="D110" s="6" t="s">
        <v>193</v>
      </c>
      <c r="E110" s="32" t="n">
        <v>0.15</v>
      </c>
      <c r="F110" s="7" t="n">
        <f aca="false">Narxlar!$C$46</f>
        <v>1</v>
      </c>
      <c r="G110" s="33" t="n">
        <f aca="false">E110*F110</f>
        <v>0.15</v>
      </c>
      <c r="H110" s="23" t="s">
        <v>125</v>
      </c>
      <c r="I110" s="34" t="n">
        <f aca="false">Narxlar!$C$6</f>
        <v>12</v>
      </c>
      <c r="J110" s="35" t="n">
        <f aca="false">G110*I110</f>
        <v>1.8</v>
      </c>
    </row>
    <row r="111" customFormat="false" ht="15" hidden="false" customHeight="false" outlineLevel="0" collapsed="false">
      <c r="A111" s="23" t="n">
        <v>85</v>
      </c>
      <c r="B111" s="6" t="s">
        <v>32</v>
      </c>
      <c r="C111" s="6" t="s">
        <v>172</v>
      </c>
      <c r="D111" s="6" t="s">
        <v>193</v>
      </c>
      <c r="E111" s="32" t="n">
        <v>1.75</v>
      </c>
      <c r="F111" s="7" t="n">
        <f aca="false">Narxlar!$C$46</f>
        <v>1</v>
      </c>
      <c r="G111" s="33" t="n">
        <f aca="false">E111*F111</f>
        <v>1.75</v>
      </c>
      <c r="H111" s="23" t="s">
        <v>125</v>
      </c>
      <c r="I111" s="34" t="n">
        <f aca="false">Narxlar!$C$6</f>
        <v>12</v>
      </c>
      <c r="J111" s="35" t="n">
        <f aca="false">G111*I111</f>
        <v>21</v>
      </c>
    </row>
    <row r="112" customFormat="false" ht="15" hidden="false" customHeight="false" outlineLevel="0" collapsed="false">
      <c r="A112" s="23" t="n">
        <v>86</v>
      </c>
      <c r="B112" s="6" t="s">
        <v>32</v>
      </c>
      <c r="C112" s="6" t="s">
        <v>172</v>
      </c>
      <c r="D112" s="6" t="s">
        <v>195</v>
      </c>
      <c r="E112" s="7" t="n">
        <f aca="false">Narxlar!$C$49</f>
        <v>0.9</v>
      </c>
      <c r="F112" s="7" t="n">
        <f aca="false">Narxlar!$C$46</f>
        <v>1</v>
      </c>
      <c r="G112" s="33" t="n">
        <f aca="false">E112*F112</f>
        <v>0.9</v>
      </c>
      <c r="H112" s="23" t="s">
        <v>125</v>
      </c>
      <c r="I112" s="34" t="n">
        <f aca="false">Narxlar!$C$6</f>
        <v>12</v>
      </c>
      <c r="J112" s="35" t="n">
        <f aca="false">G112*I112</f>
        <v>10.8</v>
      </c>
    </row>
    <row r="113" customFormat="false" ht="15" hidden="false" customHeight="false" outlineLevel="0" collapsed="false">
      <c r="A113" s="23" t="n">
        <v>87</v>
      </c>
      <c r="B113" s="6" t="s">
        <v>32</v>
      </c>
      <c r="C113" s="6" t="s">
        <v>66</v>
      </c>
      <c r="D113" s="6" t="s">
        <v>208</v>
      </c>
      <c r="E113" s="32" t="n">
        <v>5.6</v>
      </c>
      <c r="F113" s="7" t="n">
        <f aca="false">Narxlar!$C$50</f>
        <v>3.5</v>
      </c>
      <c r="G113" s="33" t="n">
        <f aca="false">E113*F113</f>
        <v>19.6</v>
      </c>
      <c r="H113" s="23" t="s">
        <v>125</v>
      </c>
      <c r="I113" s="34" t="n">
        <f aca="false">Narxlar!$C$7</f>
        <v>15.5</v>
      </c>
      <c r="J113" s="35" t="n">
        <f aca="false">G113*I113</f>
        <v>303.8</v>
      </c>
    </row>
    <row r="114" customFormat="false" ht="15" hidden="false" customHeight="false" outlineLevel="0" collapsed="false">
      <c r="A114" s="23" t="n">
        <v>88</v>
      </c>
      <c r="B114" s="6" t="s">
        <v>32</v>
      </c>
      <c r="C114" s="6" t="s">
        <v>66</v>
      </c>
      <c r="D114" s="6" t="s">
        <v>207</v>
      </c>
      <c r="E114" s="32" t="n">
        <v>5.6</v>
      </c>
      <c r="F114" s="7" t="n">
        <f aca="false">Narxlar!$C$50</f>
        <v>3.5</v>
      </c>
      <c r="G114" s="33" t="n">
        <f aca="false">E114*F114</f>
        <v>19.6</v>
      </c>
      <c r="H114" s="23" t="s">
        <v>125</v>
      </c>
      <c r="I114" s="34" t="n">
        <f aca="false">Narxlar!$C$7</f>
        <v>15.5</v>
      </c>
      <c r="J114" s="35" t="n">
        <f aca="false">G114*I114</f>
        <v>303.8</v>
      </c>
    </row>
    <row r="115" customFormat="false" ht="15" hidden="false" customHeight="false" outlineLevel="0" collapsed="false">
      <c r="A115" s="23" t="n">
        <v>89</v>
      </c>
      <c r="B115" s="6" t="s">
        <v>32</v>
      </c>
      <c r="C115" s="6" t="s">
        <v>180</v>
      </c>
      <c r="D115" s="6" t="s">
        <v>181</v>
      </c>
      <c r="E115" s="32"/>
      <c r="F115" s="33"/>
      <c r="G115" s="36" t="n">
        <v>1</v>
      </c>
      <c r="H115" s="23" t="s">
        <v>182</v>
      </c>
      <c r="I115" s="34" t="n">
        <f aca="false">Narxlar!$C$12</f>
        <v>168</v>
      </c>
      <c r="J115" s="35" t="n">
        <f aca="false">G115*I115</f>
        <v>168</v>
      </c>
    </row>
    <row r="116" customFormat="false" ht="15" hidden="false" customHeight="false" outlineLevel="0" collapsed="false">
      <c r="A116" s="37"/>
      <c r="B116" s="37"/>
      <c r="C116" s="37"/>
      <c r="D116" s="11" t="s">
        <v>209</v>
      </c>
      <c r="E116" s="37"/>
      <c r="F116" s="37"/>
      <c r="G116" s="37"/>
      <c r="H116" s="37"/>
      <c r="I116" s="37"/>
      <c r="J116" s="38" t="n">
        <f aca="false">SUM(J104:J115)</f>
        <v>1572.2</v>
      </c>
    </row>
    <row r="118" customFormat="false" ht="15" hidden="false" customHeight="false" outlineLevel="0" collapsed="false">
      <c r="A118" s="4" t="s">
        <v>33</v>
      </c>
      <c r="B118" s="5"/>
      <c r="C118" s="5"/>
      <c r="D118" s="5"/>
      <c r="E118" s="5"/>
      <c r="F118" s="5"/>
      <c r="G118" s="5"/>
      <c r="H118" s="5"/>
      <c r="I118" s="5"/>
      <c r="J118" s="5"/>
    </row>
    <row r="119" customFormat="false" ht="15" hidden="false" customHeight="false" outlineLevel="0" collapsed="false">
      <c r="A119" s="23" t="n">
        <v>90</v>
      </c>
      <c r="B119" s="6" t="s">
        <v>33</v>
      </c>
      <c r="C119" s="6" t="s">
        <v>61</v>
      </c>
      <c r="D119" s="6" t="s">
        <v>187</v>
      </c>
      <c r="E119" s="32" t="n">
        <v>0.15</v>
      </c>
      <c r="F119" s="7" t="n">
        <f aca="false">Narxlar!$C$45</f>
        <v>2.5</v>
      </c>
      <c r="G119" s="33" t="n">
        <f aca="false">E119*F119</f>
        <v>0.375</v>
      </c>
      <c r="H119" s="23" t="s">
        <v>125</v>
      </c>
      <c r="I119" s="34" t="n">
        <f aca="false">Narxlar!$C$5</f>
        <v>55</v>
      </c>
      <c r="J119" s="35" t="n">
        <f aca="false">G119*I119</f>
        <v>20.625</v>
      </c>
    </row>
    <row r="120" customFormat="false" ht="15" hidden="false" customHeight="false" outlineLevel="0" collapsed="false">
      <c r="A120" s="23" t="n">
        <v>91</v>
      </c>
      <c r="B120" s="6" t="s">
        <v>33</v>
      </c>
      <c r="C120" s="6" t="s">
        <v>61</v>
      </c>
      <c r="D120" s="6" t="s">
        <v>187</v>
      </c>
      <c r="E120" s="32" t="n">
        <v>1.75</v>
      </c>
      <c r="F120" s="7" t="n">
        <f aca="false">Narxlar!$C$45</f>
        <v>2.5</v>
      </c>
      <c r="G120" s="33" t="n">
        <f aca="false">E120*F120</f>
        <v>4.375</v>
      </c>
      <c r="H120" s="23" t="s">
        <v>125</v>
      </c>
      <c r="I120" s="34" t="n">
        <f aca="false">Narxlar!$C$5</f>
        <v>55</v>
      </c>
      <c r="J120" s="35" t="n">
        <f aca="false">G120*I120</f>
        <v>240.625</v>
      </c>
    </row>
    <row r="121" customFormat="false" ht="15" hidden="false" customHeight="false" outlineLevel="0" collapsed="false">
      <c r="A121" s="23" t="n">
        <v>92</v>
      </c>
      <c r="B121" s="6" t="s">
        <v>33</v>
      </c>
      <c r="C121" s="6" t="s">
        <v>61</v>
      </c>
      <c r="D121" s="6" t="s">
        <v>188</v>
      </c>
      <c r="E121" s="7" t="n">
        <f aca="false">Narxlar!$C$49</f>
        <v>0.9</v>
      </c>
      <c r="F121" s="7" t="n">
        <f aca="false">Narxlar!$C$45</f>
        <v>2.5</v>
      </c>
      <c r="G121" s="33" t="n">
        <f aca="false">E121*F121</f>
        <v>2.25</v>
      </c>
      <c r="H121" s="23" t="s">
        <v>125</v>
      </c>
      <c r="I121" s="34" t="n">
        <f aca="false">Narxlar!$C$5</f>
        <v>55</v>
      </c>
      <c r="J121" s="35" t="n">
        <f aca="false">G121*I121</f>
        <v>123.75</v>
      </c>
    </row>
    <row r="122" customFormat="false" ht="15" hidden="false" customHeight="false" outlineLevel="0" collapsed="false">
      <c r="A122" s="23" t="n">
        <v>93</v>
      </c>
      <c r="B122" s="6" t="s">
        <v>33</v>
      </c>
      <c r="C122" s="6" t="s">
        <v>172</v>
      </c>
      <c r="D122" s="6" t="s">
        <v>210</v>
      </c>
      <c r="E122" s="32" t="n">
        <v>0.9</v>
      </c>
      <c r="F122" s="7" t="n">
        <f aca="false">Narxlar!$C$44</f>
        <v>3.5</v>
      </c>
      <c r="G122" s="33" t="n">
        <f aca="false">E122*F122</f>
        <v>3.15</v>
      </c>
      <c r="H122" s="23" t="s">
        <v>125</v>
      </c>
      <c r="I122" s="34" t="n">
        <f aca="false">Narxlar!$C$6</f>
        <v>12</v>
      </c>
      <c r="J122" s="35" t="n">
        <f aca="false">G122*I122</f>
        <v>37.8</v>
      </c>
    </row>
    <row r="123" customFormat="false" ht="15" hidden="false" customHeight="false" outlineLevel="0" collapsed="false">
      <c r="A123" s="23" t="n">
        <v>94</v>
      </c>
      <c r="B123" s="6" t="s">
        <v>33</v>
      </c>
      <c r="C123" s="6" t="s">
        <v>172</v>
      </c>
      <c r="D123" s="6" t="s">
        <v>206</v>
      </c>
      <c r="E123" s="32" t="n">
        <v>2.8</v>
      </c>
      <c r="F123" s="7" t="n">
        <f aca="false">Narxlar!$C$44</f>
        <v>3.5</v>
      </c>
      <c r="G123" s="33" t="n">
        <f aca="false">E123*F123</f>
        <v>9.8</v>
      </c>
      <c r="H123" s="23" t="s">
        <v>125</v>
      </c>
      <c r="I123" s="34" t="n">
        <f aca="false">Narxlar!$C$6</f>
        <v>12</v>
      </c>
      <c r="J123" s="35" t="n">
        <f aca="false">G123*I123</f>
        <v>117.6</v>
      </c>
    </row>
    <row r="124" customFormat="false" ht="15" hidden="false" customHeight="false" outlineLevel="0" collapsed="false">
      <c r="A124" s="23" t="n">
        <v>95</v>
      </c>
      <c r="B124" s="6" t="s">
        <v>33</v>
      </c>
      <c r="C124" s="6" t="s">
        <v>172</v>
      </c>
      <c r="D124" s="6" t="s">
        <v>211</v>
      </c>
      <c r="E124" s="32" t="n">
        <v>5.6</v>
      </c>
      <c r="F124" s="7" t="n">
        <f aca="false">Narxlar!$C$44</f>
        <v>3.5</v>
      </c>
      <c r="G124" s="33" t="n">
        <f aca="false">E124*F124</f>
        <v>19.6</v>
      </c>
      <c r="H124" s="23" t="s">
        <v>125</v>
      </c>
      <c r="I124" s="34" t="n">
        <f aca="false">Narxlar!$C$6</f>
        <v>12</v>
      </c>
      <c r="J124" s="35" t="n">
        <f aca="false">G124*I124</f>
        <v>235.2</v>
      </c>
    </row>
    <row r="125" customFormat="false" ht="15" hidden="false" customHeight="false" outlineLevel="0" collapsed="false">
      <c r="A125" s="23" t="n">
        <v>96</v>
      </c>
      <c r="B125" s="6" t="s">
        <v>33</v>
      </c>
      <c r="C125" s="6" t="s">
        <v>172</v>
      </c>
      <c r="D125" s="6" t="s">
        <v>193</v>
      </c>
      <c r="E125" s="32" t="n">
        <v>0.15</v>
      </c>
      <c r="F125" s="7" t="n">
        <f aca="false">Narxlar!$C$46</f>
        <v>1</v>
      </c>
      <c r="G125" s="33" t="n">
        <f aca="false">E125*F125</f>
        <v>0.15</v>
      </c>
      <c r="H125" s="23" t="s">
        <v>125</v>
      </c>
      <c r="I125" s="34" t="n">
        <f aca="false">Narxlar!$C$6</f>
        <v>12</v>
      </c>
      <c r="J125" s="35" t="n">
        <f aca="false">G125*I125</f>
        <v>1.8</v>
      </c>
    </row>
    <row r="126" customFormat="false" ht="15" hidden="false" customHeight="false" outlineLevel="0" collapsed="false">
      <c r="A126" s="23" t="n">
        <v>97</v>
      </c>
      <c r="B126" s="6" t="s">
        <v>33</v>
      </c>
      <c r="C126" s="6" t="s">
        <v>172</v>
      </c>
      <c r="D126" s="6" t="s">
        <v>193</v>
      </c>
      <c r="E126" s="32" t="n">
        <v>1.75</v>
      </c>
      <c r="F126" s="7" t="n">
        <f aca="false">Narxlar!$C$46</f>
        <v>1</v>
      </c>
      <c r="G126" s="33" t="n">
        <f aca="false">E126*F126</f>
        <v>1.75</v>
      </c>
      <c r="H126" s="23" t="s">
        <v>125</v>
      </c>
      <c r="I126" s="34" t="n">
        <f aca="false">Narxlar!$C$6</f>
        <v>12</v>
      </c>
      <c r="J126" s="35" t="n">
        <f aca="false">G126*I126</f>
        <v>21</v>
      </c>
    </row>
    <row r="127" customFormat="false" ht="15" hidden="false" customHeight="false" outlineLevel="0" collapsed="false">
      <c r="A127" s="23" t="n">
        <v>98</v>
      </c>
      <c r="B127" s="6" t="s">
        <v>33</v>
      </c>
      <c r="C127" s="6" t="s">
        <v>172</v>
      </c>
      <c r="D127" s="6" t="s">
        <v>195</v>
      </c>
      <c r="E127" s="7" t="n">
        <f aca="false">Narxlar!$C$49</f>
        <v>0.9</v>
      </c>
      <c r="F127" s="7" t="n">
        <f aca="false">Narxlar!$C$46</f>
        <v>1</v>
      </c>
      <c r="G127" s="33" t="n">
        <f aca="false">E127*F127</f>
        <v>0.9</v>
      </c>
      <c r="H127" s="23" t="s">
        <v>125</v>
      </c>
      <c r="I127" s="34" t="n">
        <f aca="false">Narxlar!$C$6</f>
        <v>12</v>
      </c>
      <c r="J127" s="35" t="n">
        <f aca="false">G127*I127</f>
        <v>10.8</v>
      </c>
    </row>
    <row r="128" customFormat="false" ht="15" hidden="false" customHeight="false" outlineLevel="0" collapsed="false">
      <c r="A128" s="23" t="n">
        <v>99</v>
      </c>
      <c r="B128" s="6" t="s">
        <v>33</v>
      </c>
      <c r="C128" s="6" t="s">
        <v>66</v>
      </c>
      <c r="D128" s="6" t="s">
        <v>211</v>
      </c>
      <c r="E128" s="32" t="n">
        <v>5.6</v>
      </c>
      <c r="F128" s="7" t="n">
        <f aca="false">Narxlar!$C$50</f>
        <v>3.5</v>
      </c>
      <c r="G128" s="33" t="n">
        <f aca="false">E128*F128</f>
        <v>19.6</v>
      </c>
      <c r="H128" s="23" t="s">
        <v>125</v>
      </c>
      <c r="I128" s="34" t="n">
        <f aca="false">Narxlar!$C$7</f>
        <v>15.5</v>
      </c>
      <c r="J128" s="35" t="n">
        <f aca="false">G128*I128</f>
        <v>303.8</v>
      </c>
    </row>
    <row r="129" customFormat="false" ht="15" hidden="false" customHeight="false" outlineLevel="0" collapsed="false">
      <c r="A129" s="23" t="n">
        <v>100</v>
      </c>
      <c r="B129" s="6" t="s">
        <v>33</v>
      </c>
      <c r="C129" s="6" t="s">
        <v>66</v>
      </c>
      <c r="D129" s="6" t="s">
        <v>212</v>
      </c>
      <c r="E129" s="32" t="n">
        <v>5.6</v>
      </c>
      <c r="F129" s="7" t="n">
        <f aca="false">Narxlar!$C$50</f>
        <v>3.5</v>
      </c>
      <c r="G129" s="33" t="n">
        <f aca="false">E129*F129</f>
        <v>19.6</v>
      </c>
      <c r="H129" s="23" t="s">
        <v>125</v>
      </c>
      <c r="I129" s="34" t="n">
        <f aca="false">Narxlar!$C$7</f>
        <v>15.5</v>
      </c>
      <c r="J129" s="35" t="n">
        <f aca="false">G129*I129</f>
        <v>303.8</v>
      </c>
    </row>
    <row r="130" customFormat="false" ht="15" hidden="false" customHeight="false" outlineLevel="0" collapsed="false">
      <c r="A130" s="23" t="n">
        <v>101</v>
      </c>
      <c r="B130" s="6" t="s">
        <v>33</v>
      </c>
      <c r="C130" s="6" t="s">
        <v>180</v>
      </c>
      <c r="D130" s="6" t="s">
        <v>181</v>
      </c>
      <c r="E130" s="32"/>
      <c r="F130" s="33"/>
      <c r="G130" s="36" t="n">
        <v>1</v>
      </c>
      <c r="H130" s="23" t="s">
        <v>182</v>
      </c>
      <c r="I130" s="34" t="n">
        <f aca="false">Narxlar!$C$12</f>
        <v>168</v>
      </c>
      <c r="J130" s="35" t="n">
        <f aca="false">G130*I130</f>
        <v>168</v>
      </c>
    </row>
    <row r="131" customFormat="false" ht="15" hidden="false" customHeight="false" outlineLevel="0" collapsed="false">
      <c r="A131" s="37"/>
      <c r="B131" s="37"/>
      <c r="C131" s="37"/>
      <c r="D131" s="11" t="s">
        <v>213</v>
      </c>
      <c r="E131" s="37"/>
      <c r="F131" s="37"/>
      <c r="G131" s="37"/>
      <c r="H131" s="37"/>
      <c r="I131" s="37"/>
      <c r="J131" s="38" t="n">
        <f aca="false">SUM(J119:J130)</f>
        <v>1584.8</v>
      </c>
    </row>
    <row r="133" customFormat="false" ht="15" hidden="false" customHeight="false" outlineLevel="0" collapsed="false">
      <c r="A133" s="4" t="s">
        <v>34</v>
      </c>
      <c r="B133" s="5"/>
      <c r="C133" s="5"/>
      <c r="D133" s="5"/>
      <c r="E133" s="5"/>
      <c r="F133" s="5"/>
      <c r="G133" s="5"/>
      <c r="H133" s="5"/>
      <c r="I133" s="5"/>
      <c r="J133" s="5"/>
    </row>
    <row r="134" customFormat="false" ht="15" hidden="false" customHeight="false" outlineLevel="0" collapsed="false">
      <c r="A134" s="23" t="n">
        <v>102</v>
      </c>
      <c r="B134" s="6" t="s">
        <v>34</v>
      </c>
      <c r="C134" s="6" t="s">
        <v>61</v>
      </c>
      <c r="D134" s="6" t="s">
        <v>170</v>
      </c>
      <c r="E134" s="32" t="n">
        <v>0.15</v>
      </c>
      <c r="F134" s="7" t="n">
        <f aca="false">Narxlar!$C$45</f>
        <v>2.5</v>
      </c>
      <c r="G134" s="33" t="n">
        <f aca="false">E134*F134</f>
        <v>0.375</v>
      </c>
      <c r="H134" s="23" t="s">
        <v>125</v>
      </c>
      <c r="I134" s="34" t="n">
        <f aca="false">Narxlar!$C$5</f>
        <v>55</v>
      </c>
      <c r="J134" s="35" t="n">
        <f aca="false">G134*I134</f>
        <v>20.625</v>
      </c>
    </row>
    <row r="135" customFormat="false" ht="15" hidden="false" customHeight="false" outlineLevel="0" collapsed="false">
      <c r="A135" s="23" t="n">
        <v>103</v>
      </c>
      <c r="B135" s="6" t="s">
        <v>34</v>
      </c>
      <c r="C135" s="6" t="s">
        <v>61</v>
      </c>
      <c r="D135" s="6" t="s">
        <v>170</v>
      </c>
      <c r="E135" s="32" t="n">
        <v>1.8</v>
      </c>
      <c r="F135" s="7" t="n">
        <f aca="false">Narxlar!$C$45</f>
        <v>2.5</v>
      </c>
      <c r="G135" s="33" t="n">
        <f aca="false">E135*F135</f>
        <v>4.5</v>
      </c>
      <c r="H135" s="23" t="s">
        <v>125</v>
      </c>
      <c r="I135" s="34" t="n">
        <f aca="false">Narxlar!$C$5</f>
        <v>55</v>
      </c>
      <c r="J135" s="35" t="n">
        <f aca="false">G135*I135</f>
        <v>247.5</v>
      </c>
    </row>
    <row r="136" customFormat="false" ht="15" hidden="false" customHeight="false" outlineLevel="0" collapsed="false">
      <c r="A136" s="23" t="n">
        <v>104</v>
      </c>
      <c r="B136" s="6" t="s">
        <v>34</v>
      </c>
      <c r="C136" s="6" t="s">
        <v>61</v>
      </c>
      <c r="D136" s="6" t="s">
        <v>171</v>
      </c>
      <c r="E136" s="7" t="n">
        <f aca="false">Narxlar!$C$49</f>
        <v>0.9</v>
      </c>
      <c r="F136" s="7" t="n">
        <f aca="false">Narxlar!$C$45</f>
        <v>2.5</v>
      </c>
      <c r="G136" s="33" t="n">
        <f aca="false">E136*F136</f>
        <v>2.25</v>
      </c>
      <c r="H136" s="23" t="s">
        <v>125</v>
      </c>
      <c r="I136" s="34" t="n">
        <f aca="false">Narxlar!$C$5</f>
        <v>55</v>
      </c>
      <c r="J136" s="35" t="n">
        <f aca="false">G136*I136</f>
        <v>123.75</v>
      </c>
    </row>
    <row r="137" customFormat="false" ht="15" hidden="false" customHeight="false" outlineLevel="0" collapsed="false">
      <c r="A137" s="23" t="n">
        <v>105</v>
      </c>
      <c r="B137" s="6" t="s">
        <v>34</v>
      </c>
      <c r="C137" s="6" t="s">
        <v>172</v>
      </c>
      <c r="D137" s="6" t="s">
        <v>214</v>
      </c>
      <c r="E137" s="32" t="n">
        <v>0.9</v>
      </c>
      <c r="F137" s="7" t="n">
        <f aca="false">Narxlar!$C$44</f>
        <v>3.5</v>
      </c>
      <c r="G137" s="33" t="n">
        <f aca="false">E137*F137</f>
        <v>3.15</v>
      </c>
      <c r="H137" s="23" t="s">
        <v>125</v>
      </c>
      <c r="I137" s="34" t="n">
        <f aca="false">Narxlar!$C$6</f>
        <v>12</v>
      </c>
      <c r="J137" s="35" t="n">
        <f aca="false">G137*I137</f>
        <v>37.8</v>
      </c>
    </row>
    <row r="138" customFormat="false" ht="15" hidden="false" customHeight="false" outlineLevel="0" collapsed="false">
      <c r="A138" s="23" t="n">
        <v>106</v>
      </c>
      <c r="B138" s="6" t="s">
        <v>34</v>
      </c>
      <c r="C138" s="6" t="s">
        <v>172</v>
      </c>
      <c r="D138" s="6" t="s">
        <v>174</v>
      </c>
      <c r="E138" s="32" t="n">
        <v>0.15</v>
      </c>
      <c r="F138" s="7" t="n">
        <f aca="false">Narxlar!$C$46</f>
        <v>1</v>
      </c>
      <c r="G138" s="33" t="n">
        <f aca="false">E138*F138</f>
        <v>0.15</v>
      </c>
      <c r="H138" s="23" t="s">
        <v>125</v>
      </c>
      <c r="I138" s="34" t="n">
        <f aca="false">Narxlar!$C$6</f>
        <v>12</v>
      </c>
      <c r="J138" s="35" t="n">
        <f aca="false">G138*I138</f>
        <v>1.8</v>
      </c>
    </row>
    <row r="139" customFormat="false" ht="15" hidden="false" customHeight="false" outlineLevel="0" collapsed="false">
      <c r="A139" s="23" t="n">
        <v>107</v>
      </c>
      <c r="B139" s="6" t="s">
        <v>34</v>
      </c>
      <c r="C139" s="6" t="s">
        <v>172</v>
      </c>
      <c r="D139" s="6" t="s">
        <v>174</v>
      </c>
      <c r="E139" s="32" t="n">
        <v>1.8</v>
      </c>
      <c r="F139" s="7" t="n">
        <f aca="false">Narxlar!$C$46</f>
        <v>1</v>
      </c>
      <c r="G139" s="33" t="n">
        <f aca="false">E139*F139</f>
        <v>1.8</v>
      </c>
      <c r="H139" s="23" t="s">
        <v>125</v>
      </c>
      <c r="I139" s="34" t="n">
        <f aca="false">Narxlar!$C$6</f>
        <v>12</v>
      </c>
      <c r="J139" s="35" t="n">
        <f aca="false">G139*I139</f>
        <v>21.6</v>
      </c>
    </row>
    <row r="140" customFormat="false" ht="15" hidden="false" customHeight="false" outlineLevel="0" collapsed="false">
      <c r="A140" s="23" t="n">
        <v>108</v>
      </c>
      <c r="B140" s="6" t="s">
        <v>34</v>
      </c>
      <c r="C140" s="6" t="s">
        <v>172</v>
      </c>
      <c r="D140" s="6" t="s">
        <v>215</v>
      </c>
      <c r="E140" s="32" t="n">
        <v>5.6</v>
      </c>
      <c r="F140" s="7" t="n">
        <f aca="false">Narxlar!$C$44</f>
        <v>3.5</v>
      </c>
      <c r="G140" s="33" t="n">
        <f aca="false">E140*F140</f>
        <v>19.6</v>
      </c>
      <c r="H140" s="23" t="s">
        <v>125</v>
      </c>
      <c r="I140" s="34" t="n">
        <f aca="false">Narxlar!$C$6</f>
        <v>12</v>
      </c>
      <c r="J140" s="35" t="n">
        <f aca="false">G140*I140</f>
        <v>235.2</v>
      </c>
    </row>
    <row r="141" customFormat="false" ht="15" hidden="false" customHeight="false" outlineLevel="0" collapsed="false">
      <c r="A141" s="23" t="n">
        <v>109</v>
      </c>
      <c r="B141" s="6" t="s">
        <v>34</v>
      </c>
      <c r="C141" s="6" t="s">
        <v>172</v>
      </c>
      <c r="D141" s="6" t="s">
        <v>216</v>
      </c>
      <c r="E141" s="32" t="n">
        <v>2.85</v>
      </c>
      <c r="F141" s="7" t="n">
        <f aca="false">Narxlar!$C$44</f>
        <v>3.5</v>
      </c>
      <c r="G141" s="33" t="n">
        <f aca="false">E141*F141</f>
        <v>9.975</v>
      </c>
      <c r="H141" s="23" t="s">
        <v>125</v>
      </c>
      <c r="I141" s="34" t="n">
        <f aca="false">Narxlar!$C$6</f>
        <v>12</v>
      </c>
      <c r="J141" s="35" t="n">
        <f aca="false">G141*I141</f>
        <v>119.7</v>
      </c>
    </row>
    <row r="142" customFormat="false" ht="15" hidden="false" customHeight="false" outlineLevel="0" collapsed="false">
      <c r="A142" s="23" t="n">
        <v>110</v>
      </c>
      <c r="B142" s="6" t="s">
        <v>34</v>
      </c>
      <c r="C142" s="6" t="s">
        <v>172</v>
      </c>
      <c r="D142" s="6" t="s">
        <v>176</v>
      </c>
      <c r="E142" s="7" t="n">
        <f aca="false">Narxlar!$C$49</f>
        <v>0.9</v>
      </c>
      <c r="F142" s="7" t="n">
        <f aca="false">Narxlar!$C$46</f>
        <v>1</v>
      </c>
      <c r="G142" s="33" t="n">
        <f aca="false">E142*F142</f>
        <v>0.9</v>
      </c>
      <c r="H142" s="23" t="s">
        <v>125</v>
      </c>
      <c r="I142" s="34" t="n">
        <f aca="false">Narxlar!$C$6</f>
        <v>12</v>
      </c>
      <c r="J142" s="35" t="n">
        <f aca="false">G142*I142</f>
        <v>10.8</v>
      </c>
    </row>
    <row r="143" customFormat="false" ht="15" hidden="false" customHeight="false" outlineLevel="0" collapsed="false">
      <c r="A143" s="23" t="n">
        <v>111</v>
      </c>
      <c r="B143" s="6" t="s">
        <v>34</v>
      </c>
      <c r="C143" s="6" t="s">
        <v>66</v>
      </c>
      <c r="D143" s="6" t="s">
        <v>207</v>
      </c>
      <c r="E143" s="32" t="n">
        <v>5.6</v>
      </c>
      <c r="F143" s="7" t="n">
        <f aca="false">Narxlar!$C$50</f>
        <v>3.5</v>
      </c>
      <c r="G143" s="33" t="n">
        <f aca="false">E143*F143</f>
        <v>19.6</v>
      </c>
      <c r="H143" s="23" t="s">
        <v>125</v>
      </c>
      <c r="I143" s="34" t="n">
        <f aca="false">Narxlar!$C$7</f>
        <v>15.5</v>
      </c>
      <c r="J143" s="35" t="n">
        <f aca="false">G143*I143</f>
        <v>303.8</v>
      </c>
    </row>
    <row r="144" customFormat="false" ht="15" hidden="false" customHeight="false" outlineLevel="0" collapsed="false">
      <c r="A144" s="23" t="n">
        <v>112</v>
      </c>
      <c r="B144" s="6" t="s">
        <v>34</v>
      </c>
      <c r="C144" s="6" t="s">
        <v>66</v>
      </c>
      <c r="D144" s="6" t="s">
        <v>215</v>
      </c>
      <c r="E144" s="32" t="n">
        <v>5.6</v>
      </c>
      <c r="F144" s="7" t="n">
        <f aca="false">Narxlar!$C$50</f>
        <v>3.5</v>
      </c>
      <c r="G144" s="33" t="n">
        <f aca="false">E144*F144</f>
        <v>19.6</v>
      </c>
      <c r="H144" s="23" t="s">
        <v>125</v>
      </c>
      <c r="I144" s="34" t="n">
        <f aca="false">Narxlar!$C$7</f>
        <v>15.5</v>
      </c>
      <c r="J144" s="35" t="n">
        <f aca="false">G144*I144</f>
        <v>303.8</v>
      </c>
    </row>
    <row r="145" customFormat="false" ht="15" hidden="false" customHeight="false" outlineLevel="0" collapsed="false">
      <c r="A145" s="23" t="n">
        <v>113</v>
      </c>
      <c r="B145" s="6" t="s">
        <v>34</v>
      </c>
      <c r="C145" s="6" t="s">
        <v>180</v>
      </c>
      <c r="D145" s="6" t="s">
        <v>181</v>
      </c>
      <c r="E145" s="32"/>
      <c r="F145" s="33"/>
      <c r="G145" s="36" t="n">
        <v>1</v>
      </c>
      <c r="H145" s="23" t="s">
        <v>182</v>
      </c>
      <c r="I145" s="34" t="n">
        <f aca="false">Narxlar!$C$12</f>
        <v>168</v>
      </c>
      <c r="J145" s="35" t="n">
        <f aca="false">G145*I145</f>
        <v>168</v>
      </c>
    </row>
    <row r="146" customFormat="false" ht="15" hidden="false" customHeight="false" outlineLevel="0" collapsed="false">
      <c r="A146" s="37"/>
      <c r="B146" s="37"/>
      <c r="C146" s="37"/>
      <c r="D146" s="11" t="s">
        <v>217</v>
      </c>
      <c r="E146" s="37"/>
      <c r="F146" s="37"/>
      <c r="G146" s="37"/>
      <c r="H146" s="37"/>
      <c r="I146" s="37"/>
      <c r="J146" s="38" t="n">
        <f aca="false">SUM(J134:J145)</f>
        <v>1594.375</v>
      </c>
    </row>
    <row r="148" customFormat="false" ht="15" hidden="false" customHeight="false" outlineLevel="0" collapsed="false">
      <c r="A148" s="4" t="s">
        <v>35</v>
      </c>
      <c r="B148" s="5"/>
      <c r="C148" s="5"/>
      <c r="D148" s="5"/>
      <c r="E148" s="5"/>
      <c r="F148" s="5"/>
      <c r="G148" s="5"/>
      <c r="H148" s="5"/>
      <c r="I148" s="5"/>
      <c r="J148" s="5"/>
    </row>
    <row r="149" customFormat="false" ht="15" hidden="false" customHeight="false" outlineLevel="0" collapsed="false">
      <c r="A149" s="23" t="n">
        <v>114</v>
      </c>
      <c r="B149" s="6" t="s">
        <v>35</v>
      </c>
      <c r="C149" s="6" t="s">
        <v>61</v>
      </c>
      <c r="D149" s="6" t="s">
        <v>170</v>
      </c>
      <c r="E149" s="32" t="n">
        <v>0.15</v>
      </c>
      <c r="F149" s="7" t="n">
        <f aca="false">Narxlar!$C$45</f>
        <v>2.5</v>
      </c>
      <c r="G149" s="33" t="n">
        <f aca="false">E149*F149</f>
        <v>0.375</v>
      </c>
      <c r="H149" s="23" t="s">
        <v>125</v>
      </c>
      <c r="I149" s="34" t="n">
        <f aca="false">Narxlar!$C$5</f>
        <v>55</v>
      </c>
      <c r="J149" s="35" t="n">
        <f aca="false">G149*I149</f>
        <v>20.625</v>
      </c>
    </row>
    <row r="150" customFormat="false" ht="15" hidden="false" customHeight="false" outlineLevel="0" collapsed="false">
      <c r="A150" s="23" t="n">
        <v>115</v>
      </c>
      <c r="B150" s="6" t="s">
        <v>35</v>
      </c>
      <c r="C150" s="6" t="s">
        <v>61</v>
      </c>
      <c r="D150" s="6" t="s">
        <v>170</v>
      </c>
      <c r="E150" s="32" t="n">
        <v>1.8</v>
      </c>
      <c r="F150" s="7" t="n">
        <f aca="false">Narxlar!$C$45</f>
        <v>2.5</v>
      </c>
      <c r="G150" s="33" t="n">
        <f aca="false">E150*F150</f>
        <v>4.5</v>
      </c>
      <c r="H150" s="23" t="s">
        <v>125</v>
      </c>
      <c r="I150" s="34" t="n">
        <f aca="false">Narxlar!$C$5</f>
        <v>55</v>
      </c>
      <c r="J150" s="35" t="n">
        <f aca="false">G150*I150</f>
        <v>247.5</v>
      </c>
    </row>
    <row r="151" customFormat="false" ht="15" hidden="false" customHeight="false" outlineLevel="0" collapsed="false">
      <c r="A151" s="23" t="n">
        <v>116</v>
      </c>
      <c r="B151" s="6" t="s">
        <v>35</v>
      </c>
      <c r="C151" s="6" t="s">
        <v>61</v>
      </c>
      <c r="D151" s="6" t="s">
        <v>171</v>
      </c>
      <c r="E151" s="7" t="n">
        <f aca="false">Narxlar!$C$49</f>
        <v>0.9</v>
      </c>
      <c r="F151" s="7" t="n">
        <f aca="false">Narxlar!$C$45</f>
        <v>2.5</v>
      </c>
      <c r="G151" s="33" t="n">
        <f aca="false">E151*F151</f>
        <v>2.25</v>
      </c>
      <c r="H151" s="23" t="s">
        <v>125</v>
      </c>
      <c r="I151" s="34" t="n">
        <f aca="false">Narxlar!$C$5</f>
        <v>55</v>
      </c>
      <c r="J151" s="35" t="n">
        <f aca="false">G151*I151</f>
        <v>123.75</v>
      </c>
    </row>
    <row r="152" customFormat="false" ht="15" hidden="false" customHeight="false" outlineLevel="0" collapsed="false">
      <c r="A152" s="23" t="n">
        <v>117</v>
      </c>
      <c r="B152" s="6" t="s">
        <v>35</v>
      </c>
      <c r="C152" s="6" t="s">
        <v>172</v>
      </c>
      <c r="D152" s="6" t="s">
        <v>218</v>
      </c>
      <c r="E152" s="32" t="n">
        <v>1</v>
      </c>
      <c r="F152" s="7" t="n">
        <f aca="false">Narxlar!$C$44</f>
        <v>3.5</v>
      </c>
      <c r="G152" s="33" t="n">
        <f aca="false">E152*F152</f>
        <v>3.5</v>
      </c>
      <c r="H152" s="23" t="s">
        <v>125</v>
      </c>
      <c r="I152" s="34" t="n">
        <f aca="false">Narxlar!$C$6</f>
        <v>12</v>
      </c>
      <c r="J152" s="35" t="n">
        <f aca="false">G152*I152</f>
        <v>42</v>
      </c>
    </row>
    <row r="153" customFormat="false" ht="15" hidden="false" customHeight="false" outlineLevel="0" collapsed="false">
      <c r="A153" s="23" t="n">
        <v>118</v>
      </c>
      <c r="B153" s="6" t="s">
        <v>35</v>
      </c>
      <c r="C153" s="6" t="s">
        <v>172</v>
      </c>
      <c r="D153" s="6" t="s">
        <v>174</v>
      </c>
      <c r="E153" s="32" t="n">
        <v>0.15</v>
      </c>
      <c r="F153" s="7" t="n">
        <f aca="false">Narxlar!$C$46</f>
        <v>1</v>
      </c>
      <c r="G153" s="33" t="n">
        <f aca="false">E153*F153</f>
        <v>0.15</v>
      </c>
      <c r="H153" s="23" t="s">
        <v>125</v>
      </c>
      <c r="I153" s="34" t="n">
        <f aca="false">Narxlar!$C$6</f>
        <v>12</v>
      </c>
      <c r="J153" s="35" t="n">
        <f aca="false">G153*I153</f>
        <v>1.8</v>
      </c>
    </row>
    <row r="154" customFormat="false" ht="15" hidden="false" customHeight="false" outlineLevel="0" collapsed="false">
      <c r="A154" s="23" t="n">
        <v>119</v>
      </c>
      <c r="B154" s="6" t="s">
        <v>35</v>
      </c>
      <c r="C154" s="6" t="s">
        <v>172</v>
      </c>
      <c r="D154" s="6" t="s">
        <v>174</v>
      </c>
      <c r="E154" s="32" t="n">
        <v>1.8</v>
      </c>
      <c r="F154" s="7" t="n">
        <f aca="false">Narxlar!$C$46</f>
        <v>1</v>
      </c>
      <c r="G154" s="33" t="n">
        <f aca="false">E154*F154</f>
        <v>1.8</v>
      </c>
      <c r="H154" s="23" t="s">
        <v>125</v>
      </c>
      <c r="I154" s="34" t="n">
        <f aca="false">Narxlar!$C$6</f>
        <v>12</v>
      </c>
      <c r="J154" s="35" t="n">
        <f aca="false">G154*I154</f>
        <v>21.6</v>
      </c>
    </row>
    <row r="155" customFormat="false" ht="15" hidden="false" customHeight="false" outlineLevel="0" collapsed="false">
      <c r="A155" s="23" t="n">
        <v>120</v>
      </c>
      <c r="B155" s="6" t="s">
        <v>35</v>
      </c>
      <c r="C155" s="6" t="s">
        <v>172</v>
      </c>
      <c r="D155" s="6" t="s">
        <v>212</v>
      </c>
      <c r="E155" s="32" t="n">
        <v>5.6</v>
      </c>
      <c r="F155" s="7" t="n">
        <f aca="false">Narxlar!$C$44</f>
        <v>3.5</v>
      </c>
      <c r="G155" s="33" t="n">
        <f aca="false">E155*F155</f>
        <v>19.6</v>
      </c>
      <c r="H155" s="23" t="s">
        <v>125</v>
      </c>
      <c r="I155" s="34" t="n">
        <f aca="false">Narxlar!$C$6</f>
        <v>12</v>
      </c>
      <c r="J155" s="35" t="n">
        <f aca="false">G155*I155</f>
        <v>235.2</v>
      </c>
    </row>
    <row r="156" customFormat="false" ht="15" hidden="false" customHeight="false" outlineLevel="0" collapsed="false">
      <c r="A156" s="23" t="n">
        <v>121</v>
      </c>
      <c r="B156" s="6" t="s">
        <v>35</v>
      </c>
      <c r="C156" s="6" t="s">
        <v>172</v>
      </c>
      <c r="D156" s="6" t="s">
        <v>216</v>
      </c>
      <c r="E156" s="32" t="n">
        <v>2.85</v>
      </c>
      <c r="F156" s="7" t="n">
        <f aca="false">Narxlar!$C$44</f>
        <v>3.5</v>
      </c>
      <c r="G156" s="33" t="n">
        <f aca="false">E156*F156</f>
        <v>9.975</v>
      </c>
      <c r="H156" s="23" t="s">
        <v>125</v>
      </c>
      <c r="I156" s="34" t="n">
        <f aca="false">Narxlar!$C$6</f>
        <v>12</v>
      </c>
      <c r="J156" s="35" t="n">
        <f aca="false">G156*I156</f>
        <v>119.7</v>
      </c>
    </row>
    <row r="157" customFormat="false" ht="15" hidden="false" customHeight="false" outlineLevel="0" collapsed="false">
      <c r="A157" s="23" t="n">
        <v>122</v>
      </c>
      <c r="B157" s="6" t="s">
        <v>35</v>
      </c>
      <c r="C157" s="6" t="s">
        <v>172</v>
      </c>
      <c r="D157" s="6" t="s">
        <v>176</v>
      </c>
      <c r="E157" s="7" t="n">
        <f aca="false">Narxlar!$C$49</f>
        <v>0.9</v>
      </c>
      <c r="F157" s="7" t="n">
        <f aca="false">Narxlar!$C$46</f>
        <v>1</v>
      </c>
      <c r="G157" s="33" t="n">
        <f aca="false">E157*F157</f>
        <v>0.9</v>
      </c>
      <c r="H157" s="23" t="s">
        <v>125</v>
      </c>
      <c r="I157" s="34" t="n">
        <f aca="false">Narxlar!$C$6</f>
        <v>12</v>
      </c>
      <c r="J157" s="35" t="n">
        <f aca="false">G157*I157</f>
        <v>10.8</v>
      </c>
    </row>
    <row r="158" customFormat="false" ht="15" hidden="false" customHeight="false" outlineLevel="0" collapsed="false">
      <c r="A158" s="23" t="n">
        <v>123</v>
      </c>
      <c r="B158" s="6" t="s">
        <v>35</v>
      </c>
      <c r="C158" s="6" t="s">
        <v>66</v>
      </c>
      <c r="D158" s="6" t="s">
        <v>212</v>
      </c>
      <c r="E158" s="32" t="n">
        <v>5.6</v>
      </c>
      <c r="F158" s="7" t="n">
        <f aca="false">Narxlar!$C$50</f>
        <v>3.5</v>
      </c>
      <c r="G158" s="33" t="n">
        <f aca="false">E158*F158</f>
        <v>19.6</v>
      </c>
      <c r="H158" s="23" t="s">
        <v>125</v>
      </c>
      <c r="I158" s="34" t="n">
        <f aca="false">Narxlar!$C$7</f>
        <v>15.5</v>
      </c>
      <c r="J158" s="35" t="n">
        <f aca="false">G158*I158</f>
        <v>303.8</v>
      </c>
    </row>
    <row r="159" customFormat="false" ht="15" hidden="false" customHeight="false" outlineLevel="0" collapsed="false">
      <c r="A159" s="23" t="n">
        <v>124</v>
      </c>
      <c r="B159" s="6" t="s">
        <v>35</v>
      </c>
      <c r="C159" s="6" t="s">
        <v>66</v>
      </c>
      <c r="D159" s="6" t="s">
        <v>219</v>
      </c>
      <c r="E159" s="32" t="n">
        <v>5.6</v>
      </c>
      <c r="F159" s="7" t="n">
        <f aca="false">Narxlar!$C$50</f>
        <v>3.5</v>
      </c>
      <c r="G159" s="33" t="n">
        <f aca="false">E159*F159</f>
        <v>19.6</v>
      </c>
      <c r="H159" s="23" t="s">
        <v>125</v>
      </c>
      <c r="I159" s="34" t="n">
        <f aca="false">Narxlar!$C$7</f>
        <v>15.5</v>
      </c>
      <c r="J159" s="35" t="n">
        <f aca="false">G159*I159</f>
        <v>303.8</v>
      </c>
    </row>
    <row r="160" customFormat="false" ht="15" hidden="false" customHeight="false" outlineLevel="0" collapsed="false">
      <c r="A160" s="23" t="n">
        <v>125</v>
      </c>
      <c r="B160" s="6" t="s">
        <v>35</v>
      </c>
      <c r="C160" s="6" t="s">
        <v>180</v>
      </c>
      <c r="D160" s="6" t="s">
        <v>181</v>
      </c>
      <c r="E160" s="32"/>
      <c r="F160" s="33"/>
      <c r="G160" s="36" t="n">
        <v>1</v>
      </c>
      <c r="H160" s="23" t="s">
        <v>182</v>
      </c>
      <c r="I160" s="34" t="n">
        <f aca="false">Narxlar!$C$12</f>
        <v>168</v>
      </c>
      <c r="J160" s="35" t="n">
        <f aca="false">G160*I160</f>
        <v>168</v>
      </c>
    </row>
    <row r="161" customFormat="false" ht="15" hidden="false" customHeight="false" outlineLevel="0" collapsed="false">
      <c r="A161" s="37"/>
      <c r="B161" s="37"/>
      <c r="C161" s="37"/>
      <c r="D161" s="11" t="s">
        <v>220</v>
      </c>
      <c r="E161" s="37"/>
      <c r="F161" s="37"/>
      <c r="G161" s="37"/>
      <c r="H161" s="37"/>
      <c r="I161" s="37"/>
      <c r="J161" s="38" t="n">
        <f aca="false">SUM(J149:J160)</f>
        <v>1598.575</v>
      </c>
    </row>
    <row r="163" customFormat="false" ht="15" hidden="false" customHeight="false" outlineLevel="0" collapsed="false">
      <c r="A163" s="4" t="s">
        <v>36</v>
      </c>
      <c r="B163" s="5"/>
      <c r="C163" s="5"/>
      <c r="D163" s="5"/>
      <c r="E163" s="5"/>
      <c r="F163" s="5"/>
      <c r="G163" s="5"/>
      <c r="H163" s="5"/>
      <c r="I163" s="5"/>
      <c r="J163" s="5"/>
    </row>
    <row r="164" customFormat="false" ht="15" hidden="false" customHeight="false" outlineLevel="0" collapsed="false">
      <c r="A164" s="23" t="n">
        <v>126</v>
      </c>
      <c r="B164" s="6" t="s">
        <v>36</v>
      </c>
      <c r="C164" s="6" t="s">
        <v>66</v>
      </c>
      <c r="D164" s="6" t="s">
        <v>221</v>
      </c>
      <c r="E164" s="32" t="n">
        <v>5.95</v>
      </c>
      <c r="F164" s="7" t="n">
        <f aca="false">Narxlar!$C$50</f>
        <v>3.5</v>
      </c>
      <c r="G164" s="33" t="n">
        <f aca="false">E164*F164</f>
        <v>20.825</v>
      </c>
      <c r="H164" s="23" t="s">
        <v>125</v>
      </c>
      <c r="I164" s="34" t="n">
        <f aca="false">Narxlar!$C$7</f>
        <v>15.5</v>
      </c>
      <c r="J164" s="35" t="n">
        <f aca="false">G164*I164</f>
        <v>322.7875</v>
      </c>
    </row>
    <row r="165" customFormat="false" ht="15" hidden="false" customHeight="false" outlineLevel="0" collapsed="false">
      <c r="A165" s="23" t="n">
        <v>127</v>
      </c>
      <c r="B165" s="6" t="s">
        <v>36</v>
      </c>
      <c r="C165" s="6" t="s">
        <v>66</v>
      </c>
      <c r="D165" s="6" t="s">
        <v>222</v>
      </c>
      <c r="E165" s="7" t="n">
        <f aca="false">Narxlar!$C$49</f>
        <v>0.9</v>
      </c>
      <c r="F165" s="7" t="n">
        <f aca="false">Narxlar!$C$47</f>
        <v>2.1</v>
      </c>
      <c r="G165" s="33" t="n">
        <f aca="false">-E165*F165</f>
        <v>-1.89</v>
      </c>
      <c r="H165" s="23" t="s">
        <v>125</v>
      </c>
      <c r="I165" s="34" t="n">
        <f aca="false">Narxlar!$C$7</f>
        <v>15.5</v>
      </c>
      <c r="J165" s="35" t="n">
        <f aca="false">G165*I165</f>
        <v>-29.295</v>
      </c>
    </row>
    <row r="166" customFormat="false" ht="15" hidden="false" customHeight="false" outlineLevel="0" collapsed="false">
      <c r="A166" s="23" t="n">
        <v>128</v>
      </c>
      <c r="B166" s="6" t="s">
        <v>36</v>
      </c>
      <c r="C166" s="6" t="s">
        <v>66</v>
      </c>
      <c r="D166" s="6" t="s">
        <v>223</v>
      </c>
      <c r="E166" s="32" t="n">
        <v>2.95</v>
      </c>
      <c r="F166" s="7" t="n">
        <f aca="false">Narxlar!$C$50</f>
        <v>3.5</v>
      </c>
      <c r="G166" s="33" t="n">
        <f aca="false">E166*F166</f>
        <v>10.325</v>
      </c>
      <c r="H166" s="23" t="s">
        <v>125</v>
      </c>
      <c r="I166" s="34" t="n">
        <f aca="false">Narxlar!$C$7</f>
        <v>15.5</v>
      </c>
      <c r="J166" s="35" t="n">
        <f aca="false">G166*I166</f>
        <v>160.0375</v>
      </c>
    </row>
    <row r="167" customFormat="false" ht="15" hidden="false" customHeight="false" outlineLevel="0" collapsed="false">
      <c r="A167" s="23" t="n">
        <v>129</v>
      </c>
      <c r="B167" s="6" t="s">
        <v>36</v>
      </c>
      <c r="C167" s="6" t="s">
        <v>180</v>
      </c>
      <c r="D167" s="6" t="s">
        <v>181</v>
      </c>
      <c r="E167" s="32"/>
      <c r="F167" s="33"/>
      <c r="G167" s="36" t="n">
        <v>1</v>
      </c>
      <c r="H167" s="23" t="s">
        <v>182</v>
      </c>
      <c r="I167" s="34" t="n">
        <f aca="false">Narxlar!$C$12</f>
        <v>168</v>
      </c>
      <c r="J167" s="35" t="n">
        <f aca="false">G167*I167</f>
        <v>168</v>
      </c>
    </row>
    <row r="168" customFormat="false" ht="15" hidden="false" customHeight="false" outlineLevel="0" collapsed="false">
      <c r="A168" s="37"/>
      <c r="B168" s="37"/>
      <c r="C168" s="37"/>
      <c r="D168" s="11" t="s">
        <v>224</v>
      </c>
      <c r="E168" s="37"/>
      <c r="F168" s="37"/>
      <c r="G168" s="37"/>
      <c r="H168" s="37"/>
      <c r="I168" s="37"/>
      <c r="J168" s="38" t="n">
        <f aca="false">SUM(J164:J167)</f>
        <v>621.53</v>
      </c>
    </row>
    <row r="170" customFormat="false" ht="15" hidden="false" customHeight="false" outlineLevel="0" collapsed="false">
      <c r="A170" s="4" t="s">
        <v>39</v>
      </c>
      <c r="B170" s="5"/>
      <c r="C170" s="5"/>
      <c r="D170" s="5"/>
      <c r="E170" s="5"/>
      <c r="F170" s="5"/>
      <c r="G170" s="5"/>
      <c r="H170" s="5"/>
      <c r="I170" s="5"/>
      <c r="J170" s="5"/>
    </row>
    <row r="171" customFormat="false" ht="15" hidden="false" customHeight="false" outlineLevel="0" collapsed="false">
      <c r="A171" s="23" t="n">
        <v>130</v>
      </c>
      <c r="B171" s="6" t="s">
        <v>39</v>
      </c>
      <c r="C171" s="6" t="s">
        <v>172</v>
      </c>
      <c r="D171" s="6" t="s">
        <v>225</v>
      </c>
      <c r="E171" s="32" t="n">
        <v>4.6</v>
      </c>
      <c r="F171" s="7" t="n">
        <f aca="false">Narxlar!$C$46</f>
        <v>1</v>
      </c>
      <c r="G171" s="33" t="n">
        <f aca="false">E171*F171</f>
        <v>4.6</v>
      </c>
      <c r="H171" s="23" t="s">
        <v>125</v>
      </c>
      <c r="I171" s="34" t="n">
        <f aca="false">Narxlar!$C$6</f>
        <v>12</v>
      </c>
      <c r="J171" s="35" t="n">
        <f aca="false">G171*I171</f>
        <v>55.2</v>
      </c>
    </row>
    <row r="172" customFormat="false" ht="15" hidden="false" customHeight="false" outlineLevel="0" collapsed="false">
      <c r="A172" s="23" t="n">
        <v>131</v>
      </c>
      <c r="B172" s="6" t="s">
        <v>39</v>
      </c>
      <c r="C172" s="6" t="s">
        <v>172</v>
      </c>
      <c r="D172" s="6" t="s">
        <v>226</v>
      </c>
      <c r="E172" s="32" t="n">
        <v>0.4</v>
      </c>
      <c r="F172" s="7" t="n">
        <f aca="false">Narxlar!$C$44</f>
        <v>3.5</v>
      </c>
      <c r="G172" s="33" t="n">
        <f aca="false">E172*F172</f>
        <v>1.4</v>
      </c>
      <c r="H172" s="23" t="s">
        <v>125</v>
      </c>
      <c r="I172" s="34" t="n">
        <f aca="false">Narxlar!$C$6</f>
        <v>12</v>
      </c>
      <c r="J172" s="35" t="n">
        <f aca="false">G172*I172</f>
        <v>16.8</v>
      </c>
    </row>
    <row r="173" customFormat="false" ht="15" hidden="false" customHeight="false" outlineLevel="0" collapsed="false">
      <c r="A173" s="23" t="n">
        <v>132</v>
      </c>
      <c r="B173" s="6" t="s">
        <v>39</v>
      </c>
      <c r="C173" s="6" t="s">
        <v>172</v>
      </c>
      <c r="D173" s="6" t="s">
        <v>227</v>
      </c>
      <c r="E173" s="32" t="n">
        <v>4.7</v>
      </c>
      <c r="F173" s="7" t="n">
        <f aca="false">Narxlar!$C$46</f>
        <v>1</v>
      </c>
      <c r="G173" s="33" t="n">
        <f aca="false">E173*F173</f>
        <v>4.7</v>
      </c>
      <c r="H173" s="23" t="s">
        <v>125</v>
      </c>
      <c r="I173" s="34" t="n">
        <f aca="false">Narxlar!$C$6</f>
        <v>12</v>
      </c>
      <c r="J173" s="35" t="n">
        <f aca="false">G173*I173</f>
        <v>56.4</v>
      </c>
    </row>
    <row r="174" customFormat="false" ht="15" hidden="false" customHeight="false" outlineLevel="0" collapsed="false">
      <c r="A174" s="23" t="n">
        <v>133</v>
      </c>
      <c r="B174" s="6" t="s">
        <v>39</v>
      </c>
      <c r="C174" s="6" t="s">
        <v>172</v>
      </c>
      <c r="D174" s="6" t="s">
        <v>228</v>
      </c>
      <c r="E174" s="32" t="n">
        <v>0.55</v>
      </c>
      <c r="F174" s="7" t="n">
        <f aca="false">Narxlar!$C$44</f>
        <v>3.5</v>
      </c>
      <c r="G174" s="33" t="n">
        <f aca="false">E174*F174</f>
        <v>1.925</v>
      </c>
      <c r="H174" s="23" t="s">
        <v>125</v>
      </c>
      <c r="I174" s="34" t="n">
        <f aca="false">Narxlar!$C$6</f>
        <v>12</v>
      </c>
      <c r="J174" s="35" t="n">
        <f aca="false">G174*I174</f>
        <v>23.1</v>
      </c>
    </row>
    <row r="175" customFormat="false" ht="15" hidden="false" customHeight="false" outlineLevel="0" collapsed="false">
      <c r="A175" s="23" t="n">
        <v>134</v>
      </c>
      <c r="B175" s="6" t="s">
        <v>39</v>
      </c>
      <c r="C175" s="6" t="s">
        <v>172</v>
      </c>
      <c r="D175" s="6" t="s">
        <v>229</v>
      </c>
      <c r="E175" s="32" t="n">
        <v>0.1</v>
      </c>
      <c r="F175" s="7" t="n">
        <f aca="false">Narxlar!$C$44</f>
        <v>3.5</v>
      </c>
      <c r="G175" s="33" t="n">
        <f aca="false">E175*F175</f>
        <v>0.35</v>
      </c>
      <c r="H175" s="23" t="s">
        <v>125</v>
      </c>
      <c r="I175" s="34" t="n">
        <f aca="false">Narxlar!$C$6</f>
        <v>12</v>
      </c>
      <c r="J175" s="35" t="n">
        <f aca="false">G175*I175</f>
        <v>4.2</v>
      </c>
    </row>
    <row r="176" customFormat="false" ht="15" hidden="false" customHeight="false" outlineLevel="0" collapsed="false">
      <c r="A176" s="23" t="n">
        <v>135</v>
      </c>
      <c r="B176" s="6" t="s">
        <v>39</v>
      </c>
      <c r="C176" s="6" t="s">
        <v>172</v>
      </c>
      <c r="D176" s="6" t="s">
        <v>230</v>
      </c>
      <c r="E176" s="32" t="n">
        <v>1.5</v>
      </c>
      <c r="F176" s="7" t="n">
        <f aca="false">Narxlar!$C$46</f>
        <v>1</v>
      </c>
      <c r="G176" s="33" t="n">
        <f aca="false">E176*F176</f>
        <v>1.5</v>
      </c>
      <c r="H176" s="23" t="s">
        <v>125</v>
      </c>
      <c r="I176" s="34" t="n">
        <f aca="false">Narxlar!$C$6</f>
        <v>12</v>
      </c>
      <c r="J176" s="35" t="n">
        <f aca="false">G176*I176</f>
        <v>18</v>
      </c>
    </row>
    <row r="177" customFormat="false" ht="15" hidden="false" customHeight="false" outlineLevel="0" collapsed="false">
      <c r="A177" s="23" t="n">
        <v>136</v>
      </c>
      <c r="B177" s="6" t="s">
        <v>39</v>
      </c>
      <c r="C177" s="6" t="s">
        <v>172</v>
      </c>
      <c r="D177" s="6" t="s">
        <v>231</v>
      </c>
      <c r="E177" s="32" t="n">
        <v>5.9</v>
      </c>
      <c r="F177" s="7" t="n">
        <f aca="false">Narxlar!$C$44</f>
        <v>3.5</v>
      </c>
      <c r="G177" s="33" t="n">
        <f aca="false">E177*F177</f>
        <v>20.65</v>
      </c>
      <c r="H177" s="23" t="s">
        <v>125</v>
      </c>
      <c r="I177" s="34" t="n">
        <f aca="false">Narxlar!$C$6</f>
        <v>12</v>
      </c>
      <c r="J177" s="35" t="n">
        <f aca="false">G177*I177</f>
        <v>247.8</v>
      </c>
    </row>
    <row r="178" customFormat="false" ht="15" hidden="false" customHeight="false" outlineLevel="0" collapsed="false">
      <c r="A178" s="23" t="n">
        <v>137</v>
      </c>
      <c r="B178" s="6" t="s">
        <v>39</v>
      </c>
      <c r="C178" s="6" t="s">
        <v>172</v>
      </c>
      <c r="D178" s="6" t="s">
        <v>232</v>
      </c>
      <c r="E178" s="32" t="n">
        <v>0.15</v>
      </c>
      <c r="F178" s="7" t="n">
        <f aca="false">Narxlar!$C$46</f>
        <v>1</v>
      </c>
      <c r="G178" s="33" t="n">
        <f aca="false">E178*F178</f>
        <v>0.15</v>
      </c>
      <c r="H178" s="23" t="s">
        <v>125</v>
      </c>
      <c r="I178" s="34" t="n">
        <f aca="false">Narxlar!$C$6</f>
        <v>12</v>
      </c>
      <c r="J178" s="35" t="n">
        <f aca="false">G178*I178</f>
        <v>1.8</v>
      </c>
    </row>
    <row r="179" customFormat="false" ht="15" hidden="false" customHeight="false" outlineLevel="0" collapsed="false">
      <c r="A179" s="23" t="n">
        <v>138</v>
      </c>
      <c r="B179" s="6" t="s">
        <v>39</v>
      </c>
      <c r="C179" s="6" t="s">
        <v>172</v>
      </c>
      <c r="D179" s="6" t="s">
        <v>232</v>
      </c>
      <c r="E179" s="32" t="n">
        <v>1.8</v>
      </c>
      <c r="F179" s="7" t="n">
        <f aca="false">Narxlar!$C$46</f>
        <v>1</v>
      </c>
      <c r="G179" s="33" t="n">
        <f aca="false">E179*F179</f>
        <v>1.8</v>
      </c>
      <c r="H179" s="23" t="s">
        <v>125</v>
      </c>
      <c r="I179" s="34" t="n">
        <f aca="false">Narxlar!$C$6</f>
        <v>12</v>
      </c>
      <c r="J179" s="35" t="n">
        <f aca="false">G179*I179</f>
        <v>21.6</v>
      </c>
    </row>
    <row r="180" customFormat="false" ht="15" hidden="false" customHeight="false" outlineLevel="0" collapsed="false">
      <c r="A180" s="23" t="n">
        <v>139</v>
      </c>
      <c r="B180" s="6" t="s">
        <v>39</v>
      </c>
      <c r="C180" s="6" t="s">
        <v>172</v>
      </c>
      <c r="D180" s="6" t="s">
        <v>233</v>
      </c>
      <c r="E180" s="32" t="n">
        <v>0.15</v>
      </c>
      <c r="F180" s="7" t="n">
        <f aca="false">Narxlar!$C$46</f>
        <v>1</v>
      </c>
      <c r="G180" s="33" t="n">
        <f aca="false">E180*F180</f>
        <v>0.15</v>
      </c>
      <c r="H180" s="23" t="s">
        <v>125</v>
      </c>
      <c r="I180" s="34" t="n">
        <f aca="false">Narxlar!$C$6</f>
        <v>12</v>
      </c>
      <c r="J180" s="35" t="n">
        <f aca="false">G180*I180</f>
        <v>1.8</v>
      </c>
    </row>
    <row r="181" customFormat="false" ht="15" hidden="false" customHeight="false" outlineLevel="0" collapsed="false">
      <c r="A181" s="23" t="n">
        <v>140</v>
      </c>
      <c r="B181" s="6" t="s">
        <v>39</v>
      </c>
      <c r="C181" s="6" t="s">
        <v>172</v>
      </c>
      <c r="D181" s="6" t="s">
        <v>233</v>
      </c>
      <c r="E181" s="32" t="n">
        <v>1.8</v>
      </c>
      <c r="F181" s="7" t="n">
        <f aca="false">Narxlar!$C$46</f>
        <v>1</v>
      </c>
      <c r="G181" s="33" t="n">
        <f aca="false">E181*F181</f>
        <v>1.8</v>
      </c>
      <c r="H181" s="23" t="s">
        <v>125</v>
      </c>
      <c r="I181" s="34" t="n">
        <f aca="false">Narxlar!$C$6</f>
        <v>12</v>
      </c>
      <c r="J181" s="35" t="n">
        <f aca="false">G181*I181</f>
        <v>21.6</v>
      </c>
    </row>
    <row r="182" customFormat="false" ht="15" hidden="false" customHeight="false" outlineLevel="0" collapsed="false">
      <c r="A182" s="23" t="n">
        <v>141</v>
      </c>
      <c r="B182" s="6" t="s">
        <v>39</v>
      </c>
      <c r="C182" s="6" t="s">
        <v>172</v>
      </c>
      <c r="D182" s="6" t="s">
        <v>191</v>
      </c>
      <c r="E182" s="32" t="n">
        <v>0.2</v>
      </c>
      <c r="F182" s="7" t="n">
        <f aca="false">Narxlar!$C$44</f>
        <v>3.5</v>
      </c>
      <c r="G182" s="33" t="n">
        <f aca="false">E182*F182</f>
        <v>0.7</v>
      </c>
      <c r="H182" s="23" t="s">
        <v>125</v>
      </c>
      <c r="I182" s="34" t="n">
        <f aca="false">Narxlar!$C$6</f>
        <v>12</v>
      </c>
      <c r="J182" s="35" t="n">
        <f aca="false">G182*I182</f>
        <v>8.4</v>
      </c>
    </row>
    <row r="183" customFormat="false" ht="15" hidden="false" customHeight="false" outlineLevel="0" collapsed="false">
      <c r="A183" s="23" t="n">
        <v>142</v>
      </c>
      <c r="B183" s="6" t="s">
        <v>39</v>
      </c>
      <c r="C183" s="6" t="s">
        <v>172</v>
      </c>
      <c r="D183" s="6" t="s">
        <v>230</v>
      </c>
      <c r="E183" s="32" t="n">
        <v>1.15</v>
      </c>
      <c r="F183" s="7" t="n">
        <f aca="false">Narxlar!$C$46</f>
        <v>1</v>
      </c>
      <c r="G183" s="33" t="n">
        <f aca="false">E183*F183</f>
        <v>1.15</v>
      </c>
      <c r="H183" s="23" t="s">
        <v>125</v>
      </c>
      <c r="I183" s="34" t="n">
        <f aca="false">Narxlar!$C$6</f>
        <v>12</v>
      </c>
      <c r="J183" s="35" t="n">
        <f aca="false">G183*I183</f>
        <v>13.8</v>
      </c>
    </row>
    <row r="184" customFormat="false" ht="15" hidden="false" customHeight="false" outlineLevel="0" collapsed="false">
      <c r="A184" s="23" t="n">
        <v>143</v>
      </c>
      <c r="B184" s="6" t="s">
        <v>39</v>
      </c>
      <c r="C184" s="6" t="s">
        <v>172</v>
      </c>
      <c r="D184" s="6" t="s">
        <v>234</v>
      </c>
      <c r="E184" s="7" t="n">
        <f aca="false">Narxlar!$C$49</f>
        <v>0.9</v>
      </c>
      <c r="F184" s="7" t="n">
        <f aca="false">Narxlar!$C$46</f>
        <v>1</v>
      </c>
      <c r="G184" s="33" t="n">
        <f aca="false">E184*F184</f>
        <v>0.9</v>
      </c>
      <c r="H184" s="23" t="s">
        <v>125</v>
      </c>
      <c r="I184" s="34" t="n">
        <f aca="false">Narxlar!$C$6</f>
        <v>12</v>
      </c>
      <c r="J184" s="35" t="n">
        <f aca="false">G184*I184</f>
        <v>10.8</v>
      </c>
    </row>
    <row r="185" customFormat="false" ht="15" hidden="false" customHeight="false" outlineLevel="0" collapsed="false">
      <c r="A185" s="23" t="n">
        <v>144</v>
      </c>
      <c r="B185" s="6" t="s">
        <v>39</v>
      </c>
      <c r="C185" s="6" t="s">
        <v>172</v>
      </c>
      <c r="D185" s="6" t="s">
        <v>235</v>
      </c>
      <c r="E185" s="7" t="n">
        <f aca="false">Narxlar!$C$49</f>
        <v>0.9</v>
      </c>
      <c r="F185" s="7" t="n">
        <f aca="false">Narxlar!$C$46</f>
        <v>1</v>
      </c>
      <c r="G185" s="33" t="n">
        <f aca="false">E185*F185</f>
        <v>0.9</v>
      </c>
      <c r="H185" s="23" t="s">
        <v>125</v>
      </c>
      <c r="I185" s="34" t="n">
        <f aca="false">Narxlar!$C$6</f>
        <v>12</v>
      </c>
      <c r="J185" s="35" t="n">
        <f aca="false">G185*I185</f>
        <v>10.8</v>
      </c>
    </row>
    <row r="186" customFormat="false" ht="15" hidden="false" customHeight="false" outlineLevel="0" collapsed="false">
      <c r="A186" s="23" t="n">
        <v>145</v>
      </c>
      <c r="B186" s="6" t="s">
        <v>39</v>
      </c>
      <c r="C186" s="6" t="s">
        <v>172</v>
      </c>
      <c r="D186" s="6" t="s">
        <v>236</v>
      </c>
      <c r="E186" s="7" t="n">
        <f aca="false">Narxlar!$C$49</f>
        <v>0.9</v>
      </c>
      <c r="F186" s="7" t="n">
        <f aca="false">Narxlar!$C$46</f>
        <v>1</v>
      </c>
      <c r="G186" s="33" t="n">
        <f aca="false">E186*F186</f>
        <v>0.9</v>
      </c>
      <c r="H186" s="23" t="s">
        <v>125</v>
      </c>
      <c r="I186" s="34" t="n">
        <f aca="false">Narxlar!$C$6</f>
        <v>12</v>
      </c>
      <c r="J186" s="35" t="n">
        <f aca="false">G186*I186</f>
        <v>10.8</v>
      </c>
    </row>
    <row r="187" customFormat="false" ht="15" hidden="false" customHeight="false" outlineLevel="0" collapsed="false">
      <c r="A187" s="23" t="n">
        <v>146</v>
      </c>
      <c r="B187" s="6" t="s">
        <v>39</v>
      </c>
      <c r="C187" s="6" t="s">
        <v>172</v>
      </c>
      <c r="D187" s="6" t="s">
        <v>237</v>
      </c>
      <c r="E187" s="7" t="n">
        <f aca="false">Narxlar!$C$49</f>
        <v>0.9</v>
      </c>
      <c r="F187" s="7" t="n">
        <f aca="false">Narxlar!$C$46</f>
        <v>1</v>
      </c>
      <c r="G187" s="33" t="n">
        <f aca="false">E187*F187</f>
        <v>0.9</v>
      </c>
      <c r="H187" s="23" t="s">
        <v>125</v>
      </c>
      <c r="I187" s="34" t="n">
        <f aca="false">Narxlar!$C$6</f>
        <v>12</v>
      </c>
      <c r="J187" s="35" t="n">
        <f aca="false">G187*I187</f>
        <v>10.8</v>
      </c>
    </row>
    <row r="188" customFormat="false" ht="15" hidden="false" customHeight="false" outlineLevel="0" collapsed="false">
      <c r="A188" s="23" t="n">
        <v>147</v>
      </c>
      <c r="B188" s="6" t="s">
        <v>39</v>
      </c>
      <c r="C188" s="6" t="s">
        <v>172</v>
      </c>
      <c r="D188" s="6" t="s">
        <v>238</v>
      </c>
      <c r="E188" s="7" t="n">
        <f aca="false">Narxlar!$C$49</f>
        <v>0.9</v>
      </c>
      <c r="F188" s="7" t="n">
        <f aca="false">Narxlar!$C$46</f>
        <v>1</v>
      </c>
      <c r="G188" s="33" t="n">
        <f aca="false">E188*F188</f>
        <v>0.9</v>
      </c>
      <c r="H188" s="23" t="s">
        <v>125</v>
      </c>
      <c r="I188" s="34" t="n">
        <f aca="false">Narxlar!$C$6</f>
        <v>12</v>
      </c>
      <c r="J188" s="35" t="n">
        <f aca="false">G188*I188</f>
        <v>10.8</v>
      </c>
    </row>
    <row r="189" customFormat="false" ht="15" hidden="false" customHeight="false" outlineLevel="0" collapsed="false">
      <c r="A189" s="23" t="n">
        <v>148</v>
      </c>
      <c r="B189" s="6" t="s">
        <v>39</v>
      </c>
      <c r="C189" s="6" t="s">
        <v>180</v>
      </c>
      <c r="D189" s="6" t="s">
        <v>239</v>
      </c>
      <c r="E189" s="32"/>
      <c r="F189" s="33"/>
      <c r="G189" s="36" t="n">
        <v>1</v>
      </c>
      <c r="H189" s="23" t="s">
        <v>182</v>
      </c>
      <c r="I189" s="34" t="n">
        <f aca="false">Narxlar!$C$11</f>
        <v>336</v>
      </c>
      <c r="J189" s="35" t="n">
        <f aca="false">G189*I189</f>
        <v>336</v>
      </c>
    </row>
    <row r="190" customFormat="false" ht="15" hidden="false" customHeight="false" outlineLevel="0" collapsed="false">
      <c r="A190" s="37"/>
      <c r="B190" s="37"/>
      <c r="C190" s="37"/>
      <c r="D190" s="11" t="s">
        <v>240</v>
      </c>
      <c r="E190" s="37"/>
      <c r="F190" s="37"/>
      <c r="G190" s="37"/>
      <c r="H190" s="37"/>
      <c r="I190" s="37"/>
      <c r="J190" s="38" t="n">
        <f aca="false">SUM(J171:J189)</f>
        <v>880.5</v>
      </c>
    </row>
    <row r="192" customFormat="false" ht="15" hidden="false" customHeight="false" outlineLevel="0" collapsed="false">
      <c r="A192" s="4" t="s">
        <v>40</v>
      </c>
      <c r="B192" s="5"/>
      <c r="C192" s="5"/>
      <c r="D192" s="5"/>
      <c r="E192" s="5"/>
      <c r="F192" s="5"/>
      <c r="G192" s="5"/>
      <c r="H192" s="5"/>
      <c r="I192" s="5"/>
      <c r="J192" s="5"/>
    </row>
    <row r="193" customFormat="false" ht="15" hidden="false" customHeight="false" outlineLevel="0" collapsed="false">
      <c r="A193" s="23" t="n">
        <v>149</v>
      </c>
      <c r="B193" s="6" t="s">
        <v>40</v>
      </c>
      <c r="C193" s="6" t="s">
        <v>172</v>
      </c>
      <c r="D193" s="6" t="s">
        <v>241</v>
      </c>
      <c r="E193" s="32" t="n">
        <v>0.15</v>
      </c>
      <c r="F193" s="7" t="n">
        <f aca="false">Narxlar!$C$46</f>
        <v>1</v>
      </c>
      <c r="G193" s="33" t="n">
        <f aca="false">E193*F193</f>
        <v>0.15</v>
      </c>
      <c r="H193" s="23" t="s">
        <v>125</v>
      </c>
      <c r="I193" s="34" t="n">
        <f aca="false">Narxlar!$C$6</f>
        <v>12</v>
      </c>
      <c r="J193" s="35" t="n">
        <f aca="false">G193*I193</f>
        <v>1.8</v>
      </c>
    </row>
    <row r="194" customFormat="false" ht="15" hidden="false" customHeight="false" outlineLevel="0" collapsed="false">
      <c r="A194" s="23" t="n">
        <v>150</v>
      </c>
      <c r="B194" s="6" t="s">
        <v>40</v>
      </c>
      <c r="C194" s="6" t="s">
        <v>172</v>
      </c>
      <c r="D194" s="6" t="s">
        <v>241</v>
      </c>
      <c r="E194" s="32" t="n">
        <v>1.75</v>
      </c>
      <c r="F194" s="7" t="n">
        <f aca="false">Narxlar!$C$46</f>
        <v>1</v>
      </c>
      <c r="G194" s="33" t="n">
        <f aca="false">E194*F194</f>
        <v>1.75</v>
      </c>
      <c r="H194" s="23" t="s">
        <v>125</v>
      </c>
      <c r="I194" s="34" t="n">
        <f aca="false">Narxlar!$C$6</f>
        <v>12</v>
      </c>
      <c r="J194" s="35" t="n">
        <f aca="false">G194*I194</f>
        <v>21</v>
      </c>
    </row>
    <row r="195" customFormat="false" ht="15" hidden="false" customHeight="false" outlineLevel="0" collapsed="false">
      <c r="A195" s="23" t="n">
        <v>151</v>
      </c>
      <c r="B195" s="6" t="s">
        <v>40</v>
      </c>
      <c r="C195" s="6" t="s">
        <v>172</v>
      </c>
      <c r="D195" s="6" t="s">
        <v>242</v>
      </c>
      <c r="E195" s="32" t="n">
        <v>0.15</v>
      </c>
      <c r="F195" s="7" t="n">
        <f aca="false">Narxlar!$C$46</f>
        <v>1</v>
      </c>
      <c r="G195" s="33" t="n">
        <f aca="false">E195*F195</f>
        <v>0.15</v>
      </c>
      <c r="H195" s="23" t="s">
        <v>125</v>
      </c>
      <c r="I195" s="34" t="n">
        <f aca="false">Narxlar!$C$6</f>
        <v>12</v>
      </c>
      <c r="J195" s="35" t="n">
        <f aca="false">G195*I195</f>
        <v>1.8</v>
      </c>
    </row>
    <row r="196" customFormat="false" ht="15" hidden="false" customHeight="false" outlineLevel="0" collapsed="false">
      <c r="A196" s="23" t="n">
        <v>152</v>
      </c>
      <c r="B196" s="6" t="s">
        <v>40</v>
      </c>
      <c r="C196" s="6" t="s">
        <v>172</v>
      </c>
      <c r="D196" s="6" t="s">
        <v>242</v>
      </c>
      <c r="E196" s="32" t="n">
        <v>1.75</v>
      </c>
      <c r="F196" s="7" t="n">
        <f aca="false">Narxlar!$C$46</f>
        <v>1</v>
      </c>
      <c r="G196" s="33" t="n">
        <f aca="false">E196*F196</f>
        <v>1.75</v>
      </c>
      <c r="H196" s="23" t="s">
        <v>125</v>
      </c>
      <c r="I196" s="34" t="n">
        <f aca="false">Narxlar!$C$6</f>
        <v>12</v>
      </c>
      <c r="J196" s="35" t="n">
        <f aca="false">G196*I196</f>
        <v>21</v>
      </c>
    </row>
    <row r="197" customFormat="false" ht="15" hidden="false" customHeight="false" outlineLevel="0" collapsed="false">
      <c r="A197" s="23" t="n">
        <v>153</v>
      </c>
      <c r="B197" s="6" t="s">
        <v>40</v>
      </c>
      <c r="C197" s="6" t="s">
        <v>172</v>
      </c>
      <c r="D197" s="6" t="s">
        <v>243</v>
      </c>
      <c r="E197" s="32" t="n">
        <v>6.3</v>
      </c>
      <c r="F197" s="7" t="n">
        <f aca="false">Narxlar!$C$44</f>
        <v>3.5</v>
      </c>
      <c r="G197" s="33" t="n">
        <f aca="false">E197*F197</f>
        <v>22.05</v>
      </c>
      <c r="H197" s="23" t="s">
        <v>125</v>
      </c>
      <c r="I197" s="34" t="n">
        <f aca="false">Narxlar!$C$6</f>
        <v>12</v>
      </c>
      <c r="J197" s="35" t="n">
        <f aca="false">G197*I197</f>
        <v>264.6</v>
      </c>
    </row>
    <row r="198" customFormat="false" ht="15" hidden="false" customHeight="false" outlineLevel="0" collapsed="false">
      <c r="A198" s="23" t="n">
        <v>154</v>
      </c>
      <c r="B198" s="6" t="s">
        <v>40</v>
      </c>
      <c r="C198" s="6" t="s">
        <v>172</v>
      </c>
      <c r="D198" s="6" t="s">
        <v>244</v>
      </c>
      <c r="E198" s="32" t="n">
        <v>0.15</v>
      </c>
      <c r="F198" s="7" t="n">
        <f aca="false">Narxlar!$C$44</f>
        <v>3.5</v>
      </c>
      <c r="G198" s="33" t="n">
        <f aca="false">E198*F198</f>
        <v>0.525</v>
      </c>
      <c r="H198" s="23" t="s">
        <v>125</v>
      </c>
      <c r="I198" s="34" t="n">
        <f aca="false">Narxlar!$C$6</f>
        <v>12</v>
      </c>
      <c r="J198" s="35" t="n">
        <f aca="false">G198*I198</f>
        <v>6.3</v>
      </c>
    </row>
    <row r="199" customFormat="false" ht="15" hidden="false" customHeight="false" outlineLevel="0" collapsed="false">
      <c r="A199" s="23" t="n">
        <v>155</v>
      </c>
      <c r="B199" s="6" t="s">
        <v>40</v>
      </c>
      <c r="C199" s="6" t="s">
        <v>172</v>
      </c>
      <c r="D199" s="6" t="s">
        <v>230</v>
      </c>
      <c r="E199" s="32" t="n">
        <v>1.5</v>
      </c>
      <c r="F199" s="7" t="n">
        <f aca="false">Narxlar!$C$46</f>
        <v>1</v>
      </c>
      <c r="G199" s="33" t="n">
        <f aca="false">E199*F199</f>
        <v>1.5</v>
      </c>
      <c r="H199" s="23" t="s">
        <v>125</v>
      </c>
      <c r="I199" s="34" t="n">
        <f aca="false">Narxlar!$C$6</f>
        <v>12</v>
      </c>
      <c r="J199" s="35" t="n">
        <f aca="false">G199*I199</f>
        <v>18</v>
      </c>
    </row>
    <row r="200" customFormat="false" ht="15" hidden="false" customHeight="false" outlineLevel="0" collapsed="false">
      <c r="A200" s="23" t="n">
        <v>156</v>
      </c>
      <c r="B200" s="6" t="s">
        <v>40</v>
      </c>
      <c r="C200" s="6" t="s">
        <v>172</v>
      </c>
      <c r="D200" s="6" t="s">
        <v>245</v>
      </c>
      <c r="E200" s="32" t="n">
        <v>0.2</v>
      </c>
      <c r="F200" s="7" t="n">
        <f aca="false">Narxlar!$C$44</f>
        <v>3.5</v>
      </c>
      <c r="G200" s="33" t="n">
        <f aca="false">E200*F200</f>
        <v>0.7</v>
      </c>
      <c r="H200" s="23" t="s">
        <v>125</v>
      </c>
      <c r="I200" s="34" t="n">
        <f aca="false">Narxlar!$C$6</f>
        <v>12</v>
      </c>
      <c r="J200" s="35" t="n">
        <f aca="false">G200*I200</f>
        <v>8.4</v>
      </c>
    </row>
    <row r="201" customFormat="false" ht="15" hidden="false" customHeight="false" outlineLevel="0" collapsed="false">
      <c r="A201" s="23" t="n">
        <v>157</v>
      </c>
      <c r="B201" s="6" t="s">
        <v>40</v>
      </c>
      <c r="C201" s="6" t="s">
        <v>172</v>
      </c>
      <c r="D201" s="6" t="s">
        <v>246</v>
      </c>
      <c r="E201" s="32" t="n">
        <v>4.7</v>
      </c>
      <c r="F201" s="7" t="n">
        <f aca="false">Narxlar!$C$46</f>
        <v>1</v>
      </c>
      <c r="G201" s="33" t="n">
        <f aca="false">E201*F201</f>
        <v>4.7</v>
      </c>
      <c r="H201" s="23" t="s">
        <v>125</v>
      </c>
      <c r="I201" s="34" t="n">
        <f aca="false">Narxlar!$C$6</f>
        <v>12</v>
      </c>
      <c r="J201" s="35" t="n">
        <f aca="false">G201*I201</f>
        <v>56.4</v>
      </c>
    </row>
    <row r="202" customFormat="false" ht="15" hidden="false" customHeight="false" outlineLevel="0" collapsed="false">
      <c r="A202" s="23" t="n">
        <v>158</v>
      </c>
      <c r="B202" s="6" t="s">
        <v>40</v>
      </c>
      <c r="C202" s="6" t="s">
        <v>172</v>
      </c>
      <c r="D202" s="6" t="s">
        <v>247</v>
      </c>
      <c r="E202" s="32" t="n">
        <v>0.4</v>
      </c>
      <c r="F202" s="7" t="n">
        <f aca="false">Narxlar!$C$44</f>
        <v>3.5</v>
      </c>
      <c r="G202" s="33" t="n">
        <f aca="false">E202*F202</f>
        <v>1.4</v>
      </c>
      <c r="H202" s="23" t="s">
        <v>125</v>
      </c>
      <c r="I202" s="34" t="n">
        <f aca="false">Narxlar!$C$6</f>
        <v>12</v>
      </c>
      <c r="J202" s="35" t="n">
        <f aca="false">G202*I202</f>
        <v>16.8</v>
      </c>
    </row>
    <row r="203" customFormat="false" ht="15" hidden="false" customHeight="false" outlineLevel="0" collapsed="false">
      <c r="A203" s="23" t="n">
        <v>159</v>
      </c>
      <c r="B203" s="6" t="s">
        <v>40</v>
      </c>
      <c r="C203" s="6" t="s">
        <v>172</v>
      </c>
      <c r="D203" s="6" t="s">
        <v>248</v>
      </c>
      <c r="E203" s="32" t="n">
        <v>4.7</v>
      </c>
      <c r="F203" s="7" t="n">
        <f aca="false">Narxlar!$C$46</f>
        <v>1</v>
      </c>
      <c r="G203" s="33" t="n">
        <f aca="false">E203*F203</f>
        <v>4.7</v>
      </c>
      <c r="H203" s="23" t="s">
        <v>125</v>
      </c>
      <c r="I203" s="34" t="n">
        <f aca="false">Narxlar!$C$6</f>
        <v>12</v>
      </c>
      <c r="J203" s="35" t="n">
        <f aca="false">G203*I203</f>
        <v>56.4</v>
      </c>
    </row>
    <row r="204" customFormat="false" ht="15" hidden="false" customHeight="false" outlineLevel="0" collapsed="false">
      <c r="A204" s="23" t="n">
        <v>160</v>
      </c>
      <c r="B204" s="6" t="s">
        <v>40</v>
      </c>
      <c r="C204" s="6" t="s">
        <v>172</v>
      </c>
      <c r="D204" s="6" t="s">
        <v>249</v>
      </c>
      <c r="E204" s="32" t="n">
        <v>0.35</v>
      </c>
      <c r="F204" s="7" t="n">
        <f aca="false">Narxlar!$C$44</f>
        <v>3.5</v>
      </c>
      <c r="G204" s="33" t="n">
        <f aca="false">E204*F204</f>
        <v>1.225</v>
      </c>
      <c r="H204" s="23" t="s">
        <v>125</v>
      </c>
      <c r="I204" s="34" t="n">
        <f aca="false">Narxlar!$C$6</f>
        <v>12</v>
      </c>
      <c r="J204" s="35" t="n">
        <f aca="false">G204*I204</f>
        <v>14.7</v>
      </c>
    </row>
    <row r="205" customFormat="false" ht="15" hidden="false" customHeight="false" outlineLevel="0" collapsed="false">
      <c r="A205" s="23" t="n">
        <v>161</v>
      </c>
      <c r="B205" s="6" t="s">
        <v>40</v>
      </c>
      <c r="C205" s="6" t="s">
        <v>172</v>
      </c>
      <c r="D205" s="6" t="s">
        <v>249</v>
      </c>
      <c r="E205" s="32" t="n">
        <v>0.1</v>
      </c>
      <c r="F205" s="7" t="n">
        <f aca="false">Narxlar!$C$44</f>
        <v>3.5</v>
      </c>
      <c r="G205" s="33" t="n">
        <f aca="false">E205*F205</f>
        <v>0.35</v>
      </c>
      <c r="H205" s="23" t="s">
        <v>125</v>
      </c>
      <c r="I205" s="34" t="n">
        <f aca="false">Narxlar!$C$6</f>
        <v>12</v>
      </c>
      <c r="J205" s="35" t="n">
        <f aca="false">G205*I205</f>
        <v>4.2</v>
      </c>
    </row>
    <row r="206" customFormat="false" ht="15" hidden="false" customHeight="false" outlineLevel="0" collapsed="false">
      <c r="A206" s="23" t="n">
        <v>162</v>
      </c>
      <c r="B206" s="6" t="s">
        <v>40</v>
      </c>
      <c r="C206" s="6" t="s">
        <v>172</v>
      </c>
      <c r="D206" s="6" t="s">
        <v>250</v>
      </c>
      <c r="E206" s="7" t="n">
        <f aca="false">Narxlar!$C$49</f>
        <v>0.9</v>
      </c>
      <c r="F206" s="7" t="n">
        <f aca="false">Narxlar!$C$46</f>
        <v>1</v>
      </c>
      <c r="G206" s="33" t="n">
        <f aca="false">E206*F206</f>
        <v>0.9</v>
      </c>
      <c r="H206" s="23" t="s">
        <v>125</v>
      </c>
      <c r="I206" s="34" t="n">
        <f aca="false">Narxlar!$C$6</f>
        <v>12</v>
      </c>
      <c r="J206" s="35" t="n">
        <f aca="false">G206*I206</f>
        <v>10.8</v>
      </c>
    </row>
    <row r="207" customFormat="false" ht="15" hidden="false" customHeight="false" outlineLevel="0" collapsed="false">
      <c r="A207" s="23" t="n">
        <v>163</v>
      </c>
      <c r="B207" s="6" t="s">
        <v>40</v>
      </c>
      <c r="C207" s="6" t="s">
        <v>172</v>
      </c>
      <c r="D207" s="6" t="s">
        <v>251</v>
      </c>
      <c r="E207" s="7" t="n">
        <f aca="false">Narxlar!$C$49</f>
        <v>0.9</v>
      </c>
      <c r="F207" s="7" t="n">
        <f aca="false">Narxlar!$C$46</f>
        <v>1</v>
      </c>
      <c r="G207" s="33" t="n">
        <f aca="false">E207*F207</f>
        <v>0.9</v>
      </c>
      <c r="H207" s="23" t="s">
        <v>125</v>
      </c>
      <c r="I207" s="34" t="n">
        <f aca="false">Narxlar!$C$6</f>
        <v>12</v>
      </c>
      <c r="J207" s="35" t="n">
        <f aca="false">G207*I207</f>
        <v>10.8</v>
      </c>
    </row>
    <row r="208" customFormat="false" ht="15" hidden="false" customHeight="false" outlineLevel="0" collapsed="false">
      <c r="A208" s="23" t="n">
        <v>164</v>
      </c>
      <c r="B208" s="6" t="s">
        <v>40</v>
      </c>
      <c r="C208" s="6" t="s">
        <v>172</v>
      </c>
      <c r="D208" s="6" t="s">
        <v>252</v>
      </c>
      <c r="E208" s="7" t="n">
        <f aca="false">Narxlar!$C$49</f>
        <v>0.9</v>
      </c>
      <c r="F208" s="7" t="n">
        <f aca="false">Narxlar!$C$46</f>
        <v>1</v>
      </c>
      <c r="G208" s="33" t="n">
        <f aca="false">E208*F208</f>
        <v>0.9</v>
      </c>
      <c r="H208" s="23" t="s">
        <v>125</v>
      </c>
      <c r="I208" s="34" t="n">
        <f aca="false">Narxlar!$C$6</f>
        <v>12</v>
      </c>
      <c r="J208" s="35" t="n">
        <f aca="false">G208*I208</f>
        <v>10.8</v>
      </c>
    </row>
    <row r="209" customFormat="false" ht="15" hidden="false" customHeight="false" outlineLevel="0" collapsed="false">
      <c r="A209" s="23" t="n">
        <v>165</v>
      </c>
      <c r="B209" s="6" t="s">
        <v>40</v>
      </c>
      <c r="C209" s="6" t="s">
        <v>172</v>
      </c>
      <c r="D209" s="6" t="s">
        <v>253</v>
      </c>
      <c r="E209" s="7" t="n">
        <f aca="false">Narxlar!$C$49</f>
        <v>0.9</v>
      </c>
      <c r="F209" s="7" t="n">
        <f aca="false">Narxlar!$C$46</f>
        <v>1</v>
      </c>
      <c r="G209" s="33" t="n">
        <f aca="false">E209*F209</f>
        <v>0.9</v>
      </c>
      <c r="H209" s="23" t="s">
        <v>125</v>
      </c>
      <c r="I209" s="34" t="n">
        <f aca="false">Narxlar!$C$6</f>
        <v>12</v>
      </c>
      <c r="J209" s="35" t="n">
        <f aca="false">G209*I209</f>
        <v>10.8</v>
      </c>
    </row>
    <row r="210" customFormat="false" ht="15" hidden="false" customHeight="false" outlineLevel="0" collapsed="false">
      <c r="A210" s="23" t="n">
        <v>166</v>
      </c>
      <c r="B210" s="6" t="s">
        <v>40</v>
      </c>
      <c r="C210" s="6" t="s">
        <v>172</v>
      </c>
      <c r="D210" s="6" t="s">
        <v>254</v>
      </c>
      <c r="E210" s="7" t="n">
        <f aca="false">Narxlar!$C$49</f>
        <v>0.9</v>
      </c>
      <c r="F210" s="7" t="n">
        <f aca="false">Narxlar!$C$46</f>
        <v>1</v>
      </c>
      <c r="G210" s="33" t="n">
        <f aca="false">E210*F210</f>
        <v>0.9</v>
      </c>
      <c r="H210" s="23" t="s">
        <v>125</v>
      </c>
      <c r="I210" s="34" t="n">
        <f aca="false">Narxlar!$C$6</f>
        <v>12</v>
      </c>
      <c r="J210" s="35" t="n">
        <f aca="false">G210*I210</f>
        <v>10.8</v>
      </c>
    </row>
    <row r="211" customFormat="false" ht="15" hidden="false" customHeight="false" outlineLevel="0" collapsed="false">
      <c r="A211" s="23" t="n">
        <v>167</v>
      </c>
      <c r="B211" s="6" t="s">
        <v>40</v>
      </c>
      <c r="C211" s="6" t="s">
        <v>172</v>
      </c>
      <c r="D211" s="6" t="s">
        <v>255</v>
      </c>
      <c r="E211" s="7" t="n">
        <f aca="false">Narxlar!$C$49</f>
        <v>0.9</v>
      </c>
      <c r="F211" s="7" t="n">
        <f aca="false">Narxlar!$C$46</f>
        <v>1</v>
      </c>
      <c r="G211" s="33" t="n">
        <f aca="false">E211*F211</f>
        <v>0.9</v>
      </c>
      <c r="H211" s="23" t="s">
        <v>125</v>
      </c>
      <c r="I211" s="34" t="n">
        <f aca="false">Narxlar!$C$6</f>
        <v>12</v>
      </c>
      <c r="J211" s="35" t="n">
        <f aca="false">G211*I211</f>
        <v>10.8</v>
      </c>
    </row>
    <row r="212" customFormat="false" ht="15" hidden="false" customHeight="false" outlineLevel="0" collapsed="false">
      <c r="A212" s="23" t="n">
        <v>168</v>
      </c>
      <c r="B212" s="6" t="s">
        <v>40</v>
      </c>
      <c r="C212" s="6" t="s">
        <v>180</v>
      </c>
      <c r="D212" s="6" t="s">
        <v>239</v>
      </c>
      <c r="E212" s="32"/>
      <c r="F212" s="33"/>
      <c r="G212" s="36" t="n">
        <v>1</v>
      </c>
      <c r="H212" s="23" t="s">
        <v>182</v>
      </c>
      <c r="I212" s="34" t="n">
        <f aca="false">Narxlar!$C$11</f>
        <v>336</v>
      </c>
      <c r="J212" s="35" t="n">
        <f aca="false">G212*I212</f>
        <v>336</v>
      </c>
    </row>
    <row r="213" customFormat="false" ht="15" hidden="false" customHeight="false" outlineLevel="0" collapsed="false">
      <c r="A213" s="37"/>
      <c r="B213" s="37"/>
      <c r="C213" s="37"/>
      <c r="D213" s="11" t="s">
        <v>256</v>
      </c>
      <c r="E213" s="37"/>
      <c r="F213" s="37"/>
      <c r="G213" s="37"/>
      <c r="H213" s="37"/>
      <c r="I213" s="37"/>
      <c r="J213" s="38" t="n">
        <f aca="false">SUM(J193:J212)</f>
        <v>892.2</v>
      </c>
    </row>
    <row r="215" customFormat="false" ht="15" hidden="false" customHeight="false" outlineLevel="0" collapsed="false">
      <c r="A215" s="4" t="s">
        <v>41</v>
      </c>
      <c r="B215" s="5"/>
      <c r="C215" s="5"/>
      <c r="D215" s="5"/>
      <c r="E215" s="5"/>
      <c r="F215" s="5"/>
      <c r="G215" s="5"/>
      <c r="H215" s="5"/>
      <c r="I215" s="5"/>
      <c r="J215" s="5"/>
    </row>
    <row r="216" customFormat="false" ht="15" hidden="false" customHeight="false" outlineLevel="0" collapsed="false">
      <c r="A216" s="23" t="n">
        <v>169</v>
      </c>
      <c r="B216" s="6" t="s">
        <v>41</v>
      </c>
      <c r="C216" s="6" t="s">
        <v>172</v>
      </c>
      <c r="D216" s="6" t="s">
        <v>257</v>
      </c>
      <c r="E216" s="32" t="n">
        <v>0.4</v>
      </c>
      <c r="F216" s="7" t="n">
        <f aca="false">Narxlar!$C$44</f>
        <v>3.5</v>
      </c>
      <c r="G216" s="33" t="n">
        <f aca="false">E216*F216</f>
        <v>1.4</v>
      </c>
      <c r="H216" s="23" t="s">
        <v>125</v>
      </c>
      <c r="I216" s="34" t="n">
        <f aca="false">Narxlar!$C$6</f>
        <v>12</v>
      </c>
      <c r="J216" s="35" t="n">
        <f aca="false">G216*I216</f>
        <v>16.8</v>
      </c>
    </row>
    <row r="217" customFormat="false" ht="15" hidden="false" customHeight="false" outlineLevel="0" collapsed="false">
      <c r="A217" s="23" t="n">
        <v>170</v>
      </c>
      <c r="B217" s="6" t="s">
        <v>41</v>
      </c>
      <c r="C217" s="6" t="s">
        <v>172</v>
      </c>
      <c r="D217" s="6" t="s">
        <v>258</v>
      </c>
      <c r="E217" s="32" t="n">
        <v>0.7</v>
      </c>
      <c r="F217" s="7" t="n">
        <f aca="false">Narxlar!$C$44</f>
        <v>3.5</v>
      </c>
      <c r="G217" s="33" t="n">
        <f aca="false">E217*F217</f>
        <v>2.45</v>
      </c>
      <c r="H217" s="23" t="s">
        <v>125</v>
      </c>
      <c r="I217" s="34" t="n">
        <f aca="false">Narxlar!$C$6</f>
        <v>12</v>
      </c>
      <c r="J217" s="35" t="n">
        <f aca="false">G217*I217</f>
        <v>29.4</v>
      </c>
    </row>
    <row r="218" customFormat="false" ht="15" hidden="false" customHeight="false" outlineLevel="0" collapsed="false">
      <c r="A218" s="23" t="n">
        <v>171</v>
      </c>
      <c r="B218" s="6" t="s">
        <v>41</v>
      </c>
      <c r="C218" s="6" t="s">
        <v>172</v>
      </c>
      <c r="D218" s="6" t="s">
        <v>201</v>
      </c>
      <c r="E218" s="32" t="n">
        <v>1.65</v>
      </c>
      <c r="F218" s="7" t="n">
        <f aca="false">Narxlar!$C$44</f>
        <v>3.5</v>
      </c>
      <c r="G218" s="33" t="n">
        <f aca="false">E218*F218</f>
        <v>5.775</v>
      </c>
      <c r="H218" s="23" t="s">
        <v>125</v>
      </c>
      <c r="I218" s="34" t="n">
        <f aca="false">Narxlar!$C$6</f>
        <v>12</v>
      </c>
      <c r="J218" s="35" t="n">
        <f aca="false">G218*I218</f>
        <v>69.3</v>
      </c>
    </row>
    <row r="219" customFormat="false" ht="15" hidden="false" customHeight="false" outlineLevel="0" collapsed="false">
      <c r="A219" s="23" t="n">
        <v>172</v>
      </c>
      <c r="B219" s="6" t="s">
        <v>41</v>
      </c>
      <c r="C219" s="6" t="s">
        <v>180</v>
      </c>
      <c r="D219" s="6" t="s">
        <v>239</v>
      </c>
      <c r="E219" s="32"/>
      <c r="F219" s="33"/>
      <c r="G219" s="36" t="n">
        <v>1</v>
      </c>
      <c r="H219" s="23" t="s">
        <v>182</v>
      </c>
      <c r="I219" s="34" t="n">
        <f aca="false">Narxlar!$C$11</f>
        <v>336</v>
      </c>
      <c r="J219" s="35" t="n">
        <f aca="false">G219*I219</f>
        <v>336</v>
      </c>
    </row>
    <row r="220" customFormat="false" ht="15" hidden="false" customHeight="false" outlineLevel="0" collapsed="false">
      <c r="A220" s="37"/>
      <c r="B220" s="37"/>
      <c r="C220" s="37"/>
      <c r="D220" s="11" t="s">
        <v>259</v>
      </c>
      <c r="E220" s="37"/>
      <c r="F220" s="37"/>
      <c r="G220" s="37"/>
      <c r="H220" s="37"/>
      <c r="I220" s="37"/>
      <c r="J220" s="38" t="n">
        <f aca="false">SUM(J216:J219)</f>
        <v>451.5</v>
      </c>
    </row>
    <row r="222" customFormat="false" ht="15" hidden="false" customHeight="false" outlineLevel="0" collapsed="false">
      <c r="A222" s="4" t="s">
        <v>42</v>
      </c>
      <c r="B222" s="5"/>
      <c r="C222" s="5"/>
      <c r="D222" s="5"/>
      <c r="E222" s="5"/>
      <c r="F222" s="5"/>
      <c r="G222" s="5"/>
      <c r="H222" s="5"/>
      <c r="I222" s="5"/>
      <c r="J222" s="5"/>
    </row>
    <row r="223" customFormat="false" ht="15" hidden="false" customHeight="false" outlineLevel="0" collapsed="false">
      <c r="A223" s="23" t="n">
        <v>173</v>
      </c>
      <c r="B223" s="6" t="s">
        <v>42</v>
      </c>
      <c r="C223" s="6" t="s">
        <v>172</v>
      </c>
      <c r="D223" s="6" t="s">
        <v>201</v>
      </c>
      <c r="E223" s="32" t="n">
        <v>2.6</v>
      </c>
      <c r="F223" s="7" t="n">
        <f aca="false">Narxlar!$C$44</f>
        <v>3.5</v>
      </c>
      <c r="G223" s="33" t="n">
        <f aca="false">E223*F223</f>
        <v>9.1</v>
      </c>
      <c r="H223" s="23" t="s">
        <v>125</v>
      </c>
      <c r="I223" s="34" t="n">
        <f aca="false">Narxlar!$C$6</f>
        <v>12</v>
      </c>
      <c r="J223" s="35" t="n">
        <f aca="false">G223*I223</f>
        <v>109.2</v>
      </c>
    </row>
    <row r="224" customFormat="false" ht="15" hidden="false" customHeight="false" outlineLevel="0" collapsed="false">
      <c r="A224" s="37"/>
      <c r="B224" s="37"/>
      <c r="C224" s="37"/>
      <c r="D224" s="11" t="s">
        <v>260</v>
      </c>
      <c r="E224" s="37"/>
      <c r="F224" s="37"/>
      <c r="G224" s="37"/>
      <c r="H224" s="37"/>
      <c r="I224" s="37"/>
      <c r="J224" s="38" t="n">
        <f aca="false">SUM(J223:J223)</f>
        <v>109.2</v>
      </c>
    </row>
    <row r="226" customFormat="false" ht="15" hidden="false" customHeight="false" outlineLevel="0" collapsed="false">
      <c r="A226" s="4" t="s">
        <v>43</v>
      </c>
      <c r="B226" s="5"/>
      <c r="C226" s="5"/>
      <c r="D226" s="5"/>
      <c r="E226" s="5"/>
      <c r="F226" s="5"/>
      <c r="G226" s="5"/>
      <c r="H226" s="5"/>
      <c r="I226" s="5"/>
      <c r="J226" s="5"/>
    </row>
    <row r="227" customFormat="false" ht="15" hidden="false" customHeight="false" outlineLevel="0" collapsed="false">
      <c r="A227" s="23" t="n">
        <v>174</v>
      </c>
      <c r="B227" s="6" t="s">
        <v>43</v>
      </c>
      <c r="C227" s="6" t="s">
        <v>70</v>
      </c>
      <c r="D227" s="6" t="s">
        <v>261</v>
      </c>
      <c r="E227" s="7" t="n">
        <f aca="false">Narxlar!$C$10</f>
        <v>24</v>
      </c>
      <c r="F227" s="33"/>
      <c r="G227" s="33" t="n">
        <f aca="false">E227</f>
        <v>24</v>
      </c>
      <c r="H227" s="23" t="s">
        <v>73</v>
      </c>
      <c r="I227" s="34" t="n">
        <f aca="false">Narxlar!$C$9</f>
        <v>84</v>
      </c>
      <c r="J227" s="35" t="n">
        <f aca="false">G227*I227</f>
        <v>2016</v>
      </c>
    </row>
    <row r="228" customFormat="false" ht="15" hidden="false" customHeight="false" outlineLevel="0" collapsed="false">
      <c r="A228" s="37"/>
      <c r="B228" s="37"/>
      <c r="C228" s="37"/>
      <c r="D228" s="11" t="s">
        <v>262</v>
      </c>
      <c r="E228" s="37"/>
      <c r="F228" s="37"/>
      <c r="G228" s="37"/>
      <c r="H228" s="37"/>
      <c r="I228" s="37"/>
      <c r="J228" s="38" t="n">
        <f aca="false">SUM(J227:J227)</f>
        <v>2016</v>
      </c>
    </row>
    <row r="230" customFormat="false" ht="15" hidden="false" customHeight="false" outlineLevel="0" collapsed="false">
      <c r="A230" s="4" t="s">
        <v>44</v>
      </c>
      <c r="B230" s="5"/>
      <c r="C230" s="5"/>
      <c r="D230" s="5"/>
      <c r="E230" s="5"/>
      <c r="F230" s="5"/>
      <c r="G230" s="5"/>
      <c r="H230" s="5"/>
      <c r="I230" s="5"/>
      <c r="J230" s="5"/>
    </row>
    <row r="231" customFormat="false" ht="15" hidden="false" customHeight="false" outlineLevel="0" collapsed="false">
      <c r="A231" s="23" t="n">
        <v>175</v>
      </c>
      <c r="B231" s="6" t="s">
        <v>44</v>
      </c>
      <c r="C231" s="6" t="s">
        <v>263</v>
      </c>
      <c r="D231" s="6" t="s">
        <v>80</v>
      </c>
      <c r="E231" s="32"/>
      <c r="F231" s="33"/>
      <c r="G231" s="9" t="n">
        <f aca="false">Narxlar!$C$14</f>
        <v>16</v>
      </c>
      <c r="H231" s="23" t="s">
        <v>82</v>
      </c>
      <c r="I231" s="34" t="n">
        <f aca="false">Narxlar!$C$13</f>
        <v>40</v>
      </c>
      <c r="J231" s="35" t="n">
        <f aca="false">G231*I231</f>
        <v>640</v>
      </c>
    </row>
    <row r="232" customFormat="false" ht="15" hidden="false" customHeight="false" outlineLevel="0" collapsed="false">
      <c r="A232" s="23" t="n">
        <v>176</v>
      </c>
      <c r="B232" s="6" t="s">
        <v>44</v>
      </c>
      <c r="C232" s="6" t="s">
        <v>263</v>
      </c>
      <c r="D232" s="6" t="s">
        <v>264</v>
      </c>
      <c r="E232" s="32"/>
      <c r="F232" s="33"/>
      <c r="G232" s="9" t="n">
        <f aca="false">Narxlar!$C$14</f>
        <v>16</v>
      </c>
      <c r="H232" s="23" t="s">
        <v>82</v>
      </c>
      <c r="I232" s="34" t="n">
        <f aca="false">Narxlar!$C$15</f>
        <v>21</v>
      </c>
      <c r="J232" s="35" t="n">
        <f aca="false">G232*I232</f>
        <v>336</v>
      </c>
    </row>
    <row r="233" customFormat="false" ht="15" hidden="false" customHeight="false" outlineLevel="0" collapsed="false">
      <c r="A233" s="23" t="n">
        <v>177</v>
      </c>
      <c r="B233" s="6" t="s">
        <v>44</v>
      </c>
      <c r="C233" s="6" t="s">
        <v>263</v>
      </c>
      <c r="D233" s="6" t="s">
        <v>84</v>
      </c>
      <c r="E233" s="32"/>
      <c r="F233" s="33"/>
      <c r="G233" s="36" t="n">
        <v>1</v>
      </c>
      <c r="H233" s="23" t="s">
        <v>82</v>
      </c>
      <c r="I233" s="34" t="n">
        <f aca="false">Narxlar!$C$16</f>
        <v>840</v>
      </c>
      <c r="J233" s="35" t="n">
        <f aca="false">G233*I233</f>
        <v>840</v>
      </c>
    </row>
    <row r="234" customFormat="false" ht="15" hidden="false" customHeight="false" outlineLevel="0" collapsed="false">
      <c r="A234" s="23" t="n">
        <v>178</v>
      </c>
      <c r="B234" s="6" t="s">
        <v>44</v>
      </c>
      <c r="C234" s="6" t="s">
        <v>263</v>
      </c>
      <c r="D234" s="6" t="s">
        <v>265</v>
      </c>
      <c r="E234" s="32"/>
      <c r="F234" s="33"/>
      <c r="G234" s="36" t="n">
        <v>1</v>
      </c>
      <c r="H234" s="23" t="s">
        <v>182</v>
      </c>
      <c r="I234" s="34" t="n">
        <f aca="false">Narxlar!$C$17</f>
        <v>303</v>
      </c>
      <c r="J234" s="35" t="n">
        <f aca="false">G234*I234</f>
        <v>303</v>
      </c>
    </row>
    <row r="235" customFormat="false" ht="15" hidden="false" customHeight="false" outlineLevel="0" collapsed="false">
      <c r="A235" s="23" t="n">
        <v>179</v>
      </c>
      <c r="B235" s="6" t="s">
        <v>44</v>
      </c>
      <c r="C235" s="6" t="s">
        <v>266</v>
      </c>
      <c r="D235" s="6" t="s">
        <v>88</v>
      </c>
      <c r="E235" s="32"/>
      <c r="F235" s="33"/>
      <c r="G235" s="36" t="n">
        <v>1</v>
      </c>
      <c r="H235" s="23" t="s">
        <v>182</v>
      </c>
      <c r="I235" s="34" t="n">
        <f aca="false">Narxlar!$C$18</f>
        <v>2500</v>
      </c>
      <c r="J235" s="35" t="n">
        <f aca="false">G235*I235</f>
        <v>2500</v>
      </c>
    </row>
    <row r="236" customFormat="false" ht="15" hidden="false" customHeight="false" outlineLevel="0" collapsed="false">
      <c r="A236" s="23" t="n">
        <v>180</v>
      </c>
      <c r="B236" s="6" t="s">
        <v>44</v>
      </c>
      <c r="C236" s="6" t="s">
        <v>267</v>
      </c>
      <c r="D236" s="6" t="s">
        <v>268</v>
      </c>
      <c r="E236" s="32"/>
      <c r="F236" s="33"/>
      <c r="G236" s="9" t="n">
        <f aca="false">Narxlar!$C$21</f>
        <v>8</v>
      </c>
      <c r="H236" s="23" t="s">
        <v>82</v>
      </c>
      <c r="I236" s="34" t="n">
        <f aca="false">Narxlar!$C$20/Narxlar!$C$19</f>
        <v>67.2268907563025</v>
      </c>
      <c r="J236" s="35" t="n">
        <f aca="false">G236*I236</f>
        <v>537.81512605042</v>
      </c>
    </row>
    <row r="237" customFormat="false" ht="15" hidden="false" customHeight="false" outlineLevel="0" collapsed="false">
      <c r="A237" s="23" t="n">
        <v>181</v>
      </c>
      <c r="B237" s="6" t="s">
        <v>44</v>
      </c>
      <c r="C237" s="6" t="s">
        <v>269</v>
      </c>
      <c r="D237" s="6" t="s">
        <v>270</v>
      </c>
      <c r="E237" s="32"/>
      <c r="F237" s="33"/>
      <c r="G237" s="36" t="n">
        <v>1</v>
      </c>
      <c r="H237" s="23" t="s">
        <v>182</v>
      </c>
      <c r="I237" s="34" t="n">
        <f aca="false">Narxlar!$C$22/Narxlar!$C$19</f>
        <v>1512.60504201681</v>
      </c>
      <c r="J237" s="35" t="n">
        <f aca="false">G237*I237</f>
        <v>1512.60504201681</v>
      </c>
    </row>
    <row r="238" customFormat="false" ht="15" hidden="false" customHeight="false" outlineLevel="0" collapsed="false">
      <c r="A238" s="23" t="n">
        <v>182</v>
      </c>
      <c r="B238" s="6" t="s">
        <v>44</v>
      </c>
      <c r="C238" s="6" t="s">
        <v>271</v>
      </c>
      <c r="D238" s="6" t="s">
        <v>272</v>
      </c>
      <c r="E238" s="32" t="n">
        <v>1.1</v>
      </c>
      <c r="F238" s="7" t="n">
        <f aca="false">Narxlar!$C$44</f>
        <v>3.5</v>
      </c>
      <c r="G238" s="33" t="n">
        <f aca="false">E238*F238</f>
        <v>3.85</v>
      </c>
      <c r="H238" s="23" t="s">
        <v>125</v>
      </c>
      <c r="I238" s="34" t="n">
        <f aca="false">Narxlar!$C$23/Narxlar!$C$19</f>
        <v>4.20168067226891</v>
      </c>
      <c r="J238" s="35" t="n">
        <f aca="false">G238*I238</f>
        <v>16.1764705882353</v>
      </c>
    </row>
    <row r="239" customFormat="false" ht="15" hidden="false" customHeight="false" outlineLevel="0" collapsed="false">
      <c r="A239" s="23" t="n">
        <v>183</v>
      </c>
      <c r="B239" s="6" t="s">
        <v>44</v>
      </c>
      <c r="C239" s="6" t="s">
        <v>271</v>
      </c>
      <c r="D239" s="6" t="s">
        <v>273</v>
      </c>
      <c r="E239" s="32" t="n">
        <v>5.6</v>
      </c>
      <c r="F239" s="7" t="n">
        <f aca="false">Narxlar!$C$44</f>
        <v>3.5</v>
      </c>
      <c r="G239" s="33" t="n">
        <f aca="false">E239*F239</f>
        <v>19.6</v>
      </c>
      <c r="H239" s="23" t="s">
        <v>125</v>
      </c>
      <c r="I239" s="34" t="n">
        <f aca="false">Narxlar!$C$23/Narxlar!$C$19</f>
        <v>4.20168067226891</v>
      </c>
      <c r="J239" s="35" t="n">
        <f aca="false">G239*I239</f>
        <v>82.3529411764706</v>
      </c>
    </row>
    <row r="240" customFormat="false" ht="15" hidden="false" customHeight="false" outlineLevel="0" collapsed="false">
      <c r="A240" s="23" t="n">
        <v>184</v>
      </c>
      <c r="B240" s="6" t="s">
        <v>44</v>
      </c>
      <c r="C240" s="6" t="s">
        <v>271</v>
      </c>
      <c r="D240" s="6" t="s">
        <v>273</v>
      </c>
      <c r="E240" s="32" t="n">
        <v>5.6</v>
      </c>
      <c r="F240" s="7" t="n">
        <f aca="false">Narxlar!$C$44</f>
        <v>3.5</v>
      </c>
      <c r="G240" s="33" t="n">
        <f aca="false">E240*F240</f>
        <v>19.6</v>
      </c>
      <c r="H240" s="23" t="s">
        <v>125</v>
      </c>
      <c r="I240" s="34" t="n">
        <f aca="false">Narxlar!$C$23/Narxlar!$C$19</f>
        <v>4.20168067226891</v>
      </c>
      <c r="J240" s="35" t="n">
        <f aca="false">G240*I240</f>
        <v>82.3529411764706</v>
      </c>
    </row>
    <row r="241" customFormat="false" ht="15" hidden="false" customHeight="false" outlineLevel="0" collapsed="false">
      <c r="A241" s="23" t="n">
        <v>185</v>
      </c>
      <c r="B241" s="6" t="s">
        <v>44</v>
      </c>
      <c r="C241" s="6" t="s">
        <v>271</v>
      </c>
      <c r="D241" s="6" t="s">
        <v>273</v>
      </c>
      <c r="E241" s="32" t="n">
        <v>0.75</v>
      </c>
      <c r="F241" s="7" t="n">
        <f aca="false">Narxlar!$C$44</f>
        <v>3.5</v>
      </c>
      <c r="G241" s="33" t="n">
        <f aca="false">E241*F241</f>
        <v>2.625</v>
      </c>
      <c r="H241" s="23" t="s">
        <v>125</v>
      </c>
      <c r="I241" s="34" t="n">
        <f aca="false">Narxlar!$C$23/Narxlar!$C$19</f>
        <v>4.20168067226891</v>
      </c>
      <c r="J241" s="35" t="n">
        <f aca="false">G241*I241</f>
        <v>11.0294117647059</v>
      </c>
    </row>
    <row r="242" customFormat="false" ht="15" hidden="false" customHeight="false" outlineLevel="0" collapsed="false">
      <c r="A242" s="23" t="n">
        <v>186</v>
      </c>
      <c r="B242" s="6" t="s">
        <v>44</v>
      </c>
      <c r="C242" s="6" t="s">
        <v>271</v>
      </c>
      <c r="D242" s="6" t="s">
        <v>273</v>
      </c>
      <c r="E242" s="32" t="n">
        <v>3.4</v>
      </c>
      <c r="F242" s="7" t="n">
        <f aca="false">Narxlar!$C$44</f>
        <v>3.5</v>
      </c>
      <c r="G242" s="33" t="n">
        <f aca="false">E242*F242</f>
        <v>11.9</v>
      </c>
      <c r="H242" s="23" t="s">
        <v>125</v>
      </c>
      <c r="I242" s="34" t="n">
        <f aca="false">Narxlar!$C$23/Narxlar!$C$19</f>
        <v>4.20168067226891</v>
      </c>
      <c r="J242" s="35" t="n">
        <f aca="false">G242*I242</f>
        <v>50</v>
      </c>
    </row>
    <row r="243" customFormat="false" ht="15" hidden="false" customHeight="false" outlineLevel="0" collapsed="false">
      <c r="A243" s="23" t="n">
        <v>187</v>
      </c>
      <c r="B243" s="6" t="s">
        <v>44</v>
      </c>
      <c r="C243" s="6" t="s">
        <v>271</v>
      </c>
      <c r="D243" s="6" t="s">
        <v>274</v>
      </c>
      <c r="E243" s="32" t="n">
        <v>4.2</v>
      </c>
      <c r="F243" s="7" t="n">
        <f aca="false">Narxlar!$C$44</f>
        <v>3.5</v>
      </c>
      <c r="G243" s="33" t="n">
        <f aca="false">E243*F243</f>
        <v>14.7</v>
      </c>
      <c r="H243" s="23" t="s">
        <v>125</v>
      </c>
      <c r="I243" s="34" t="n">
        <f aca="false">Narxlar!$C$23/Narxlar!$C$19</f>
        <v>4.20168067226891</v>
      </c>
      <c r="J243" s="35" t="n">
        <f aca="false">G243*I243</f>
        <v>61.764705882353</v>
      </c>
    </row>
    <row r="244" customFormat="false" ht="15" hidden="false" customHeight="false" outlineLevel="0" collapsed="false">
      <c r="A244" s="23" t="n">
        <v>188</v>
      </c>
      <c r="B244" s="6" t="s">
        <v>44</v>
      </c>
      <c r="C244" s="6" t="s">
        <v>271</v>
      </c>
      <c r="D244" s="6" t="s">
        <v>272</v>
      </c>
      <c r="E244" s="32" t="n">
        <v>1.5</v>
      </c>
      <c r="F244" s="7" t="n">
        <f aca="false">Narxlar!$C$44</f>
        <v>3.5</v>
      </c>
      <c r="G244" s="33" t="n">
        <f aca="false">E244*F244</f>
        <v>5.25</v>
      </c>
      <c r="H244" s="23" t="s">
        <v>125</v>
      </c>
      <c r="I244" s="34" t="n">
        <f aca="false">Narxlar!$C$23/Narxlar!$C$19</f>
        <v>4.20168067226891</v>
      </c>
      <c r="J244" s="35" t="n">
        <f aca="false">G244*I244</f>
        <v>22.0588235294118</v>
      </c>
    </row>
    <row r="245" customFormat="false" ht="15" hidden="false" customHeight="false" outlineLevel="0" collapsed="false">
      <c r="A245" s="23" t="n">
        <v>189</v>
      </c>
      <c r="B245" s="6" t="s">
        <v>44</v>
      </c>
      <c r="C245" s="6" t="s">
        <v>271</v>
      </c>
      <c r="D245" s="6" t="s">
        <v>275</v>
      </c>
      <c r="E245" s="32" t="n">
        <v>0.2</v>
      </c>
      <c r="F245" s="7" t="n">
        <f aca="false">Narxlar!$C$44</f>
        <v>3.5</v>
      </c>
      <c r="G245" s="33" t="n">
        <f aca="false">E245*F245</f>
        <v>0.7</v>
      </c>
      <c r="H245" s="23" t="s">
        <v>125</v>
      </c>
      <c r="I245" s="34" t="n">
        <f aca="false">Narxlar!$C$23/Narxlar!$C$19</f>
        <v>4.20168067226891</v>
      </c>
      <c r="J245" s="35" t="n">
        <f aca="false">G245*I245</f>
        <v>2.94117647058824</v>
      </c>
    </row>
    <row r="246" customFormat="false" ht="15" hidden="false" customHeight="false" outlineLevel="0" collapsed="false">
      <c r="A246" s="23" t="n">
        <v>190</v>
      </c>
      <c r="B246" s="6" t="s">
        <v>44</v>
      </c>
      <c r="C246" s="6" t="s">
        <v>271</v>
      </c>
      <c r="D246" s="6" t="s">
        <v>272</v>
      </c>
      <c r="E246" s="32" t="n">
        <v>1.5</v>
      </c>
      <c r="F246" s="7" t="n">
        <f aca="false">Narxlar!$C$44</f>
        <v>3.5</v>
      </c>
      <c r="G246" s="33" t="n">
        <f aca="false">E246*F246</f>
        <v>5.25</v>
      </c>
      <c r="H246" s="23" t="s">
        <v>125</v>
      </c>
      <c r="I246" s="34" t="n">
        <f aca="false">Narxlar!$C$23/Narxlar!$C$19</f>
        <v>4.20168067226891</v>
      </c>
      <c r="J246" s="35" t="n">
        <f aca="false">G246*I246</f>
        <v>22.0588235294118</v>
      </c>
    </row>
    <row r="247" customFormat="false" ht="15" hidden="false" customHeight="false" outlineLevel="0" collapsed="false">
      <c r="A247" s="23" t="n">
        <v>191</v>
      </c>
      <c r="B247" s="6" t="s">
        <v>44</v>
      </c>
      <c r="C247" s="6" t="s">
        <v>271</v>
      </c>
      <c r="D247" s="6" t="s">
        <v>276</v>
      </c>
      <c r="E247" s="32"/>
      <c r="F247" s="33"/>
      <c r="G247" s="36" t="n">
        <v>1</v>
      </c>
      <c r="H247" s="23" t="s">
        <v>182</v>
      </c>
      <c r="I247" s="34" t="n">
        <f aca="false">Narxlar!$C$24/Narxlar!$C$19</f>
        <v>100.840336134454</v>
      </c>
      <c r="J247" s="35" t="n">
        <f aca="false">G247*I247</f>
        <v>100.840336134454</v>
      </c>
    </row>
    <row r="248" customFormat="false" ht="15" hidden="false" customHeight="false" outlineLevel="0" collapsed="false">
      <c r="A248" s="37"/>
      <c r="B248" s="37"/>
      <c r="C248" s="37"/>
      <c r="D248" s="11" t="s">
        <v>277</v>
      </c>
      <c r="E248" s="37"/>
      <c r="F248" s="37"/>
      <c r="G248" s="37"/>
      <c r="H248" s="37"/>
      <c r="I248" s="37"/>
      <c r="J248" s="38" t="n">
        <f aca="false">SUM(J231:J247)</f>
        <v>7120.99579831933</v>
      </c>
    </row>
    <row r="250" customFormat="false" ht="15" hidden="false" customHeight="false" outlineLevel="0" collapsed="false">
      <c r="A250" s="4" t="s">
        <v>47</v>
      </c>
      <c r="B250" s="5"/>
      <c r="C250" s="5"/>
      <c r="D250" s="5"/>
      <c r="E250" s="5"/>
      <c r="F250" s="5"/>
      <c r="G250" s="5"/>
      <c r="H250" s="5"/>
      <c r="I250" s="5"/>
      <c r="J250" s="5"/>
    </row>
    <row r="251" customFormat="false" ht="15" hidden="false" customHeight="false" outlineLevel="0" collapsed="false">
      <c r="A251" s="23" t="n">
        <v>192</v>
      </c>
      <c r="B251" s="6" t="s">
        <v>47</v>
      </c>
      <c r="C251" s="6" t="s">
        <v>66</v>
      </c>
      <c r="D251" s="6" t="s">
        <v>278</v>
      </c>
      <c r="E251" s="32" t="n">
        <v>5.45</v>
      </c>
      <c r="F251" s="7" t="n">
        <f aca="false">Narxlar!$C$51</f>
        <v>2.5</v>
      </c>
      <c r="G251" s="33" t="n">
        <f aca="false">E251*F251</f>
        <v>13.625</v>
      </c>
      <c r="H251" s="23" t="s">
        <v>125</v>
      </c>
      <c r="I251" s="34" t="n">
        <f aca="false">Narxlar!$C$7</f>
        <v>15.5</v>
      </c>
      <c r="J251" s="35" t="n">
        <f aca="false">G251*I251</f>
        <v>211.1875</v>
      </c>
    </row>
    <row r="252" customFormat="false" ht="15" hidden="false" customHeight="false" outlineLevel="0" collapsed="false">
      <c r="A252" s="23" t="n">
        <v>193</v>
      </c>
      <c r="B252" s="6" t="s">
        <v>47</v>
      </c>
      <c r="C252" s="6" t="s">
        <v>66</v>
      </c>
      <c r="D252" s="6" t="s">
        <v>279</v>
      </c>
      <c r="E252" s="32" t="n">
        <v>5.45</v>
      </c>
      <c r="F252" s="7" t="n">
        <f aca="false">Narxlar!$C$51</f>
        <v>2.5</v>
      </c>
      <c r="G252" s="33" t="n">
        <f aca="false">E252*F252</f>
        <v>13.625</v>
      </c>
      <c r="H252" s="23" t="s">
        <v>125</v>
      </c>
      <c r="I252" s="34" t="n">
        <f aca="false">Narxlar!$C$7</f>
        <v>15.5</v>
      </c>
      <c r="J252" s="35" t="n">
        <f aca="false">G252*I252</f>
        <v>211.1875</v>
      </c>
    </row>
    <row r="253" customFormat="false" ht="15" hidden="false" customHeight="false" outlineLevel="0" collapsed="false">
      <c r="A253" s="23" t="n">
        <v>194</v>
      </c>
      <c r="B253" s="6" t="s">
        <v>47</v>
      </c>
      <c r="C253" s="6" t="s">
        <v>66</v>
      </c>
      <c r="D253" s="6" t="s">
        <v>280</v>
      </c>
      <c r="E253" s="32" t="n">
        <v>8.6</v>
      </c>
      <c r="F253" s="7" t="n">
        <f aca="false">Narxlar!$C$51</f>
        <v>2.5</v>
      </c>
      <c r="G253" s="33" t="n">
        <f aca="false">E253*F253</f>
        <v>21.5</v>
      </c>
      <c r="H253" s="23" t="s">
        <v>125</v>
      </c>
      <c r="I253" s="34" t="n">
        <f aca="false">Narxlar!$C$7</f>
        <v>15.5</v>
      </c>
      <c r="J253" s="35" t="n">
        <f aca="false">G253*I253</f>
        <v>333.25</v>
      </c>
    </row>
    <row r="254" customFormat="false" ht="15" hidden="false" customHeight="false" outlineLevel="0" collapsed="false">
      <c r="A254" s="23" t="n">
        <v>195</v>
      </c>
      <c r="B254" s="6" t="s">
        <v>47</v>
      </c>
      <c r="C254" s="6" t="s">
        <v>66</v>
      </c>
      <c r="D254" s="6" t="s">
        <v>222</v>
      </c>
      <c r="E254" s="7" t="n">
        <f aca="false">Narxlar!$C$49</f>
        <v>0.9</v>
      </c>
      <c r="F254" s="7" t="n">
        <f aca="false">Narxlar!$C$47</f>
        <v>2.1</v>
      </c>
      <c r="G254" s="33" t="n">
        <f aca="false">-E254*F254</f>
        <v>-1.89</v>
      </c>
      <c r="H254" s="23" t="s">
        <v>125</v>
      </c>
      <c r="I254" s="34" t="n">
        <f aca="false">Narxlar!$C$7</f>
        <v>15.5</v>
      </c>
      <c r="J254" s="35" t="n">
        <f aca="false">G254*I254</f>
        <v>-29.295</v>
      </c>
    </row>
    <row r="255" customFormat="false" ht="15" hidden="false" customHeight="false" outlineLevel="0" collapsed="false">
      <c r="A255" s="23" t="n">
        <v>196</v>
      </c>
      <c r="B255" s="6" t="s">
        <v>47</v>
      </c>
      <c r="C255" s="6" t="s">
        <v>67</v>
      </c>
      <c r="D255" s="6" t="s">
        <v>281</v>
      </c>
      <c r="E255" s="32"/>
      <c r="F255" s="33"/>
      <c r="G255" s="36" t="n">
        <v>1</v>
      </c>
      <c r="H255" s="23" t="s">
        <v>82</v>
      </c>
      <c r="I255" s="34" t="n">
        <f aca="false">Narxlar!$C$8</f>
        <v>1032</v>
      </c>
      <c r="J255" s="35" t="n">
        <f aca="false">G255*I255</f>
        <v>1032</v>
      </c>
    </row>
    <row r="256" customFormat="false" ht="15" hidden="false" customHeight="false" outlineLevel="0" collapsed="false">
      <c r="A256" s="37"/>
      <c r="B256" s="37"/>
      <c r="C256" s="37"/>
      <c r="D256" s="11" t="s">
        <v>282</v>
      </c>
      <c r="E256" s="37"/>
      <c r="F256" s="37"/>
      <c r="G256" s="37"/>
      <c r="H256" s="37"/>
      <c r="I256" s="37"/>
      <c r="J256" s="38" t="n">
        <f aca="false">SUM(J251:J255)</f>
        <v>1758.33</v>
      </c>
    </row>
    <row r="258" customFormat="false" ht="15" hidden="false" customHeight="false" outlineLevel="0" collapsed="false">
      <c r="A258" s="4" t="s">
        <v>48</v>
      </c>
      <c r="B258" s="5"/>
      <c r="C258" s="5"/>
      <c r="D258" s="5"/>
      <c r="E258" s="5"/>
      <c r="F258" s="5"/>
      <c r="G258" s="5"/>
      <c r="H258" s="5"/>
      <c r="I258" s="5"/>
      <c r="J258" s="5"/>
    </row>
    <row r="259" customFormat="false" ht="15" hidden="false" customHeight="false" outlineLevel="0" collapsed="false">
      <c r="A259" s="23" t="n">
        <v>197</v>
      </c>
      <c r="B259" s="6" t="s">
        <v>48</v>
      </c>
      <c r="C259" s="6" t="s">
        <v>283</v>
      </c>
      <c r="D259" s="6" t="s">
        <v>284</v>
      </c>
      <c r="E259" s="32"/>
      <c r="F259" s="33"/>
      <c r="G259" s="9" t="n">
        <f aca="false">Narxlar!$C$26</f>
        <v>4</v>
      </c>
      <c r="H259" s="23" t="s">
        <v>82</v>
      </c>
      <c r="I259" s="34" t="n">
        <f aca="false">Narxlar!$C$25/Narxlar!$C$19</f>
        <v>58.8235294117647</v>
      </c>
      <c r="J259" s="35" t="n">
        <f aca="false">G259*I259</f>
        <v>235.294117647059</v>
      </c>
    </row>
    <row r="260" customFormat="false" ht="15" hidden="false" customHeight="false" outlineLevel="0" collapsed="false">
      <c r="A260" s="23" t="n">
        <v>198</v>
      </c>
      <c r="B260" s="6" t="s">
        <v>48</v>
      </c>
      <c r="C260" s="6" t="s">
        <v>283</v>
      </c>
      <c r="D260" s="6" t="s">
        <v>285</v>
      </c>
      <c r="E260" s="32"/>
      <c r="F260" s="33"/>
      <c r="G260" s="9" t="n">
        <f aca="false">Narxlar!$C$28</f>
        <v>3</v>
      </c>
      <c r="H260" s="23" t="s">
        <v>82</v>
      </c>
      <c r="I260" s="34" t="n">
        <f aca="false">Narxlar!$C$27/Narxlar!$C$19</f>
        <v>100.840336134454</v>
      </c>
      <c r="J260" s="35" t="n">
        <f aca="false">G260*I260</f>
        <v>302.521008403361</v>
      </c>
    </row>
    <row r="261" customFormat="false" ht="15" hidden="false" customHeight="false" outlineLevel="0" collapsed="false">
      <c r="A261" s="23" t="n">
        <v>199</v>
      </c>
      <c r="B261" s="6" t="s">
        <v>48</v>
      </c>
      <c r="C261" s="6" t="s">
        <v>283</v>
      </c>
      <c r="D261" s="6" t="s">
        <v>286</v>
      </c>
      <c r="E261" s="32"/>
      <c r="F261" s="33"/>
      <c r="G261" s="9" t="n">
        <f aca="false">Narxlar!$C$30</f>
        <v>4</v>
      </c>
      <c r="H261" s="23" t="s">
        <v>82</v>
      </c>
      <c r="I261" s="34" t="n">
        <f aca="false">Narxlar!$C$29/Narxlar!$C$19</f>
        <v>54.6218487394958</v>
      </c>
      <c r="J261" s="35" t="n">
        <f aca="false">G261*I261</f>
        <v>218.487394957983</v>
      </c>
    </row>
    <row r="262" customFormat="false" ht="15" hidden="false" customHeight="false" outlineLevel="0" collapsed="false">
      <c r="A262" s="23" t="n">
        <v>200</v>
      </c>
      <c r="B262" s="6" t="s">
        <v>48</v>
      </c>
      <c r="C262" s="6" t="s">
        <v>283</v>
      </c>
      <c r="D262" s="6" t="s">
        <v>287</v>
      </c>
      <c r="E262" s="32"/>
      <c r="F262" s="33"/>
      <c r="G262" s="9" t="n">
        <f aca="false">Narxlar!$C$32</f>
        <v>7</v>
      </c>
      <c r="H262" s="23" t="s">
        <v>82</v>
      </c>
      <c r="I262" s="34" t="n">
        <f aca="false">Narxlar!$C$31/Narxlar!$C$19</f>
        <v>16.8067226890756</v>
      </c>
      <c r="J262" s="35" t="n">
        <f aca="false">G262*I262</f>
        <v>117.647058823529</v>
      </c>
    </row>
    <row r="263" customFormat="false" ht="15" hidden="false" customHeight="false" outlineLevel="0" collapsed="false">
      <c r="A263" s="23" t="n">
        <v>201</v>
      </c>
      <c r="B263" s="6" t="s">
        <v>48</v>
      </c>
      <c r="C263" s="6" t="s">
        <v>283</v>
      </c>
      <c r="D263" s="6" t="s">
        <v>288</v>
      </c>
      <c r="E263" s="32"/>
      <c r="F263" s="33"/>
      <c r="G263" s="9" t="n">
        <f aca="false">Narxlar!$C$34</f>
        <v>4</v>
      </c>
      <c r="H263" s="23" t="s">
        <v>82</v>
      </c>
      <c r="I263" s="34" t="n">
        <f aca="false">Narxlar!$C$33/Narxlar!$C$19</f>
        <v>33.6134453781513</v>
      </c>
      <c r="J263" s="35" t="n">
        <f aca="false">G263*I263</f>
        <v>134.453781512605</v>
      </c>
    </row>
    <row r="264" customFormat="false" ht="15" hidden="false" customHeight="false" outlineLevel="0" collapsed="false">
      <c r="A264" s="23" t="n">
        <v>202</v>
      </c>
      <c r="B264" s="6" t="s">
        <v>48</v>
      </c>
      <c r="C264" s="6" t="s">
        <v>283</v>
      </c>
      <c r="D264" s="6" t="s">
        <v>289</v>
      </c>
      <c r="E264" s="32"/>
      <c r="F264" s="33"/>
      <c r="G264" s="9" t="n">
        <f aca="false">Narxlar!$C$36</f>
        <v>4</v>
      </c>
      <c r="H264" s="23" t="s">
        <v>82</v>
      </c>
      <c r="I264" s="34" t="n">
        <f aca="false">Narxlar!$C$35/Narxlar!$C$19</f>
        <v>33.6134453781513</v>
      </c>
      <c r="J264" s="35" t="n">
        <f aca="false">G264*I264</f>
        <v>134.453781512605</v>
      </c>
    </row>
    <row r="265" customFormat="false" ht="15" hidden="false" customHeight="false" outlineLevel="0" collapsed="false">
      <c r="A265" s="23" t="n">
        <v>203</v>
      </c>
      <c r="B265" s="6" t="s">
        <v>48</v>
      </c>
      <c r="C265" s="6" t="s">
        <v>283</v>
      </c>
      <c r="D265" s="6" t="s">
        <v>290</v>
      </c>
      <c r="E265" s="32"/>
      <c r="F265" s="33"/>
      <c r="G265" s="9" t="n">
        <f aca="false">Narxlar!$C$38</f>
        <v>16</v>
      </c>
      <c r="H265" s="23" t="s">
        <v>121</v>
      </c>
      <c r="I265" s="34" t="n">
        <f aca="false">Narxlar!$C$37/Narxlar!$C$19</f>
        <v>84.0336134453782</v>
      </c>
      <c r="J265" s="35" t="n">
        <f aca="false">G265*I265</f>
        <v>1344.53781512605</v>
      </c>
    </row>
    <row r="266" customFormat="false" ht="15" hidden="false" customHeight="false" outlineLevel="0" collapsed="false">
      <c r="A266" s="23" t="n">
        <v>204</v>
      </c>
      <c r="B266" s="6" t="s">
        <v>48</v>
      </c>
      <c r="C266" s="6" t="s">
        <v>291</v>
      </c>
      <c r="D266" s="6" t="s">
        <v>292</v>
      </c>
      <c r="E266" s="32"/>
      <c r="F266" s="33"/>
      <c r="G266" s="7" t="n">
        <f aca="false">Narxlar!$C$41</f>
        <v>58</v>
      </c>
      <c r="H266" s="23" t="s">
        <v>125</v>
      </c>
      <c r="I266" s="34" t="n">
        <f aca="false">Narxlar!$C$39/Narxlar!$C$19</f>
        <v>8.40336134453782</v>
      </c>
      <c r="J266" s="35" t="n">
        <f aca="false">G266*I266</f>
        <v>487.394957983193</v>
      </c>
    </row>
    <row r="267" customFormat="false" ht="15" hidden="false" customHeight="false" outlineLevel="0" collapsed="false">
      <c r="A267" s="23" t="n">
        <v>205</v>
      </c>
      <c r="B267" s="6" t="s">
        <v>48</v>
      </c>
      <c r="C267" s="6" t="s">
        <v>291</v>
      </c>
      <c r="D267" s="6" t="s">
        <v>293</v>
      </c>
      <c r="E267" s="32"/>
      <c r="F267" s="33"/>
      <c r="G267" s="7" t="n">
        <f aca="false">Narxlar!$C$41</f>
        <v>58</v>
      </c>
      <c r="H267" s="23" t="s">
        <v>125</v>
      </c>
      <c r="I267" s="34" t="n">
        <f aca="false">Narxlar!$C$40/Narxlar!$C$19</f>
        <v>8.40336134453782</v>
      </c>
      <c r="J267" s="35" t="n">
        <f aca="false">G267*I267</f>
        <v>487.394957983193</v>
      </c>
    </row>
    <row r="268" customFormat="false" ht="15" hidden="false" customHeight="false" outlineLevel="0" collapsed="false">
      <c r="A268" s="23" t="n">
        <v>206</v>
      </c>
      <c r="B268" s="6" t="s">
        <v>48</v>
      </c>
      <c r="C268" s="6" t="s">
        <v>291</v>
      </c>
      <c r="D268" s="6" t="s">
        <v>294</v>
      </c>
      <c r="E268" s="32"/>
      <c r="F268" s="33"/>
      <c r="G268" s="7" t="n">
        <f aca="false">Narxlar!$C$42</f>
        <v>16</v>
      </c>
      <c r="H268" s="23" t="s">
        <v>125</v>
      </c>
      <c r="I268" s="34" t="n">
        <f aca="false">Narxlar!$C$39/Narxlar!$C$19</f>
        <v>8.40336134453782</v>
      </c>
      <c r="J268" s="35" t="n">
        <f aca="false">G268*I268</f>
        <v>134.453781512605</v>
      </c>
    </row>
    <row r="269" customFormat="false" ht="15" hidden="false" customHeight="false" outlineLevel="0" collapsed="false">
      <c r="A269" s="23" t="n">
        <v>207</v>
      </c>
      <c r="B269" s="6" t="s">
        <v>48</v>
      </c>
      <c r="C269" s="6" t="s">
        <v>291</v>
      </c>
      <c r="D269" s="6" t="s">
        <v>295</v>
      </c>
      <c r="E269" s="32"/>
      <c r="F269" s="33"/>
      <c r="G269" s="7" t="n">
        <f aca="false">Narxlar!$C$42</f>
        <v>16</v>
      </c>
      <c r="H269" s="23" t="s">
        <v>125</v>
      </c>
      <c r="I269" s="34" t="n">
        <f aca="false">Narxlar!$C$40/Narxlar!$C$19</f>
        <v>8.40336134453782</v>
      </c>
      <c r="J269" s="35" t="n">
        <f aca="false">G269*I269</f>
        <v>134.453781512605</v>
      </c>
    </row>
    <row r="270" customFormat="false" ht="15" hidden="false" customHeight="false" outlineLevel="0" collapsed="false">
      <c r="A270" s="37"/>
      <c r="B270" s="37"/>
      <c r="C270" s="37"/>
      <c r="D270" s="11" t="s">
        <v>296</v>
      </c>
      <c r="E270" s="37"/>
      <c r="F270" s="37"/>
      <c r="G270" s="37"/>
      <c r="H270" s="37"/>
      <c r="I270" s="37"/>
      <c r="J270" s="38" t="n">
        <f aca="false">SUM(J259:J269)</f>
        <v>3731.09243697479</v>
      </c>
    </row>
    <row r="272" customFormat="false" ht="15" hidden="false" customHeight="false" outlineLevel="0" collapsed="false">
      <c r="A272" s="37"/>
      <c r="B272" s="37"/>
      <c r="C272" s="37"/>
      <c r="D272" s="11" t="s">
        <v>297</v>
      </c>
      <c r="E272" s="37"/>
      <c r="F272" s="37"/>
      <c r="G272" s="37"/>
      <c r="H272" s="37"/>
      <c r="I272" s="37"/>
      <c r="J272" s="38" t="n">
        <f aca="false">J16+J28+J39+J60+J72+J86+J101+J116+J131+J146+J161+J168+J190+J213+J220+J224+J228+J248+J256+J270</f>
        <v>44011.9232352941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2026-10-04T16:16:08Z</dcterms:created>
  <dc:creator>openpyxl</dc:creator>
  <dc:description/>
  <dc:language>en-US</dc:language>
  <cp:lastModifiedBy/>
  <dcterms:modified xsi:type="dcterms:W3CDTF">2026-10-04T16:16:08Z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
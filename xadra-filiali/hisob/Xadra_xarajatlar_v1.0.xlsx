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Xonalar bo'yicha" sheetId="2" state="visible" r:id="rId4"/>
    <sheet name="Narxlar" sheetId="3" state="visible" r:id="rId5"/>
    <sheet name="Hisob (batafsil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<sst xmlns="http://schemas.openxmlformats.org/spreadsheetml/2006/main" count="1208" uniqueCount="335">
  <si>
    <t xml:space="preserve">PDP Academy · Xadra filiali (2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</si>
  <si>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</si>
  <si>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</si>
  <si>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</si>
  <si>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</si>
  <si>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</si>
  <si>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</si>
  <si>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</si>
  <si>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</si>
  <si>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</si>
  <si>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</si>
  <si>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</si>
  <si>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</si>
  <si>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</si>
  <si>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</si>
  <si>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</si>
  <si>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</si>
  <si>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</si>
  <si>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</si>
  <si>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</si>
  <si>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</si>
  <si>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</si>
  <si>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JAMI</t>
  </si>
  <si>
    <t xml:space="preserve">UMUMIY JAMI</t>
  </si>
  <si>
    <t xml:space="preserve">2. Qavat va bo'limlar bo'yicha</t>
  </si>
  <si>
    <t xml:space="preserve">Bo'lim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</si>
  <si>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</si>
  <si>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</si>
  <si>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</si>
  <si>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</si>
  <si>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</si>
  <si>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</si>
  <si>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 (2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</si>
  <si>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</si>
  <si>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</si>
  <si>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</si>
  <si>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</si>
  <si>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</si>
  <si>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</si>
  <si>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</si>
  <si>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</si>
  <si>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</si>
  <si>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</si>
  <si>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</si>
  <si>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</si>
  <si>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</si>
  <si>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</si>
  <si>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</si>
  <si>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</si>
  <si>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</si>
  <si>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</si>
  <si>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</si>
  <si>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</si>
  <si>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</si>
  <si>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Jami, $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</si>
  <si>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</si>
  <si>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</si>
  <si>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</si>
  <si>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</si>
  <si>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</si>
  <si>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</si>
  <si>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</si>
  <si>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</si>
  <si>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</si>
  <si>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</si>
  <si>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</si>
  <si>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</si>
  <si>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</si>
  <si>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</si>
  <si>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</si>
  <si>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</si>
  <si>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</si>
  <si>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</si>
  <si>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</si>
  <si>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</si>
  <si>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</si>
  <si>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</si>
  <si>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</si>
  <si>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</si>
  <si>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</si>
  <si>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</si>
  <si>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</si>
  <si>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</si>
  <si>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</si>
  <si>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</si>
  <si>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</si>
  <si>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</si>
  <si>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</si>
  <si>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</si>
  <si>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</si>
  <si>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Gips karton devor (bir tomoni)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</si>
  <si>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</si>
  <si>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</si>
  <si>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</si>
  <si>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</si>
  <si>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</si>
  <si>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</si>
  <si>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Yoritish — koridor va koworking (har biriga)</t>
  </si>
  <si>
    <t xml:space="preserve">$/joy</t>
  </si>
  <si>
    <t xml:space="preserve">Buyurtmachi: K1, K2 koridorlari va koworking zali</t>
  </si>
  <si>
    <t xml:space="preserve">Yoritish — xona (har biriga)</t>
  </si>
  <si>
    <t xml:space="preserve">$/xona</t>
  </si>
  <si>
    <t xml:space="preserve">Buyurtmachi: 7 ta o'quv xonasi, 4 ta ofis xonasi va CEO xonasi</t>
  </si>
  <si>
    <t xml:space="preserve">Videokamera</t>
  </si>
  <si>
    <t xml:space="preserve">Videokameralar soni</t>
  </si>
  <si>
    <t xml:space="preserve">dona</t>
  </si>
  <si>
    <t xml:space="preserve">Kamera o'rnatish (har biri)</t>
  </si>
  <si>
    <t xml:space="preserve">NVR (videoregistrator)</t>
  </si>
  <si>
    <t xml:space="preserve">Kamera kabellari (jami)</t>
  </si>
  <si>
    <t xml:space="preserve">$/komplekt</t>
  </si>
  <si>
    <t xml:space="preserve">Buyurtmachi: jami summa</t>
  </si>
  <si>
    <t xml:space="preserve">Logotiplar (jami)</t>
  </si>
  <si>
    <t xml:space="preserve">Dollar kursi</t>
  </si>
  <si>
    <t xml:space="preserve">so'm/$</t>
  </si>
  <si>
    <t xml:space="preserve">Buyurtmachi; so'mdagi narxlar shu kurs bo'yicha $ ga o'tadi</t>
  </si>
  <si>
    <t xml:space="preserve">Matli plyonka (shisha devorga)</t>
  </si>
  <si>
    <t xml:space="preserve">so'm/dona</t>
  </si>
  <si>
    <t xml:space="preserve">Matli plyonka soni</t>
  </si>
  <si>
    <t xml:space="preserve">Yong'in xavfsizligi (signalizatsiya, o't o'chirgich, belgilar, avariya chiroqlari)</t>
  </si>
  <si>
    <t xml:space="preserve">so'm/komplekt</t>
  </si>
  <si>
    <t xml:space="preserve">Devor buzish</t>
  </si>
  <si>
    <t xml:space="preserve">so'm/m²</t>
  </si>
  <si>
    <t xml:space="preserve">Qurilish chiqindisini olib chiqish</t>
  </si>
  <si>
    <t xml:space="preserve">Chashagen</t>
  </si>
  <si>
    <t xml:space="preserve">Chashagen soni</t>
  </si>
  <si>
    <t xml:space="preserve">Buyurtmachi: 3 ta erkaklar (3-qavat), 1 ta ayollar (2-qavat)</t>
  </si>
  <si>
    <t xml:space="preserve">Unitaz</t>
  </si>
  <si>
    <t xml:space="preserve">Unitaz soni</t>
  </si>
  <si>
    <t xml:space="preserve">Buyurtmachi: 1 ta erkaklar, 2 ta ayollar</t>
  </si>
  <si>
    <t xml:space="preserve">Rakovina</t>
  </si>
  <si>
    <t xml:space="preserve">Rakovina soni</t>
  </si>
  <si>
    <t xml:space="preserve">Buyurtmachi: 2 ta erkaklar hojatxonasida, qolgan 2 tasi ayollarnikida</t>
  </si>
  <si>
    <t xml:space="preserve">Mustahab</t>
  </si>
  <si>
    <t xml:space="preserve">Mustahab soni</t>
  </si>
  <si>
    <t xml:space="preserve">Buyurtmachi: har bir unitaz va chashagenga (4 + 3)</t>
  </si>
  <si>
    <t xml:space="preserve">Taxorat smesiteli</t>
  </si>
  <si>
    <t xml:space="preserve">Taxorat smesiteli soni</t>
  </si>
  <si>
    <t xml:space="preserve">Buyurtmachi: 3 tasi erkaklar taxorat joyida, 1 tasi ayollarnikida</t>
  </si>
  <si>
    <t xml:space="preserve">Rakovina smesiteli</t>
  </si>
  <si>
    <t xml:space="preserve">Rakovina smesiteli soni</t>
  </si>
  <si>
    <t xml:space="preserve">Buyurtmachi: har bir rakovinaga</t>
  </si>
  <si>
    <t xml:space="preserve">Santexnika nuqtasi (usta ishi)</t>
  </si>
  <si>
    <t xml:space="preserve">so'm/nuqta</t>
  </si>
  <si>
    <t xml:space="preserve">Santexnika nuqtalari soni</t>
  </si>
  <si>
    <t xml:space="preserve">nuqta</t>
  </si>
  <si>
    <t xml:space="preserve">Kafel (material)</t>
  </si>
  <si>
    <t xml:space="preserve">Kafel yotqizish (usta)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</si>
  <si>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</si>
  <si>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</si>
  <si>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</si>
  <si>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kabinasi</t>
  </si>
  <si>
    <t xml:space="preserve">Hojatxona kabinalari soni</t>
  </si>
  <si>
    <t xml:space="preserve">Buyurtmachi: erkaklar hojatxonasi (3-qavat)</t>
  </si>
  <si>
    <t xml:space="preserve">Issiq suv quvuri</t>
  </si>
  <si>
    <t xml:space="preserve">so'm/m</t>
  </si>
  <si>
    <t xml:space="preserve">Issiq suv quvuri uzunligi</t>
  </si>
  <si>
    <t xml:space="preserve">Sovuq suv quvuri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</si>
  <si>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</si>
  <si>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</si>
  <si>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(fitinglar)</t>
  </si>
  <si>
    <t xml:space="preserve">Quvur aksessuarlari soni</t>
  </si>
  <si>
    <t xml:space="preserve">Buyurtmachi: jami 500 000 so'm</t>
  </si>
  <si>
    <t xml:space="preserve">Kanalizatsiya quvuri (40 m) va otvodlar</t>
  </si>
  <si>
    <t xml:space="preserve">Konditsioner — 2-qavat (2 ta, 100 mingtalik, o'rnatish bilan)</t>
  </si>
  <si>
    <t xml:space="preserve">Buyurtmachi: 2 ta uchun jami, o'rnatish bilan</t>
  </si>
  <si>
    <t xml:space="preserve">Havo kanallari (vozduxovod), 200 m²</t>
  </si>
  <si>
    <t xml:space="preserve">Konditsioner — 3-qavat o'quv xonasi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</si>
  <si>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</si>
  <si>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</si>
  <si>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</si>
  <si>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</si>
  <si>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</si>
  <si>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</si>
  <si>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</si>
  <si>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</si>
  <si>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</si>
  <si>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</si>
  <si>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</si>
  <si>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</si>
  <si>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</si>
  <si>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</si>
  <si>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</si>
  <si>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</si>
  <si>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</si>
  <si>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</si>
  <si>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</si>
  <si>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</si>
  <si>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Eshiklar shisha: eshik (2.1 m) va ustidagi shisha (0.4 m) — 2.5 m gacha shisha narxida; ustida 1 m GKL ikki tomondan. Eshik furniturasi (ilgak, qulf, tutqich, dovodchik)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</si>
  <si>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</si>
  <si>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</si>
  <si>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</si>
  <si>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</si>
  <si>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v1.0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</si>
  <si>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</si>
  <si>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</si>
  <si>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</si>
  <si>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</si>
  <si>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</si>
  <si>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unitaz, 1 chashagen); kafel faqat erkaklar hojatxonasi uchun (devor 58 m², pol 16 m²).</t>
  </si>
  <si>
    <t xml:space="preserve">• Konditsioner va ventilyatsiya (buyurtmachi summalari, o'rnatish bilan): 2-qavatga 2 ta 100 mingtalik konditsioner va 200 m² havo kanali — «Butun qavat» qatorida; 3-qavat o'quv xonasiga 1 ta konditsioner.</t>
  </si>
  <si>
    <t xml:space="preserve">• Santexnika: 4 ta kabina, issiq va sovuq suv quvurlari (40 m dan), 100 ta aksessuar, kanalizatsiya quvuri va otvodlar — «Hojatxonalar» qatorida.</t>
  </si>
  <si>
    <t xml:space="preserve">• Kirmagan: mebel va pol (kafel) mavjud; internet — mavjud;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</si>
  <si>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</si>
  <si>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</si>
  <si>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</si>
  <si>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</si>
  <si>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</si>
  <si>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</si>
  <si>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</si>
  <si>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</si>
  <si>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</si>
  <si>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</si>
  <si>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</si>
  <si>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</si>
  <si>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</si>
  <si>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</si>
  <si>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</si>
  <si>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</si>
  <si>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</si>
  <si>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</si>
  <si>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</si>
  <si>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komplekt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</si>
  <si>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</si>
  <si>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</si>
  <si>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</si>
  <si>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</si>
  <si>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devor (K2 koridori tomoni)</t>
  </si>
  <si>
    <t xml:space="preserve">Shisha eshik va ustidagi shisha (K2 koridori tomoni)</t>
  </si>
  <si>
    <t xml:space="preserve">Call-markaz (XZ4) bilan orasidagi devor — mavjud devordagi bo'shliqni yopish</t>
  </si>
  <si>
    <t xml:space="preserve">3-xona bilan orasidagi devor</t>
  </si>
  <si>
    <t xml:space="preserve">Koridor uchidagi burchak ustunchasi</t>
  </si>
  <si>
    <t xml:space="preserve">Eshik yonidagi kesak (K2 koridori tomoni)</t>
  </si>
  <si>
    <t xml:space="preserve">Shisha ustidagi GKL (K2 koridori bilan orasida)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</si>
  <si>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</si>
  <si>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</si>
  <si>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</si>
  <si>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</si>
  <si>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</si>
  <si>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</si>
  <si>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</si>
  <si>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7-xona bilan orasidagi devor — mavjud devordagi bo'shliqni yopish</t>
  </si>
  <si>
    <t xml:space="preserve">5-xona bilan orasidagi devor — mavjud devordagi bo'shliqni yopish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</si>
  <si>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</si>
  <si>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</si>
  <si>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</si>
  <si>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K1 koridori bilan orasidagi devor</t>
  </si>
  <si>
    <t xml:space="preserve">Admin (XZ2) bilan orasidagi devor</t>
  </si>
  <si>
    <t xml:space="preserve">Koworking bilan orasidagi devor</t>
  </si>
  <si>
    <t xml:space="preserve">Jami: Offline sotuv (XZ1)</t>
  </si>
  <si>
    <t xml:space="preserve">Ustozlar xonasi (XZ3) bilan orasidagi devor — mavjud devordagi bo'shliqni yopish</t>
  </si>
  <si>
    <t xml:space="preserve">Offline sotuv (XZ1) bilan orasidagi devor</t>
  </si>
  <si>
    <t xml:space="preserve">Ustozlar xonasi (XZ3) bilan orasidagi devor</t>
  </si>
  <si>
    <t xml:space="preserve">Jami: Admin (XZ2)</t>
  </si>
  <si>
    <t xml:space="preserve">Admin (XZ2) bilan orasidagi devor — mavjud devordagi bo'shliqni yopish</t>
  </si>
  <si>
    <t xml:space="preserve">Call-markaz (XZ4) bilan orasidagi devor</t>
  </si>
  <si>
    <t xml:space="preserve">K2 koridori bilan orasidagi devor</t>
  </si>
  <si>
    <t xml:space="preserve">Jami: Ustozlar xonasi (XZ3)</t>
  </si>
  <si>
    <t xml:space="preserve">4-xona bilan orasidagi devor — mavjud devordagi bo'shliqni yopish</t>
  </si>
  <si>
    <t xml:space="preserve">4-xona bilan orasidagi devor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</si>
  <si>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</si>
  <si>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</si>
  <si>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</si>
  <si>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</si>
  <si>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</si>
  <si>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</si>
  <si>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</si>
  <si>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</si>
  <si>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</si>
  <si>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</si>
  <si>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Shisha ustidagi GKL (4-xona bilan orasida)</t>
  </si>
  <si>
    <t xml:space="preserve">Offline sotuv (XZ1), Admin (XZ2) bilan orasidagi devor</t>
  </si>
  <si>
    <t xml:space="preserve">Shisha ustidagi GKL (Ustozlar xonasi (XZ3) bilan orasida)</t>
  </si>
  <si>
    <t xml:space="preserve">Shisha ustidagi GKL (Call-markaz (XZ4)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</si>
  <si>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</si>
  <si>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</si>
  <si>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</si>
  <si>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</si>
  <si>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</si>
  <si>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</si>
  <si>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</si>
  <si>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</si>
  <si>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</si>
  <si>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4-xona, Ustozlar xonasi (XZ3), Call-markaz (XZ4) bilan orasidagi devor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</si>
  <si>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</si>
  <si>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</si>
  <si>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</si>
  <si>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</si>
  <si>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</si>
  <si>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</si>
  <si>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</si>
  <si>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</si>
  <si>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</si>
  <si>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</si>
  <si>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</si>
  <si>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</si>
  <si>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Jami: K2 koridori</t>
  </si>
  <si>
    <t xml:space="preserve">1-xona bilan orasidagi devor — mavjud devordagi bo'shliqni yopish</t>
  </si>
  <si>
    <t xml:space="preserve">Offline sotuv (XZ1) bilan orasidagi devor — mavjud devordagi bo'shliqni yopish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</si>
  <si>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</si>
  <si>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</si>
  <si>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</si>
  <si>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</si>
  <si>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Kamera o'rnatish</t>
  </si>
  <si>
    <t xml:space="preserve">Kabellar (jami)</t>
  </si>
  <si>
    <t xml:space="preserve">Shisha devorlarga matli plyonka</t>
  </si>
  <si>
    <t xml:space="preserve">Signalizatsiya, o't o'chirgichlar, evakuatsiya belgilari, avariya chiroqlari (jami)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</si>
  <si>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</si>
  <si>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</si>
  <si>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</si>
  <si>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</si>
  <si>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</si>
  <si>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Konditsioner — 2 ta, 100 mingtalik, o'rnatish bilan (jami)</t>
  </si>
  <si>
    <t xml:space="preserve">Havo kanallari (vozduxovod), 200 m² (jami)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</si>
  <si>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</si>
  <si>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</si>
  <si>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</si>
  <si>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</si>
  <si>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</si>
  <si>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</si>
  <si>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</si>
  <si>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(3-qavat), 1 ta ayollar (2-qavat)</t>
  </si>
  <si>
    <t xml:space="preserve">Unitaz — 1 ta erkaklar, 2 ta ayollar</t>
  </si>
  <si>
    <t xml:space="preserve">Rakovina — 2 ta erkaklar, 2 ta ayollar</t>
  </si>
  <si>
    <t xml:space="preserve">Mustahab — har bir unitaz va chashagenga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</si>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</sst>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#,##0.00;\(#,##0.00\);\-"/>
    <numFmt numFmtId="170" formatCode="\$#,##0;&quot;($&quot;#,##0\);\-"/>
    <numFmt numFmtId="171" formatCode="#,##0;\(#,##0\);\-"/>
    <numFmt numFmtId="172" formatCode="0.00"/>
    <numFmt numFmtId="173" formatCode="0"/>
    <numFmt numFmtId="174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(batafsil)'!$J$5:$J$279,'Hisob (batafsil)'!$C$5:$C$279,"Shisha devor")</f>
        <v>5561.875</v>
      </c>
      <c r="D6" s="8" t="n">
        <f aca="false">C6*Narxlar!$C$19</f>
        <v>66186312.5</v>
      </c>
      <c r="E6" s="9" t="n">
        <f aca="false">IF($C$20=0,0,C6/$C$20)</f>
        <v>0.0928250783785723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(batafsil)'!$J$5:$J$279,'Hisob (batafsil)'!$C$5:$C$279,"Gips karton (GKL)")</f>
        <v>4897.8</v>
      </c>
      <c r="D7" s="8" t="n">
        <f aca="false">C7*Narxlar!$C$19</f>
        <v>58283820</v>
      </c>
      <c r="E7" s="9" t="n">
        <f aca="false">IF($C$20=0,0,C7/$C$20)</f>
        <v>0.0817419788978666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(batafsil)'!$J$5:$J$279,'Hisob (batafsil)'!$C$5:$C$279,"Bambuk panel")</f>
        <v>9404.16</v>
      </c>
      <c r="D8" s="8" t="n">
        <f aca="false">C8*Narxlar!$C$19</f>
        <v>111909504</v>
      </c>
      <c r="E8" s="9" t="n">
        <f aca="false">IF($C$20=0,0,C8/$C$20)</f>
        <v>0.156951008263335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(batafsil)'!$J$5:$J$279,'Hisob (batafsil)'!$C$5:$C$279,"Interaktiv doska")</f>
        <v>8256</v>
      </c>
      <c r="D9" s="8" t="n">
        <f aca="false">C9*Narxlar!$C$19</f>
        <v>98246400</v>
      </c>
      <c r="E9" s="9" t="n">
        <f aca="false">IF($C$20=0,0,C9/$C$20)</f>
        <v>0.137788757764871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(batafsil)'!$J$5:$J$279,'Hisob (batafsil)'!$C$5:$C$279,"Perila")</f>
        <v>2016</v>
      </c>
      <c r="D10" s="8" t="n">
        <f aca="false">C10*Narxlar!$C$19</f>
        <v>23990400</v>
      </c>
      <c r="E10" s="9" t="n">
        <f aca="false">IF($C$20=0,0,C10/$C$20)</f>
        <v>0.0336460920123523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(batafsil)'!$J$5:$J$279,'Hisob (batafsil)'!$C$5:$C$279,"Yoritish")</f>
        <v>3024</v>
      </c>
      <c r="D11" s="8" t="n">
        <f aca="false">C11*Narxlar!$C$19</f>
        <v>35985600</v>
      </c>
      <c r="E11" s="9" t="n">
        <f aca="false">IF($C$20=0,0,C11/$C$20)</f>
        <v>0.0504691380185284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(batafsil)'!$J$5:$J$279,'Hisob (batafsil)'!$C$5:$C$279,"Kamera tizimi")</f>
        <v>2119</v>
      </c>
      <c r="D12" s="8" t="n">
        <f aca="false">C12*Narxlar!$C$19</f>
        <v>25216100</v>
      </c>
      <c r="E12" s="9" t="n">
        <f aca="false">IF($C$20=0,0,C12/$C$20)</f>
        <v>0.0353651135784596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(batafsil)'!$J$5:$J$279,'Hisob (batafsil)'!$C$5:$C$279,"Logotip")</f>
        <v>2500</v>
      </c>
      <c r="D13" s="8" t="n">
        <f aca="false">C13*Narxlar!$C$19</f>
        <v>29750000</v>
      </c>
      <c r="E13" s="9" t="n">
        <f aca="false">IF($C$20=0,0,C13/$C$20)</f>
        <v>0.0417238244200797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(batafsil)'!$J$5:$J$279,'Hisob (batafsil)'!$C$5:$C$279,"Matli plyonka")</f>
        <v>537.81512605042</v>
      </c>
      <c r="D14" s="8" t="n">
        <f aca="false">C14*Narxlar!$C$19</f>
        <v>6400000</v>
      </c>
      <c r="E14" s="9" t="n">
        <f aca="false">IF($C$20=0,0,C14/$C$20)</f>
        <v>0.00897588155591631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(batafsil)'!$J$5:$J$279,'Hisob (batafsil)'!$C$5:$C$279,"Yong'in xavfsizligi")</f>
        <v>1512.60504201681</v>
      </c>
      <c r="D15" s="8" t="n">
        <f aca="false">C15*Narxlar!$C$19</f>
        <v>18000000</v>
      </c>
      <c r="E15" s="9" t="n">
        <f aca="false">IF($C$20=0,0,C15/$C$20)</f>
        <v>0.0252446668760146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(batafsil)'!$J$5:$J$279,'Hisob (batafsil)'!$C$5:$C$279,"Buzish ishlari")</f>
        <v>451.575630252101</v>
      </c>
      <c r="D16" s="8" t="n">
        <f aca="false">C16*Narxlar!$C$19</f>
        <v>5373750</v>
      </c>
      <c r="E16" s="9" t="n">
        <f aca="false">IF($C$20=0,0,C16/$C$20)</f>
        <v>0.0075365849236102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(batafsil)'!$J$5:$J$279,'Hisob (batafsil)'!$C$5:$C$279,"Santexnika")</f>
        <v>3393.27731092437</v>
      </c>
      <c r="D17" s="8" t="n">
        <f aca="false">C17*Narxlar!$C$19</f>
        <v>40380000</v>
      </c>
      <c r="E17" s="9" t="n">
        <f aca="false">IF($C$20=0,0,C17/$C$20)</f>
        <v>0.0566322026918595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(batafsil)'!$J$5:$J$279,'Hisob (batafsil)'!$C$5:$C$279,"Kafel")</f>
        <v>1243.6974789916</v>
      </c>
      <c r="D18" s="8" t="n">
        <f aca="false">C18*Narxlar!$C$19</f>
        <v>14800000</v>
      </c>
      <c r="E18" s="9" t="n">
        <f aca="false">IF($C$20=0,0,C18/$C$20)</f>
        <v>0.0207567260980565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(batafsil)'!$J$5:$J$279,'Hisob (batafsil)'!$C$5:$C$279,"Konditsioner va ventilyatsiya")</f>
        <v>15000</v>
      </c>
      <c r="D19" s="8" t="n">
        <f aca="false">C19*Narxlar!$C$19</f>
        <v>178500000</v>
      </c>
      <c r="E19" s="9" t="n">
        <f aca="false">IF($C$20=0,0,C19/$C$20)</f>
        <v>0.250342946520478</v>
      </c>
    </row>
    <row r="20" customFormat="false" ht="15" hidden="false" customHeight="false" outlineLevel="0" collapsed="false">
      <c r="A20" s="10"/>
      <c r="B20" s="11" t="s">
        <v>22</v>
      </c>
      <c r="C20" s="12" t="n">
        <f aca="false">SUM(C6:C19)</f>
        <v>59917.8055882353</v>
      </c>
      <c r="D20" s="13" t="n">
        <f aca="false">C20*Narxlar!$C$19</f>
        <v>713021886.5</v>
      </c>
      <c r="E20" s="14" t="n">
        <f aca="false">SUM(E6:E19)</f>
        <v>1</v>
      </c>
    </row>
    <row r="21" customFormat="false" ht="15" hidden="false" customHeight="false" outlineLevel="0" collapsed="false">
      <c r="A21" s="15"/>
      <c r="B21" s="16" t="str">
        <f aca="false">"Kutilmagan xarajatlar ("&amp;TEXT(Narxlar!$C$55,"0%")&amp;")"</f>
        <v>Kutilmagan xarajatlar (10%)</v>
      </c>
      <c r="C21" s="17" t="n">
        <f aca="false">C20*Narxlar!$C$55</f>
        <v>5991.78055882353</v>
      </c>
      <c r="D21" s="18" t="n">
        <f aca="false">C21*Narxlar!$C$19</f>
        <v>71302188.65</v>
      </c>
      <c r="E21" s="16"/>
    </row>
    <row r="22" customFormat="false" ht="15" hidden="false" customHeight="false" outlineLevel="0" collapsed="false">
      <c r="A22" s="19"/>
      <c r="B22" s="20" t="s">
        <v>23</v>
      </c>
      <c r="C22" s="21" t="n">
        <f aca="false">C20+C21</f>
        <v>65909.5861470588</v>
      </c>
      <c r="D22" s="22" t="n">
        <f aca="false">C22*Narxlar!$C$19</f>
        <v>784324075.15</v>
      </c>
      <c r="E22" s="20"/>
    </row>
    <row r="24" customFormat="false" ht="15" hidden="false" customHeight="false" outlineLevel="0" collapsed="false">
      <c r="A24" s="3" t="s">
        <v>24</v>
      </c>
    </row>
    <row r="25" customFormat="false" ht="15" hidden="false" customHeight="false" outlineLevel="0" collapsed="false">
      <c r="A25" s="4" t="s">
        <v>3</v>
      </c>
      <c r="B25" s="4" t="s">
        <v>25</v>
      </c>
      <c r="C25" s="4" t="s">
        <v>5</v>
      </c>
      <c r="D25" s="4" t="s">
        <v>6</v>
      </c>
      <c r="E25" s="4" t="s">
        <v>7</v>
      </c>
    </row>
    <row r="26" customFormat="false" ht="15" hidden="false" customHeight="false" outlineLevel="0" collapsed="false">
      <c r="A26" s="5" t="n">
        <v>1</v>
      </c>
      <c r="B26" s="6" t="s">
        <v>26</v>
      </c>
      <c r="C26" s="7" t="n">
        <f aca="false">'Xonalar bo''yicha'!$U$13</f>
        <v>20080.625</v>
      </c>
      <c r="D26" s="8" t="n">
        <f aca="false">C26*Narxlar!$C$19</f>
        <v>238959437.5</v>
      </c>
      <c r="E26" s="9" t="n">
        <f aca="false">IF($C$30=0,0,C26/$C$30)</f>
        <v>0.335136188698185</v>
      </c>
    </row>
    <row r="27" customFormat="false" ht="15" hidden="false" customHeight="false" outlineLevel="0" collapsed="false">
      <c r="A27" s="5" t="n">
        <v>2</v>
      </c>
      <c r="B27" s="6" t="s">
        <v>27</v>
      </c>
      <c r="C27" s="7" t="n">
        <f aca="false">'Xonalar bo''yicha'!$U$21</f>
        <v>6971.48</v>
      </c>
      <c r="D27" s="8" t="n">
        <f aca="false">C27*Narxlar!$C$19</f>
        <v>82960612</v>
      </c>
      <c r="E27" s="9" t="n">
        <f aca="false">IF($C$30=0,0,C27/$C$30)</f>
        <v>0.116350722987239</v>
      </c>
    </row>
    <row r="28" customFormat="false" ht="15" hidden="false" customHeight="false" outlineLevel="0" collapsed="false">
      <c r="A28" s="5" t="n">
        <v>3</v>
      </c>
      <c r="B28" s="6" t="s">
        <v>28</v>
      </c>
      <c r="C28" s="7" t="n">
        <f aca="false">'Xonalar bo''yicha'!$U$30</f>
        <v>25470.3957983193</v>
      </c>
      <c r="D28" s="8" t="n">
        <f aca="false">C28*Narxlar!$C$19</f>
        <v>303097710</v>
      </c>
      <c r="E28" s="9" t="n">
        <f aca="false">IF($C$30=0,0,C28/$C$30)</f>
        <v>0.425088928879605</v>
      </c>
    </row>
    <row r="29" customFormat="false" ht="15" hidden="false" customHeight="false" outlineLevel="0" collapsed="false">
      <c r="A29" s="5" t="n">
        <v>4</v>
      </c>
      <c r="B29" s="6" t="s">
        <v>29</v>
      </c>
      <c r="C29" s="7" t="n">
        <f aca="false">'Xonalar bo''yicha'!$U$35</f>
        <v>7395.30478991597</v>
      </c>
      <c r="D29" s="8" t="n">
        <f aca="false">C29*Narxlar!$C$19</f>
        <v>88004127</v>
      </c>
      <c r="E29" s="9" t="n">
        <f aca="false">IF($C$30=0,0,C29/$C$30)</f>
        <v>0.123424159434971</v>
      </c>
    </row>
    <row r="30" customFormat="false" ht="15" hidden="false" customHeight="false" outlineLevel="0" collapsed="false">
      <c r="A30" s="10"/>
      <c r="B30" s="11" t="s">
        <v>22</v>
      </c>
      <c r="C30" s="12" t="n">
        <f aca="false">SUM(C26:C29)</f>
        <v>59917.8055882353</v>
      </c>
      <c r="D30" s="13" t="n">
        <f aca="false">C30*Narxlar!$C$19</f>
        <v>713021886.5</v>
      </c>
      <c r="E30" s="14" t="n">
        <f aca="false">SUM(E26:E29)</f>
        <v>1</v>
      </c>
    </row>
    <row r="32" customFormat="false" ht="15" hidden="false" customHeight="false" outlineLevel="0" collapsed="false">
      <c r="B32" s="2" t="s">
        <v>30</v>
      </c>
      <c r="C32" s="23" t="n">
        <f aca="false">C20-C30</f>
        <v>0</v>
      </c>
    </row>
    <row r="33" customFormat="false" ht="15" hidden="false" customHeight="false" outlineLevel="0" collapsed="false">
      <c r="B33" s="2" t="s">
        <v>31</v>
      </c>
      <c r="C33" s="24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0" min="2" style="0" width="12"/>
    <col collapsed="false" customWidth="true" hidden="false" outlineLevel="0" max="21" min="21" style="0" width="14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31.5" hidden="false" customHeight="true" outlineLevel="0" collapsed="false">
      <c r="A4" s="4" t="s">
        <v>34</v>
      </c>
      <c r="B4" s="4" t="s">
        <v>35</v>
      </c>
      <c r="C4" s="4" t="s">
        <v>36</v>
      </c>
      <c r="D4" s="4" t="s">
        <v>37</v>
      </c>
      <c r="E4" s="4" t="s">
        <v>38</v>
      </c>
      <c r="F4" s="4" t="s">
        <v>39</v>
      </c>
      <c r="G4" s="4" t="s">
        <v>40</v>
      </c>
      <c r="H4" s="4" t="s">
        <v>41</v>
      </c>
      <c r="I4" s="4" t="s">
        <v>42</v>
      </c>
      <c r="J4" s="4" t="s">
        <v>43</v>
      </c>
      <c r="K4" s="4" t="s">
        <v>44</v>
      </c>
      <c r="L4" s="4" t="s">
        <v>45</v>
      </c>
      <c r="M4" s="4" t="s">
        <v>46</v>
      </c>
      <c r="N4" s="4" t="s">
        <v>47</v>
      </c>
      <c r="O4" s="4" t="s">
        <v>48</v>
      </c>
      <c r="P4" s="4" t="s">
        <v>49</v>
      </c>
      <c r="Q4" s="4" t="s">
        <v>50</v>
      </c>
      <c r="R4" s="4" t="s">
        <v>51</v>
      </c>
      <c r="S4" s="4" t="s">
        <v>52</v>
      </c>
      <c r="T4" s="4" t="s">
        <v>53</v>
      </c>
      <c r="U4" s="4" t="s">
        <v>54</v>
      </c>
    </row>
    <row r="5" customFormat="false" ht="15" hidden="false" customHeight="false" outlineLevel="0" collapsed="false">
      <c r="A5" s="25" t="s">
        <v>26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</row>
    <row r="6" customFormat="false" ht="15" hidden="false" customHeight="false" outlineLevel="0" collapsed="false">
      <c r="A6" s="6" t="s">
        <v>55</v>
      </c>
      <c r="B6" s="27" t="n">
        <f aca="false">SUMIFS('Hisob (batafsil)'!$G$5:$G$279,'Hisob (batafsil)'!$B$5:$B$279,$A6,'Hisob (batafsil)'!$C$5:$C$279,"Shisha devor")</f>
        <v>13.75</v>
      </c>
      <c r="C6" s="28" t="n">
        <f aca="false">SUMIFS('Hisob (batafsil)'!$J$5:$J$279,'Hisob (batafsil)'!$B$5:$B$279,$A6,'Hisob (batafsil)'!$C$5:$C$279,"Shisha devor")</f>
        <v>756.25</v>
      </c>
      <c r="D6" s="27" t="n">
        <f aca="false">SUMIFS('Hisob (batafsil)'!$G$5:$G$279,'Hisob (batafsil)'!$B$5:$B$279,$A6,'Hisob (batafsil)'!$C$5:$C$279,"Gips karton (GKL)")</f>
        <v>7.25</v>
      </c>
      <c r="E6" s="28" t="n">
        <f aca="false">SUMIFS('Hisob (batafsil)'!$J$5:$J$279,'Hisob (batafsil)'!$B$5:$B$279,$A6,'Hisob (batafsil)'!$C$5:$C$279,"Gips karton (GKL)")</f>
        <v>87</v>
      </c>
      <c r="F6" s="27" t="n">
        <f aca="false">SUMIFS('Hisob (batafsil)'!$G$5:$G$279,'Hisob (batafsil)'!$B$5:$B$279,$A6,'Hisob (batafsil)'!$C$5:$C$279,"Bambuk panel")</f>
        <v>53.9</v>
      </c>
      <c r="G6" s="28" t="n">
        <f aca="false">SUMIFS('Hisob (batafsil)'!$J$5:$J$279,'Hisob (batafsil)'!$B$5:$B$279,$A6,'Hisob (batafsil)'!$C$5:$C$279,"Bambuk panel")</f>
        <v>835.45</v>
      </c>
      <c r="H6" s="29" t="n">
        <f aca="false">SUMIFS('Hisob (batafsil)'!$G$5:$G$279,'Hisob (batafsil)'!$B$5:$B$279,$A6,'Hisob (batafsil)'!$C$5:$C$279,"Interaktiv doska")</f>
        <v>1</v>
      </c>
      <c r="I6" s="28" t="n">
        <f aca="false">SUMIFS('Hisob (batafsil)'!$J$5:$J$279,'Hisob (batafsil)'!$B$5:$B$279,$A6,'Hisob (batafsil)'!$C$5:$C$279,"Interaktiv doska")</f>
        <v>1032</v>
      </c>
      <c r="J6" s="27" t="n">
        <f aca="false">SUMIFS('Hisob (batafsil)'!$G$5:$G$279,'Hisob (batafsil)'!$B$5:$B$279,$A6,'Hisob (batafsil)'!$C$5:$C$279,"Perila")</f>
        <v>0</v>
      </c>
      <c r="K6" s="28" t="n">
        <f aca="false">SUMIFS('Hisob (batafsil)'!$J$5:$J$279,'Hisob (batafsil)'!$B$5:$B$279,$A6,'Hisob (batafsil)'!$C$5:$C$279,"Perila")</f>
        <v>0</v>
      </c>
      <c r="L6" s="28" t="n">
        <f aca="false">SUMIFS('Hisob (batafsil)'!$J$5:$J$279,'Hisob (batafsil)'!$B$5:$B$279,$A6,'Hisob (batafsil)'!$C$5:$C$279,"Yoritish")</f>
        <v>168</v>
      </c>
      <c r="M6" s="28" t="n">
        <f aca="false">SUMIFS('Hisob (batafsil)'!$J$5:$J$279,'Hisob (batafsil)'!$B$5:$B$279,$A6,'Hisob (batafsil)'!$C$5:$C$279,"Kamera tizimi")</f>
        <v>0</v>
      </c>
      <c r="N6" s="28" t="n">
        <f aca="false">SUMIFS('Hisob (batafsil)'!$J$5:$J$279,'Hisob (batafsil)'!$B$5:$B$279,$A6,'Hisob (batafsil)'!$C$5:$C$279,"Logotip")</f>
        <v>0</v>
      </c>
      <c r="O6" s="28" t="n">
        <f aca="false">SUMIFS('Hisob (batafsil)'!$J$5:$J$279,'Hisob (batafsil)'!$B$5:$B$279,$A6,'Hisob (batafsil)'!$C$5:$C$279,"Matli plyonka")</f>
        <v>0</v>
      </c>
      <c r="P6" s="28" t="n">
        <f aca="false">SUMIFS('Hisob (batafsil)'!$J$5:$J$279,'Hisob (batafsil)'!$B$5:$B$279,$A6,'Hisob (batafsil)'!$C$5:$C$279,"Yong'in xavfsizligi")</f>
        <v>0</v>
      </c>
      <c r="Q6" s="28" t="n">
        <f aca="false">SUMIFS('Hisob (batafsil)'!$J$5:$J$279,'Hisob (batafsil)'!$B$5:$B$279,$A6,'Hisob (batafsil)'!$C$5:$C$279,"Buzish ishlari")</f>
        <v>0</v>
      </c>
      <c r="R6" s="28" t="n">
        <f aca="false">SUMIFS('Hisob (batafsil)'!$J$5:$J$279,'Hisob (batafsil)'!$B$5:$B$279,$A6,'Hisob (batafsil)'!$C$5:$C$279,"Santexnika")</f>
        <v>0</v>
      </c>
      <c r="S6" s="28" t="n">
        <f aca="false">SUMIFS('Hisob (batafsil)'!$J$5:$J$279,'Hisob (batafsil)'!$B$5:$B$279,$A6,'Hisob (batafsil)'!$C$5:$C$279,"Kafel")</f>
        <v>0</v>
      </c>
      <c r="T6" s="28" t="n">
        <f aca="false">SUMIFS('Hisob (batafsil)'!$J$5:$J$279,'Hisob (batafsil)'!$B$5:$B$279,$A6,'Hisob (batafsil)'!$C$5:$C$279,"Konditsioner va ventilyatsiya")</f>
        <v>0</v>
      </c>
      <c r="U6" s="30" t="n">
        <f aca="false">C6+E6+G6+I6+K6+L6+M6+N6+O6+P6+Q6+R6+S6+T6</f>
        <v>2878.7</v>
      </c>
    </row>
    <row r="7" customFormat="false" ht="15" hidden="false" customHeight="false" outlineLevel="0" collapsed="false">
      <c r="A7" s="6" t="s">
        <v>56</v>
      </c>
      <c r="B7" s="27" t="n">
        <f aca="false">SUMIFS('Hisob (batafsil)'!$G$5:$G$279,'Hisob (batafsil)'!$B$5:$B$279,$A7,'Hisob (batafsil)'!$C$5:$C$279,"Shisha devor")</f>
        <v>14</v>
      </c>
      <c r="C7" s="28" t="n">
        <f aca="false">SUMIFS('Hisob (batafsil)'!$J$5:$J$279,'Hisob (batafsil)'!$B$5:$B$279,$A7,'Hisob (batafsil)'!$C$5:$C$279,"Shisha devor")</f>
        <v>770</v>
      </c>
      <c r="D7" s="27" t="n">
        <f aca="false">SUMIFS('Hisob (batafsil)'!$G$5:$G$279,'Hisob (batafsil)'!$B$5:$B$279,$A7,'Hisob (batafsil)'!$C$5:$C$279,"Gips karton (GKL)")</f>
        <v>6.3</v>
      </c>
      <c r="E7" s="28" t="n">
        <f aca="false">SUMIFS('Hisob (batafsil)'!$J$5:$J$279,'Hisob (batafsil)'!$B$5:$B$279,$A7,'Hisob (batafsil)'!$C$5:$C$279,"Gips karton (GKL)")</f>
        <v>75.6</v>
      </c>
      <c r="F7" s="27" t="n">
        <f aca="false">SUMIFS('Hisob (batafsil)'!$G$5:$G$279,'Hisob (batafsil)'!$B$5:$B$279,$A7,'Hisob (batafsil)'!$C$5:$C$279,"Bambuk panel")</f>
        <v>53.9</v>
      </c>
      <c r="G7" s="28" t="n">
        <f aca="false">SUMIFS('Hisob (batafsil)'!$J$5:$J$279,'Hisob (batafsil)'!$B$5:$B$279,$A7,'Hisob (batafsil)'!$C$5:$C$279,"Bambuk panel")</f>
        <v>835.45</v>
      </c>
      <c r="H7" s="29" t="n">
        <f aca="false">SUMIFS('Hisob (batafsil)'!$G$5:$G$279,'Hisob (batafsil)'!$B$5:$B$279,$A7,'Hisob (batafsil)'!$C$5:$C$279,"Interaktiv doska")</f>
        <v>1</v>
      </c>
      <c r="I7" s="28" t="n">
        <f aca="false">SUMIFS('Hisob (batafsil)'!$J$5:$J$279,'Hisob (batafsil)'!$B$5:$B$279,$A7,'Hisob (batafsil)'!$C$5:$C$279,"Interaktiv doska")</f>
        <v>1032</v>
      </c>
      <c r="J7" s="27" t="n">
        <f aca="false">SUMIFS('Hisob (batafsil)'!$G$5:$G$279,'Hisob (batafsil)'!$B$5:$B$279,$A7,'Hisob (batafsil)'!$C$5:$C$279,"Perila")</f>
        <v>0</v>
      </c>
      <c r="K7" s="28" t="n">
        <f aca="false">SUMIFS('Hisob (batafsil)'!$J$5:$J$279,'Hisob (batafsil)'!$B$5:$B$279,$A7,'Hisob (batafsil)'!$C$5:$C$279,"Perila")</f>
        <v>0</v>
      </c>
      <c r="L7" s="28" t="n">
        <f aca="false">SUMIFS('Hisob (batafsil)'!$J$5:$J$279,'Hisob (batafsil)'!$B$5:$B$279,$A7,'Hisob (batafsil)'!$C$5:$C$279,"Yoritish")</f>
        <v>168</v>
      </c>
      <c r="M7" s="28" t="n">
        <f aca="false">SUMIFS('Hisob (batafsil)'!$J$5:$J$279,'Hisob (batafsil)'!$B$5:$B$279,$A7,'Hisob (batafsil)'!$C$5:$C$279,"Kamera tizimi")</f>
        <v>0</v>
      </c>
      <c r="N7" s="28" t="n">
        <f aca="false">SUMIFS('Hisob (batafsil)'!$J$5:$J$279,'Hisob (batafsil)'!$B$5:$B$279,$A7,'Hisob (batafsil)'!$C$5:$C$279,"Logotip")</f>
        <v>0</v>
      </c>
      <c r="O7" s="28" t="n">
        <f aca="false">SUMIFS('Hisob (batafsil)'!$J$5:$J$279,'Hisob (batafsil)'!$B$5:$B$279,$A7,'Hisob (batafsil)'!$C$5:$C$279,"Matli plyonka")</f>
        <v>0</v>
      </c>
      <c r="P7" s="28" t="n">
        <f aca="false">SUMIFS('Hisob (batafsil)'!$J$5:$J$279,'Hisob (batafsil)'!$B$5:$B$279,$A7,'Hisob (batafsil)'!$C$5:$C$279,"Yong'in xavfsizligi")</f>
        <v>0</v>
      </c>
      <c r="Q7" s="28" t="n">
        <f aca="false">SUMIFS('Hisob (batafsil)'!$J$5:$J$279,'Hisob (batafsil)'!$B$5:$B$279,$A7,'Hisob (batafsil)'!$C$5:$C$279,"Buzish ishlari")</f>
        <v>0</v>
      </c>
      <c r="R7" s="28" t="n">
        <f aca="false">SUMIFS('Hisob (batafsil)'!$J$5:$J$279,'Hisob (batafsil)'!$B$5:$B$279,$A7,'Hisob (batafsil)'!$C$5:$C$279,"Santexnika")</f>
        <v>0</v>
      </c>
      <c r="S7" s="28" t="n">
        <f aca="false">SUMIFS('Hisob (batafsil)'!$J$5:$J$279,'Hisob (batafsil)'!$B$5:$B$279,$A7,'Hisob (batafsil)'!$C$5:$C$279,"Kafel")</f>
        <v>0</v>
      </c>
      <c r="T7" s="28" t="n">
        <f aca="false">SUMIFS('Hisob (batafsil)'!$J$5:$J$279,'Hisob (batafsil)'!$B$5:$B$279,$A7,'Hisob (batafsil)'!$C$5:$C$279,"Konditsioner va ventilyatsiya")</f>
        <v>0</v>
      </c>
      <c r="U7" s="30" t="n">
        <f aca="false">C7+E7+G7+I7+K7+L7+M7+N7+O7+P7+Q7+R7+S7+T7</f>
        <v>2881.05</v>
      </c>
    </row>
    <row r="8" customFormat="false" ht="15" hidden="false" customHeight="false" outlineLevel="0" collapsed="false">
      <c r="A8" s="6" t="s">
        <v>57</v>
      </c>
      <c r="B8" s="27" t="n">
        <f aca="false">SUMIFS('Hisob (batafsil)'!$G$5:$G$279,'Hisob (batafsil)'!$B$5:$B$279,$A8,'Hisob (batafsil)'!$C$5:$C$279,"Shisha devor")</f>
        <v>2.25</v>
      </c>
      <c r="C8" s="28" t="n">
        <f aca="false">SUMIFS('Hisob (batafsil)'!$J$5:$J$279,'Hisob (batafsil)'!$B$5:$B$279,$A8,'Hisob (batafsil)'!$C$5:$C$279,"Shisha devor")</f>
        <v>123.75</v>
      </c>
      <c r="D8" s="27" t="n">
        <f aca="false">SUMIFS('Hisob (batafsil)'!$G$5:$G$279,'Hisob (batafsil)'!$B$5:$B$279,$A8,'Hisob (batafsil)'!$C$5:$C$279,"Gips karton (GKL)")</f>
        <v>17.875</v>
      </c>
      <c r="E8" s="28" t="n">
        <f aca="false">SUMIFS('Hisob (batafsil)'!$J$5:$J$279,'Hisob (batafsil)'!$B$5:$B$279,$A8,'Hisob (batafsil)'!$C$5:$C$279,"Gips karton (GKL)")</f>
        <v>214.5</v>
      </c>
      <c r="F8" s="27" t="n">
        <f aca="false">SUMIFS('Hisob (batafsil)'!$G$5:$G$279,'Hisob (batafsil)'!$B$5:$B$279,$A8,'Hisob (batafsil)'!$C$5:$C$279,"Bambuk panel")</f>
        <v>53.9</v>
      </c>
      <c r="G8" s="28" t="n">
        <f aca="false">SUMIFS('Hisob (batafsil)'!$J$5:$J$279,'Hisob (batafsil)'!$B$5:$B$279,$A8,'Hisob (batafsil)'!$C$5:$C$279,"Bambuk panel")</f>
        <v>835.45</v>
      </c>
      <c r="H8" s="29" t="n">
        <f aca="false">SUMIFS('Hisob (batafsil)'!$G$5:$G$279,'Hisob (batafsil)'!$B$5:$B$279,$A8,'Hisob (batafsil)'!$C$5:$C$279,"Interaktiv doska")</f>
        <v>1</v>
      </c>
      <c r="I8" s="28" t="n">
        <f aca="false">SUMIFS('Hisob (batafsil)'!$J$5:$J$279,'Hisob (batafsil)'!$B$5:$B$279,$A8,'Hisob (batafsil)'!$C$5:$C$279,"Interaktiv doska")</f>
        <v>1032</v>
      </c>
      <c r="J8" s="27" t="n">
        <f aca="false">SUMIFS('Hisob (batafsil)'!$G$5:$G$279,'Hisob (batafsil)'!$B$5:$B$279,$A8,'Hisob (batafsil)'!$C$5:$C$279,"Perila")</f>
        <v>0</v>
      </c>
      <c r="K8" s="28" t="n">
        <f aca="false">SUMIFS('Hisob (batafsil)'!$J$5:$J$279,'Hisob (batafsil)'!$B$5:$B$279,$A8,'Hisob (batafsil)'!$C$5:$C$279,"Perila")</f>
        <v>0</v>
      </c>
      <c r="L8" s="28" t="n">
        <f aca="false">SUMIFS('Hisob (batafsil)'!$J$5:$J$279,'Hisob (batafsil)'!$B$5:$B$279,$A8,'Hisob (batafsil)'!$C$5:$C$279,"Yoritish")</f>
        <v>168</v>
      </c>
      <c r="M8" s="28" t="n">
        <f aca="false">SUMIFS('Hisob (batafsil)'!$J$5:$J$279,'Hisob (batafsil)'!$B$5:$B$279,$A8,'Hisob (batafsil)'!$C$5:$C$279,"Kamera tizimi")</f>
        <v>0</v>
      </c>
      <c r="N8" s="28" t="n">
        <f aca="false">SUMIFS('Hisob (batafsil)'!$J$5:$J$279,'Hisob (batafsil)'!$B$5:$B$279,$A8,'Hisob (batafsil)'!$C$5:$C$279,"Logotip")</f>
        <v>0</v>
      </c>
      <c r="O8" s="28" t="n">
        <f aca="false">SUMIFS('Hisob (batafsil)'!$J$5:$J$279,'Hisob (batafsil)'!$B$5:$B$279,$A8,'Hisob (batafsil)'!$C$5:$C$279,"Matli plyonka")</f>
        <v>0</v>
      </c>
      <c r="P8" s="28" t="n">
        <f aca="false">SUMIFS('Hisob (batafsil)'!$J$5:$J$279,'Hisob (batafsil)'!$B$5:$B$279,$A8,'Hisob (batafsil)'!$C$5:$C$279,"Yong'in xavfsizligi")</f>
        <v>0</v>
      </c>
      <c r="Q8" s="28" t="n">
        <f aca="false">SUMIFS('Hisob (batafsil)'!$J$5:$J$279,'Hisob (batafsil)'!$B$5:$B$279,$A8,'Hisob (batafsil)'!$C$5:$C$279,"Buzish ishlari")</f>
        <v>0</v>
      </c>
      <c r="R8" s="28" t="n">
        <f aca="false">SUMIFS('Hisob (batafsil)'!$J$5:$J$279,'Hisob (batafsil)'!$B$5:$B$279,$A8,'Hisob (batafsil)'!$C$5:$C$279,"Santexnika")</f>
        <v>0</v>
      </c>
      <c r="S8" s="28" t="n">
        <f aca="false">SUMIFS('Hisob (batafsil)'!$J$5:$J$279,'Hisob (batafsil)'!$B$5:$B$279,$A8,'Hisob (batafsil)'!$C$5:$C$279,"Kafel")</f>
        <v>0</v>
      </c>
      <c r="T8" s="28" t="n">
        <f aca="false">SUMIFS('Hisob (batafsil)'!$J$5:$J$279,'Hisob (batafsil)'!$B$5:$B$279,$A8,'Hisob (batafsil)'!$C$5:$C$279,"Konditsioner va ventilyatsiya")</f>
        <v>0</v>
      </c>
      <c r="U8" s="30" t="n">
        <f aca="false">C8+E8+G8+I8+K8+L8+M8+N8+O8+P8+Q8+R8+S8+T8</f>
        <v>2373.7</v>
      </c>
    </row>
    <row r="9" customFormat="false" ht="15" hidden="false" customHeight="false" outlineLevel="0" collapsed="false">
      <c r="A9" s="6" t="s">
        <v>58</v>
      </c>
      <c r="B9" s="27" t="n">
        <f aca="false">SUMIFS('Hisob (batafsil)'!$G$5:$G$279,'Hisob (batafsil)'!$B$5:$B$279,$A9,'Hisob (batafsil)'!$C$5:$C$279,"Shisha devor")</f>
        <v>12.625</v>
      </c>
      <c r="C9" s="28" t="n">
        <f aca="false">SUMIFS('Hisob (batafsil)'!$J$5:$J$279,'Hisob (batafsil)'!$B$5:$B$279,$A9,'Hisob (batafsil)'!$C$5:$C$279,"Shisha devor")</f>
        <v>694.375</v>
      </c>
      <c r="D9" s="27" t="n">
        <f aca="false">SUMIFS('Hisob (batafsil)'!$G$5:$G$279,'Hisob (batafsil)'!$B$5:$B$279,$A9,'Hisob (batafsil)'!$C$5:$C$279,"Gips karton (GKL)")</f>
        <v>41.625</v>
      </c>
      <c r="E9" s="28" t="n">
        <f aca="false">SUMIFS('Hisob (batafsil)'!$J$5:$J$279,'Hisob (batafsil)'!$B$5:$B$279,$A9,'Hisob (batafsil)'!$C$5:$C$279,"Gips karton (GKL)")</f>
        <v>499.5</v>
      </c>
      <c r="F9" s="27" t="n">
        <f aca="false">SUMIFS('Hisob (batafsil)'!$G$5:$G$279,'Hisob (batafsil)'!$B$5:$B$279,$A9,'Hisob (batafsil)'!$C$5:$C$279,"Bambuk panel")</f>
        <v>50.4</v>
      </c>
      <c r="G9" s="28" t="n">
        <f aca="false">SUMIFS('Hisob (batafsil)'!$J$5:$J$279,'Hisob (batafsil)'!$B$5:$B$279,$A9,'Hisob (batafsil)'!$C$5:$C$279,"Bambuk panel")</f>
        <v>781.2</v>
      </c>
      <c r="H9" s="29" t="n">
        <f aca="false">SUMIFS('Hisob (batafsil)'!$G$5:$G$279,'Hisob (batafsil)'!$B$5:$B$279,$A9,'Hisob (batafsil)'!$C$5:$C$279,"Interaktiv doska")</f>
        <v>1</v>
      </c>
      <c r="I9" s="28" t="n">
        <f aca="false">SUMIFS('Hisob (batafsil)'!$J$5:$J$279,'Hisob (batafsil)'!$B$5:$B$279,$A9,'Hisob (batafsil)'!$C$5:$C$279,"Interaktiv doska")</f>
        <v>1032</v>
      </c>
      <c r="J9" s="27" t="n">
        <f aca="false">SUMIFS('Hisob (batafsil)'!$G$5:$G$279,'Hisob (batafsil)'!$B$5:$B$279,$A9,'Hisob (batafsil)'!$C$5:$C$279,"Perila")</f>
        <v>0</v>
      </c>
      <c r="K9" s="28" t="n">
        <f aca="false">SUMIFS('Hisob (batafsil)'!$J$5:$J$279,'Hisob (batafsil)'!$B$5:$B$279,$A9,'Hisob (batafsil)'!$C$5:$C$279,"Perila")</f>
        <v>0</v>
      </c>
      <c r="L9" s="28" t="n">
        <f aca="false">SUMIFS('Hisob (batafsil)'!$J$5:$J$279,'Hisob (batafsil)'!$B$5:$B$279,$A9,'Hisob (batafsil)'!$C$5:$C$279,"Yoritish")</f>
        <v>168</v>
      </c>
      <c r="M9" s="28" t="n">
        <f aca="false">SUMIFS('Hisob (batafsil)'!$J$5:$J$279,'Hisob (batafsil)'!$B$5:$B$279,$A9,'Hisob (batafsil)'!$C$5:$C$279,"Kamera tizimi")</f>
        <v>0</v>
      </c>
      <c r="N9" s="28" t="n">
        <f aca="false">SUMIFS('Hisob (batafsil)'!$J$5:$J$279,'Hisob (batafsil)'!$B$5:$B$279,$A9,'Hisob (batafsil)'!$C$5:$C$279,"Logotip")</f>
        <v>0</v>
      </c>
      <c r="O9" s="28" t="n">
        <f aca="false">SUMIFS('Hisob (batafsil)'!$J$5:$J$279,'Hisob (batafsil)'!$B$5:$B$279,$A9,'Hisob (batafsil)'!$C$5:$C$279,"Matli plyonka")</f>
        <v>0</v>
      </c>
      <c r="P9" s="28" t="n">
        <f aca="false">SUMIFS('Hisob (batafsil)'!$J$5:$J$279,'Hisob (batafsil)'!$B$5:$B$279,$A9,'Hisob (batafsil)'!$C$5:$C$279,"Yong'in xavfsizligi")</f>
        <v>0</v>
      </c>
      <c r="Q9" s="28" t="n">
        <f aca="false">SUMIFS('Hisob (batafsil)'!$J$5:$J$279,'Hisob (batafsil)'!$B$5:$B$279,$A9,'Hisob (batafsil)'!$C$5:$C$279,"Buzish ishlari")</f>
        <v>0</v>
      </c>
      <c r="R9" s="28" t="n">
        <f aca="false">SUMIFS('Hisob (batafsil)'!$J$5:$J$279,'Hisob (batafsil)'!$B$5:$B$279,$A9,'Hisob (batafsil)'!$C$5:$C$279,"Santexnika")</f>
        <v>0</v>
      </c>
      <c r="S9" s="28" t="n">
        <f aca="false">SUMIFS('Hisob (batafsil)'!$J$5:$J$279,'Hisob (batafsil)'!$B$5:$B$279,$A9,'Hisob (batafsil)'!$C$5:$C$279,"Kafel")</f>
        <v>0</v>
      </c>
      <c r="T9" s="28" t="n">
        <f aca="false">SUMIFS('Hisob (batafsil)'!$J$5:$J$279,'Hisob (batafsil)'!$B$5:$B$279,$A9,'Hisob (batafsil)'!$C$5:$C$279,"Konditsioner va ventilyatsiya")</f>
        <v>0</v>
      </c>
      <c r="U9" s="30" t="n">
        <f aca="false">C9+E9+G9+I9+K9+L9+M9+N9+O9+P9+Q9+R9+S9+T9</f>
        <v>3175.075</v>
      </c>
    </row>
    <row r="10" customFormat="false" ht="15" hidden="false" customHeight="false" outlineLevel="0" collapsed="false">
      <c r="A10" s="6" t="s">
        <v>59</v>
      </c>
      <c r="B10" s="27" t="n">
        <f aca="false">SUMIFS('Hisob (batafsil)'!$G$5:$G$279,'Hisob (batafsil)'!$B$5:$B$279,$A10,'Hisob (batafsil)'!$C$5:$C$279,"Shisha devor")</f>
        <v>2.25</v>
      </c>
      <c r="C10" s="28" t="n">
        <f aca="false">SUMIFS('Hisob (batafsil)'!$J$5:$J$279,'Hisob (batafsil)'!$B$5:$B$279,$A10,'Hisob (batafsil)'!$C$5:$C$279,"Shisha devor")</f>
        <v>123.75</v>
      </c>
      <c r="D10" s="27" t="n">
        <f aca="false">SUMIFS('Hisob (batafsil)'!$G$5:$G$279,'Hisob (batafsil)'!$B$5:$B$279,$A10,'Hisob (batafsil)'!$C$5:$C$279,"Gips karton (GKL)")</f>
        <v>27.5</v>
      </c>
      <c r="E10" s="28" t="n">
        <f aca="false">SUMIFS('Hisob (batafsil)'!$J$5:$J$279,'Hisob (batafsil)'!$B$5:$B$279,$A10,'Hisob (batafsil)'!$C$5:$C$279,"Gips karton (GKL)")</f>
        <v>330</v>
      </c>
      <c r="F10" s="27" t="n">
        <f aca="false">SUMIFS('Hisob (batafsil)'!$G$5:$G$279,'Hisob (batafsil)'!$B$5:$B$279,$A10,'Hisob (batafsil)'!$C$5:$C$279,"Bambuk panel")</f>
        <v>53.9</v>
      </c>
      <c r="G10" s="28" t="n">
        <f aca="false">SUMIFS('Hisob (batafsil)'!$J$5:$J$279,'Hisob (batafsil)'!$B$5:$B$279,$A10,'Hisob (batafsil)'!$C$5:$C$279,"Bambuk panel")</f>
        <v>835.45</v>
      </c>
      <c r="H10" s="29" t="n">
        <f aca="false">SUMIFS('Hisob (batafsil)'!$G$5:$G$279,'Hisob (batafsil)'!$B$5:$B$279,$A10,'Hisob (batafsil)'!$C$5:$C$279,"Interaktiv doska")</f>
        <v>1</v>
      </c>
      <c r="I10" s="28" t="n">
        <f aca="false">SUMIFS('Hisob (batafsil)'!$J$5:$J$279,'Hisob (batafsil)'!$B$5:$B$279,$A10,'Hisob (batafsil)'!$C$5:$C$279,"Interaktiv doska")</f>
        <v>1032</v>
      </c>
      <c r="J10" s="27" t="n">
        <f aca="false">SUMIFS('Hisob (batafsil)'!$G$5:$G$279,'Hisob (batafsil)'!$B$5:$B$279,$A10,'Hisob (batafsil)'!$C$5:$C$279,"Perila")</f>
        <v>0</v>
      </c>
      <c r="K10" s="28" t="n">
        <f aca="false">SUMIFS('Hisob (batafsil)'!$J$5:$J$279,'Hisob (batafsil)'!$B$5:$B$279,$A10,'Hisob (batafsil)'!$C$5:$C$279,"Perila")</f>
        <v>0</v>
      </c>
      <c r="L10" s="28" t="n">
        <f aca="false">SUMIFS('Hisob (batafsil)'!$J$5:$J$279,'Hisob (batafsil)'!$B$5:$B$279,$A10,'Hisob (batafsil)'!$C$5:$C$279,"Yoritish")</f>
        <v>168</v>
      </c>
      <c r="M10" s="28" t="n">
        <f aca="false">SUMIFS('Hisob (batafsil)'!$J$5:$J$279,'Hisob (batafsil)'!$B$5:$B$279,$A10,'Hisob (batafsil)'!$C$5:$C$279,"Kamera tizimi")</f>
        <v>0</v>
      </c>
      <c r="N10" s="28" t="n">
        <f aca="false">SUMIFS('Hisob (batafsil)'!$J$5:$J$279,'Hisob (batafsil)'!$B$5:$B$279,$A10,'Hisob (batafsil)'!$C$5:$C$279,"Logotip")</f>
        <v>0</v>
      </c>
      <c r="O10" s="28" t="n">
        <f aca="false">SUMIFS('Hisob (batafsil)'!$J$5:$J$279,'Hisob (batafsil)'!$B$5:$B$279,$A10,'Hisob (batafsil)'!$C$5:$C$279,"Matli plyonka")</f>
        <v>0</v>
      </c>
      <c r="P10" s="28" t="n">
        <f aca="false">SUMIFS('Hisob (batafsil)'!$J$5:$J$279,'Hisob (batafsil)'!$B$5:$B$279,$A10,'Hisob (batafsil)'!$C$5:$C$279,"Yong'in xavfsizligi")</f>
        <v>0</v>
      </c>
      <c r="Q10" s="28" t="n">
        <f aca="false">SUMIFS('Hisob (batafsil)'!$J$5:$J$279,'Hisob (batafsil)'!$B$5:$B$279,$A10,'Hisob (batafsil)'!$C$5:$C$279,"Buzish ishlari")</f>
        <v>0</v>
      </c>
      <c r="R10" s="28" t="n">
        <f aca="false">SUMIFS('Hisob (batafsil)'!$J$5:$J$279,'Hisob (batafsil)'!$B$5:$B$279,$A10,'Hisob (batafsil)'!$C$5:$C$279,"Santexnika")</f>
        <v>0</v>
      </c>
      <c r="S10" s="28" t="n">
        <f aca="false">SUMIFS('Hisob (batafsil)'!$J$5:$J$279,'Hisob (batafsil)'!$B$5:$B$279,$A10,'Hisob (batafsil)'!$C$5:$C$279,"Kafel")</f>
        <v>0</v>
      </c>
      <c r="T10" s="28" t="n">
        <f aca="false">SUMIFS('Hisob (batafsil)'!$J$5:$J$279,'Hisob (batafsil)'!$B$5:$B$279,$A10,'Hisob (batafsil)'!$C$5:$C$279,"Konditsioner va ventilyatsiya")</f>
        <v>0</v>
      </c>
      <c r="U10" s="30" t="n">
        <f aca="false">C10+E10+G10+I10+K10+L10+M10+N10+O10+P10+Q10+R10+S10+T10</f>
        <v>2489.2</v>
      </c>
    </row>
    <row r="11" customFormat="false" ht="15" hidden="false" customHeight="false" outlineLevel="0" collapsed="false">
      <c r="A11" s="6" t="s">
        <v>60</v>
      </c>
      <c r="B11" s="27" t="n">
        <f aca="false">SUMIFS('Hisob (batafsil)'!$G$5:$G$279,'Hisob (batafsil)'!$B$5:$B$279,$A11,'Hisob (batafsil)'!$C$5:$C$279,"Shisha devor")</f>
        <v>14</v>
      </c>
      <c r="C11" s="28" t="n">
        <f aca="false">SUMIFS('Hisob (batafsil)'!$J$5:$J$279,'Hisob (batafsil)'!$B$5:$B$279,$A11,'Hisob (batafsil)'!$C$5:$C$279,"Shisha devor")</f>
        <v>770</v>
      </c>
      <c r="D11" s="27" t="n">
        <f aca="false">SUMIFS('Hisob (batafsil)'!$G$5:$G$279,'Hisob (batafsil)'!$B$5:$B$279,$A11,'Hisob (batafsil)'!$C$5:$C$279,"Gips karton (GKL)")</f>
        <v>25.55</v>
      </c>
      <c r="E11" s="28" t="n">
        <f aca="false">SUMIFS('Hisob (batafsil)'!$J$5:$J$279,'Hisob (batafsil)'!$B$5:$B$279,$A11,'Hisob (batafsil)'!$C$5:$C$279,"Gips karton (GKL)")</f>
        <v>306.6</v>
      </c>
      <c r="F11" s="27" t="n">
        <f aca="false">SUMIFS('Hisob (batafsil)'!$G$5:$G$279,'Hisob (batafsil)'!$B$5:$B$279,$A11,'Hisob (batafsil)'!$C$5:$C$279,"Bambuk panel")</f>
        <v>53.9</v>
      </c>
      <c r="G11" s="28" t="n">
        <f aca="false">SUMIFS('Hisob (batafsil)'!$J$5:$J$279,'Hisob (batafsil)'!$B$5:$B$279,$A11,'Hisob (batafsil)'!$C$5:$C$279,"Bambuk panel")</f>
        <v>835.45</v>
      </c>
      <c r="H11" s="29" t="n">
        <f aca="false">SUMIFS('Hisob (batafsil)'!$G$5:$G$279,'Hisob (batafsil)'!$B$5:$B$279,$A11,'Hisob (batafsil)'!$C$5:$C$279,"Interaktiv doska")</f>
        <v>1</v>
      </c>
      <c r="I11" s="28" t="n">
        <f aca="false">SUMIFS('Hisob (batafsil)'!$J$5:$J$279,'Hisob (batafsil)'!$B$5:$B$279,$A11,'Hisob (batafsil)'!$C$5:$C$279,"Interaktiv doska")</f>
        <v>1032</v>
      </c>
      <c r="J11" s="27" t="n">
        <f aca="false">SUMIFS('Hisob (batafsil)'!$G$5:$G$279,'Hisob (batafsil)'!$B$5:$B$279,$A11,'Hisob (batafsil)'!$C$5:$C$279,"Perila")</f>
        <v>0</v>
      </c>
      <c r="K11" s="28" t="n">
        <f aca="false">SUMIFS('Hisob (batafsil)'!$J$5:$J$279,'Hisob (batafsil)'!$B$5:$B$279,$A11,'Hisob (batafsil)'!$C$5:$C$279,"Perila")</f>
        <v>0</v>
      </c>
      <c r="L11" s="28" t="n">
        <f aca="false">SUMIFS('Hisob (batafsil)'!$J$5:$J$279,'Hisob (batafsil)'!$B$5:$B$279,$A11,'Hisob (batafsil)'!$C$5:$C$279,"Yoritish")</f>
        <v>168</v>
      </c>
      <c r="M11" s="28" t="n">
        <f aca="false">SUMIFS('Hisob (batafsil)'!$J$5:$J$279,'Hisob (batafsil)'!$B$5:$B$279,$A11,'Hisob (batafsil)'!$C$5:$C$279,"Kamera tizimi")</f>
        <v>0</v>
      </c>
      <c r="N11" s="28" t="n">
        <f aca="false">SUMIFS('Hisob (batafsil)'!$J$5:$J$279,'Hisob (batafsil)'!$B$5:$B$279,$A11,'Hisob (batafsil)'!$C$5:$C$279,"Logotip")</f>
        <v>0</v>
      </c>
      <c r="O11" s="28" t="n">
        <f aca="false">SUMIFS('Hisob (batafsil)'!$J$5:$J$279,'Hisob (batafsil)'!$B$5:$B$279,$A11,'Hisob (batafsil)'!$C$5:$C$279,"Matli plyonka")</f>
        <v>0</v>
      </c>
      <c r="P11" s="28" t="n">
        <f aca="false">SUMIFS('Hisob (batafsil)'!$J$5:$J$279,'Hisob (batafsil)'!$B$5:$B$279,$A11,'Hisob (batafsil)'!$C$5:$C$279,"Yong'in xavfsizligi")</f>
        <v>0</v>
      </c>
      <c r="Q11" s="28" t="n">
        <f aca="false">SUMIFS('Hisob (batafsil)'!$J$5:$J$279,'Hisob (batafsil)'!$B$5:$B$279,$A11,'Hisob (batafsil)'!$C$5:$C$279,"Buzish ishlari")</f>
        <v>0</v>
      </c>
      <c r="R11" s="28" t="n">
        <f aca="false">SUMIFS('Hisob (batafsil)'!$J$5:$J$279,'Hisob (batafsil)'!$B$5:$B$279,$A11,'Hisob (batafsil)'!$C$5:$C$279,"Santexnika")</f>
        <v>0</v>
      </c>
      <c r="S11" s="28" t="n">
        <f aca="false">SUMIFS('Hisob (batafsil)'!$J$5:$J$279,'Hisob (batafsil)'!$B$5:$B$279,$A11,'Hisob (batafsil)'!$C$5:$C$279,"Kafel")</f>
        <v>0</v>
      </c>
      <c r="T11" s="28" t="n">
        <f aca="false">SUMIFS('Hisob (batafsil)'!$J$5:$J$279,'Hisob (batafsil)'!$B$5:$B$279,$A11,'Hisob (batafsil)'!$C$5:$C$279,"Konditsioner va ventilyatsiya")</f>
        <v>0</v>
      </c>
      <c r="U11" s="30" t="n">
        <f aca="false">C11+E11+G11+I11+K11+L11+M11+N11+O11+P11+Q11+R11+S11+T11</f>
        <v>3112.05</v>
      </c>
    </row>
    <row r="12" customFormat="false" ht="15" hidden="false" customHeight="false" outlineLevel="0" collapsed="false">
      <c r="A12" s="6" t="s">
        <v>61</v>
      </c>
      <c r="B12" s="27" t="n">
        <f aca="false">SUMIFS('Hisob (batafsil)'!$G$5:$G$279,'Hisob (batafsil)'!$B$5:$B$279,$A12,'Hisob (batafsil)'!$C$5:$C$279,"Shisha devor")</f>
        <v>14</v>
      </c>
      <c r="C12" s="28" t="n">
        <f aca="false">SUMIFS('Hisob (batafsil)'!$J$5:$J$279,'Hisob (batafsil)'!$B$5:$B$279,$A12,'Hisob (batafsil)'!$C$5:$C$279,"Shisha devor")</f>
        <v>770</v>
      </c>
      <c r="D12" s="27" t="n">
        <f aca="false">SUMIFS('Hisob (batafsil)'!$G$5:$G$279,'Hisob (batafsil)'!$B$5:$B$279,$A12,'Hisob (batafsil)'!$C$5:$C$279,"Gips karton (GKL)")</f>
        <v>30.45</v>
      </c>
      <c r="E12" s="28" t="n">
        <f aca="false">SUMIFS('Hisob (batafsil)'!$J$5:$J$279,'Hisob (batafsil)'!$B$5:$B$279,$A12,'Hisob (batafsil)'!$C$5:$C$279,"Gips karton (GKL)")</f>
        <v>365.4</v>
      </c>
      <c r="F12" s="27" t="n">
        <f aca="false">SUMIFS('Hisob (batafsil)'!$G$5:$G$279,'Hisob (batafsil)'!$B$5:$B$279,$A12,'Hisob (batafsil)'!$C$5:$C$279,"Bambuk panel")</f>
        <v>53.9</v>
      </c>
      <c r="G12" s="28" t="n">
        <f aca="false">SUMIFS('Hisob (batafsil)'!$J$5:$J$279,'Hisob (batafsil)'!$B$5:$B$279,$A12,'Hisob (batafsil)'!$C$5:$C$279,"Bambuk panel")</f>
        <v>835.45</v>
      </c>
      <c r="H12" s="29" t="n">
        <f aca="false">SUMIFS('Hisob (batafsil)'!$G$5:$G$279,'Hisob (batafsil)'!$B$5:$B$279,$A12,'Hisob (batafsil)'!$C$5:$C$279,"Interaktiv doska")</f>
        <v>1</v>
      </c>
      <c r="I12" s="28" t="n">
        <f aca="false">SUMIFS('Hisob (batafsil)'!$J$5:$J$279,'Hisob (batafsil)'!$B$5:$B$279,$A12,'Hisob (batafsil)'!$C$5:$C$279,"Interaktiv doska")</f>
        <v>1032</v>
      </c>
      <c r="J12" s="27" t="n">
        <f aca="false">SUMIFS('Hisob (batafsil)'!$G$5:$G$279,'Hisob (batafsil)'!$B$5:$B$279,$A12,'Hisob (batafsil)'!$C$5:$C$279,"Perila")</f>
        <v>0</v>
      </c>
      <c r="K12" s="28" t="n">
        <f aca="false">SUMIFS('Hisob (batafsil)'!$J$5:$J$279,'Hisob (batafsil)'!$B$5:$B$279,$A12,'Hisob (batafsil)'!$C$5:$C$279,"Perila")</f>
        <v>0</v>
      </c>
      <c r="L12" s="28" t="n">
        <f aca="false">SUMIFS('Hisob (batafsil)'!$J$5:$J$279,'Hisob (batafsil)'!$B$5:$B$279,$A12,'Hisob (batafsil)'!$C$5:$C$279,"Yoritish")</f>
        <v>168</v>
      </c>
      <c r="M12" s="28" t="n">
        <f aca="false">SUMIFS('Hisob (batafsil)'!$J$5:$J$279,'Hisob (batafsil)'!$B$5:$B$279,$A12,'Hisob (batafsil)'!$C$5:$C$279,"Kamera tizimi")</f>
        <v>0</v>
      </c>
      <c r="N12" s="28" t="n">
        <f aca="false">SUMIFS('Hisob (batafsil)'!$J$5:$J$279,'Hisob (batafsil)'!$B$5:$B$279,$A12,'Hisob (batafsil)'!$C$5:$C$279,"Logotip")</f>
        <v>0</v>
      </c>
      <c r="O12" s="28" t="n">
        <f aca="false">SUMIFS('Hisob (batafsil)'!$J$5:$J$279,'Hisob (batafsil)'!$B$5:$B$279,$A12,'Hisob (batafsil)'!$C$5:$C$279,"Matli plyonka")</f>
        <v>0</v>
      </c>
      <c r="P12" s="28" t="n">
        <f aca="false">SUMIFS('Hisob (batafsil)'!$J$5:$J$279,'Hisob (batafsil)'!$B$5:$B$279,$A12,'Hisob (batafsil)'!$C$5:$C$279,"Yong'in xavfsizligi")</f>
        <v>0</v>
      </c>
      <c r="Q12" s="28" t="n">
        <f aca="false">SUMIFS('Hisob (batafsil)'!$J$5:$J$279,'Hisob (batafsil)'!$B$5:$B$279,$A12,'Hisob (batafsil)'!$C$5:$C$279,"Buzish ishlari")</f>
        <v>0</v>
      </c>
      <c r="R12" s="28" t="n">
        <f aca="false">SUMIFS('Hisob (batafsil)'!$J$5:$J$279,'Hisob (batafsil)'!$B$5:$B$279,$A12,'Hisob (batafsil)'!$C$5:$C$279,"Santexnika")</f>
        <v>0</v>
      </c>
      <c r="S12" s="28" t="n">
        <f aca="false">SUMIFS('Hisob (batafsil)'!$J$5:$J$279,'Hisob (batafsil)'!$B$5:$B$279,$A12,'Hisob (batafsil)'!$C$5:$C$279,"Kafel")</f>
        <v>0</v>
      </c>
      <c r="T12" s="28" t="n">
        <f aca="false">SUMIFS('Hisob (batafsil)'!$J$5:$J$279,'Hisob (batafsil)'!$B$5:$B$279,$A12,'Hisob (batafsil)'!$C$5:$C$279,"Konditsioner va ventilyatsiya")</f>
        <v>0</v>
      </c>
      <c r="U12" s="30" t="n">
        <f aca="false">C12+E12+G12+I12+K12+L12+M12+N12+O12+P12+Q12+R12+S12+T12</f>
        <v>3170.85</v>
      </c>
    </row>
    <row r="13" customFormat="false" ht="15" hidden="false" customHeight="false" outlineLevel="0" collapsed="false">
      <c r="A13" s="11" t="s">
        <v>62</v>
      </c>
      <c r="B13" s="31" t="n">
        <f aca="false">SUM(B6:B12)</f>
        <v>72.875</v>
      </c>
      <c r="C13" s="32" t="n">
        <f aca="false">SUM(C6:C12)</f>
        <v>4008.125</v>
      </c>
      <c r="D13" s="31" t="n">
        <f aca="false">SUM(D6:D12)</f>
        <v>156.55</v>
      </c>
      <c r="E13" s="32" t="n">
        <f aca="false">SUM(E6:E12)</f>
        <v>1878.6</v>
      </c>
      <c r="F13" s="31" t="n">
        <f aca="false">SUM(F6:F12)</f>
        <v>373.8</v>
      </c>
      <c r="G13" s="32" t="n">
        <f aca="false">SUM(G6:G12)</f>
        <v>5793.9</v>
      </c>
      <c r="H13" s="33" t="n">
        <f aca="false">SUM(H6:H12)</f>
        <v>7</v>
      </c>
      <c r="I13" s="32" t="n">
        <f aca="false">SUM(I6:I12)</f>
        <v>7224</v>
      </c>
      <c r="J13" s="31" t="n">
        <f aca="false">SUM(J6:J12)</f>
        <v>0</v>
      </c>
      <c r="K13" s="32" t="n">
        <f aca="false">SUM(K6:K12)</f>
        <v>0</v>
      </c>
      <c r="L13" s="32" t="n">
        <f aca="false">SUM(L6:L12)</f>
        <v>1176</v>
      </c>
      <c r="M13" s="32" t="n">
        <f aca="false">SUM(M6:M12)</f>
        <v>0</v>
      </c>
      <c r="N13" s="32" t="n">
        <f aca="false">SUM(N6:N12)</f>
        <v>0</v>
      </c>
      <c r="O13" s="32" t="n">
        <f aca="false">SUM(O6:O12)</f>
        <v>0</v>
      </c>
      <c r="P13" s="32" t="n">
        <f aca="false">SUM(P6:P12)</f>
        <v>0</v>
      </c>
      <c r="Q13" s="32" t="n">
        <f aca="false">SUM(Q6:Q12)</f>
        <v>0</v>
      </c>
      <c r="R13" s="32" t="n">
        <f aca="false">SUM(R6:R12)</f>
        <v>0</v>
      </c>
      <c r="S13" s="32" t="n">
        <f aca="false">SUM(S6:S12)</f>
        <v>0</v>
      </c>
      <c r="T13" s="32" t="n">
        <f aca="false">SUM(T6:T12)</f>
        <v>0</v>
      </c>
      <c r="U13" s="32" t="n">
        <f aca="false">SUM(U6:U12)</f>
        <v>20080.625</v>
      </c>
    </row>
    <row r="15" customFormat="false" ht="15" hidden="false" customHeight="false" outlineLevel="0" collapsed="false">
      <c r="A15" s="25" t="s">
        <v>27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</row>
    <row r="16" customFormat="false" ht="15" hidden="false" customHeight="false" outlineLevel="0" collapsed="false">
      <c r="A16" s="6" t="s">
        <v>63</v>
      </c>
      <c r="B16" s="27" t="n">
        <f aca="false">SUMIFS('Hisob (batafsil)'!$G$5:$G$279,'Hisob (batafsil)'!$B$5:$B$279,$A16,'Hisob (batafsil)'!$C$5:$C$279,"Shisha devor")</f>
        <v>7</v>
      </c>
      <c r="C16" s="28" t="n">
        <f aca="false">SUMIFS('Hisob (batafsil)'!$J$5:$J$279,'Hisob (batafsil)'!$B$5:$B$279,$A16,'Hisob (batafsil)'!$C$5:$C$279,"Shisha devor")</f>
        <v>385</v>
      </c>
      <c r="D16" s="27" t="n">
        <f aca="false">SUMIFS('Hisob (batafsil)'!$G$5:$G$279,'Hisob (batafsil)'!$B$5:$B$279,$A16,'Hisob (batafsil)'!$C$5:$C$279,"Gips karton (GKL)")</f>
        <v>34.3</v>
      </c>
      <c r="E16" s="28" t="n">
        <f aca="false">SUMIFS('Hisob (batafsil)'!$J$5:$J$279,'Hisob (batafsil)'!$B$5:$B$279,$A16,'Hisob (batafsil)'!$C$5:$C$279,"Gips karton (GKL)")</f>
        <v>411.6</v>
      </c>
      <c r="F16" s="27" t="n">
        <f aca="false">SUMIFS('Hisob (batafsil)'!$G$5:$G$279,'Hisob (batafsil)'!$B$5:$B$279,$A16,'Hisob (batafsil)'!$C$5:$C$279,"Bambuk panel")</f>
        <v>39.2</v>
      </c>
      <c r="G16" s="28" t="n">
        <f aca="false">SUMIFS('Hisob (batafsil)'!$J$5:$J$279,'Hisob (batafsil)'!$B$5:$B$279,$A16,'Hisob (batafsil)'!$C$5:$C$279,"Bambuk panel")</f>
        <v>607.6</v>
      </c>
      <c r="H16" s="29" t="n">
        <f aca="false">SUMIFS('Hisob (batafsil)'!$G$5:$G$279,'Hisob (batafsil)'!$B$5:$B$279,$A16,'Hisob (batafsil)'!$C$5:$C$279,"Interaktiv doska")</f>
        <v>0</v>
      </c>
      <c r="I16" s="28" t="n">
        <f aca="false">SUMIFS('Hisob (batafsil)'!$J$5:$J$279,'Hisob (batafsil)'!$B$5:$B$279,$A16,'Hisob (batafsil)'!$C$5:$C$279,"Interaktiv doska")</f>
        <v>0</v>
      </c>
      <c r="J16" s="27" t="n">
        <f aca="false">SUMIFS('Hisob (batafsil)'!$G$5:$G$279,'Hisob (batafsil)'!$B$5:$B$279,$A16,'Hisob (batafsil)'!$C$5:$C$279,"Perila")</f>
        <v>0</v>
      </c>
      <c r="K16" s="28" t="n">
        <f aca="false">SUMIFS('Hisob (batafsil)'!$J$5:$J$279,'Hisob (batafsil)'!$B$5:$B$279,$A16,'Hisob (batafsil)'!$C$5:$C$279,"Perila")</f>
        <v>0</v>
      </c>
      <c r="L16" s="28" t="n">
        <f aca="false">SUMIFS('Hisob (batafsil)'!$J$5:$J$279,'Hisob (batafsil)'!$B$5:$B$279,$A16,'Hisob (batafsil)'!$C$5:$C$279,"Yoritish")</f>
        <v>168</v>
      </c>
      <c r="M16" s="28" t="n">
        <f aca="false">SUMIFS('Hisob (batafsil)'!$J$5:$J$279,'Hisob (batafsil)'!$B$5:$B$279,$A16,'Hisob (batafsil)'!$C$5:$C$279,"Kamera tizimi")</f>
        <v>0</v>
      </c>
      <c r="N16" s="28" t="n">
        <f aca="false">SUMIFS('Hisob (batafsil)'!$J$5:$J$279,'Hisob (batafsil)'!$B$5:$B$279,$A16,'Hisob (batafsil)'!$C$5:$C$279,"Logotip")</f>
        <v>0</v>
      </c>
      <c r="O16" s="28" t="n">
        <f aca="false">SUMIFS('Hisob (batafsil)'!$J$5:$J$279,'Hisob (batafsil)'!$B$5:$B$279,$A16,'Hisob (batafsil)'!$C$5:$C$279,"Matli plyonka")</f>
        <v>0</v>
      </c>
      <c r="P16" s="28" t="n">
        <f aca="false">SUMIFS('Hisob (batafsil)'!$J$5:$J$279,'Hisob (batafsil)'!$B$5:$B$279,$A16,'Hisob (batafsil)'!$C$5:$C$279,"Yong'in xavfsizligi")</f>
        <v>0</v>
      </c>
      <c r="Q16" s="28" t="n">
        <f aca="false">SUMIFS('Hisob (batafsil)'!$J$5:$J$279,'Hisob (batafsil)'!$B$5:$B$279,$A16,'Hisob (batafsil)'!$C$5:$C$279,"Buzish ishlari")</f>
        <v>0</v>
      </c>
      <c r="R16" s="28" t="n">
        <f aca="false">SUMIFS('Hisob (batafsil)'!$J$5:$J$279,'Hisob (batafsil)'!$B$5:$B$279,$A16,'Hisob (batafsil)'!$C$5:$C$279,"Santexnika")</f>
        <v>0</v>
      </c>
      <c r="S16" s="28" t="n">
        <f aca="false">SUMIFS('Hisob (batafsil)'!$J$5:$J$279,'Hisob (batafsil)'!$B$5:$B$279,$A16,'Hisob (batafsil)'!$C$5:$C$279,"Kafel")</f>
        <v>0</v>
      </c>
      <c r="T16" s="28" t="n">
        <f aca="false">SUMIFS('Hisob (batafsil)'!$J$5:$J$279,'Hisob (batafsil)'!$B$5:$B$279,$A16,'Hisob (batafsil)'!$C$5:$C$279,"Konditsioner va ventilyatsiya")</f>
        <v>0</v>
      </c>
      <c r="U16" s="30" t="n">
        <f aca="false">C16+E16+G16+I16+K16+L16+M16+N16+O16+P16+Q16+R16+S16+T16</f>
        <v>1572.2</v>
      </c>
    </row>
    <row r="17" customFormat="false" ht="15" hidden="false" customHeight="false" outlineLevel="0" collapsed="false">
      <c r="A17" s="6" t="s">
        <v>64</v>
      </c>
      <c r="B17" s="27" t="n">
        <f aca="false">SUMIFS('Hisob (batafsil)'!$G$5:$G$279,'Hisob (batafsil)'!$B$5:$B$279,$A17,'Hisob (batafsil)'!$C$5:$C$279,"Shisha devor")</f>
        <v>7</v>
      </c>
      <c r="C17" s="28" t="n">
        <f aca="false">SUMIFS('Hisob (batafsil)'!$J$5:$J$279,'Hisob (batafsil)'!$B$5:$B$279,$A17,'Hisob (batafsil)'!$C$5:$C$279,"Shisha devor")</f>
        <v>385</v>
      </c>
      <c r="D17" s="27" t="n">
        <f aca="false">SUMIFS('Hisob (batafsil)'!$G$5:$G$279,'Hisob (batafsil)'!$B$5:$B$279,$A17,'Hisob (batafsil)'!$C$5:$C$279,"Gips karton (GKL)")</f>
        <v>35.35</v>
      </c>
      <c r="E17" s="28" t="n">
        <f aca="false">SUMIFS('Hisob (batafsil)'!$J$5:$J$279,'Hisob (batafsil)'!$B$5:$B$279,$A17,'Hisob (batafsil)'!$C$5:$C$279,"Gips karton (GKL)")</f>
        <v>424.2</v>
      </c>
      <c r="F17" s="27" t="n">
        <f aca="false">SUMIFS('Hisob (batafsil)'!$G$5:$G$279,'Hisob (batafsil)'!$B$5:$B$279,$A17,'Hisob (batafsil)'!$C$5:$C$279,"Bambuk panel")</f>
        <v>39.2</v>
      </c>
      <c r="G17" s="28" t="n">
        <f aca="false">SUMIFS('Hisob (batafsil)'!$J$5:$J$279,'Hisob (batafsil)'!$B$5:$B$279,$A17,'Hisob (batafsil)'!$C$5:$C$279,"Bambuk panel")</f>
        <v>607.6</v>
      </c>
      <c r="H17" s="29" t="n">
        <f aca="false">SUMIFS('Hisob (batafsil)'!$G$5:$G$279,'Hisob (batafsil)'!$B$5:$B$279,$A17,'Hisob (batafsil)'!$C$5:$C$279,"Interaktiv doska")</f>
        <v>0</v>
      </c>
      <c r="I17" s="28" t="n">
        <f aca="false">SUMIFS('Hisob (batafsil)'!$J$5:$J$279,'Hisob (batafsil)'!$B$5:$B$279,$A17,'Hisob (batafsil)'!$C$5:$C$279,"Interaktiv doska")</f>
        <v>0</v>
      </c>
      <c r="J17" s="27" t="n">
        <f aca="false">SUMIFS('Hisob (batafsil)'!$G$5:$G$279,'Hisob (batafsil)'!$B$5:$B$279,$A17,'Hisob (batafsil)'!$C$5:$C$279,"Perila")</f>
        <v>0</v>
      </c>
      <c r="K17" s="28" t="n">
        <f aca="false">SUMIFS('Hisob (batafsil)'!$J$5:$J$279,'Hisob (batafsil)'!$B$5:$B$279,$A17,'Hisob (batafsil)'!$C$5:$C$279,"Perila")</f>
        <v>0</v>
      </c>
      <c r="L17" s="28" t="n">
        <f aca="false">SUMIFS('Hisob (batafsil)'!$J$5:$J$279,'Hisob (batafsil)'!$B$5:$B$279,$A17,'Hisob (batafsil)'!$C$5:$C$279,"Yoritish")</f>
        <v>168</v>
      </c>
      <c r="M17" s="28" t="n">
        <f aca="false">SUMIFS('Hisob (batafsil)'!$J$5:$J$279,'Hisob (batafsil)'!$B$5:$B$279,$A17,'Hisob (batafsil)'!$C$5:$C$279,"Kamera tizimi")</f>
        <v>0</v>
      </c>
      <c r="N17" s="28" t="n">
        <f aca="false">SUMIFS('Hisob (batafsil)'!$J$5:$J$279,'Hisob (batafsil)'!$B$5:$B$279,$A17,'Hisob (batafsil)'!$C$5:$C$279,"Logotip")</f>
        <v>0</v>
      </c>
      <c r="O17" s="28" t="n">
        <f aca="false">SUMIFS('Hisob (batafsil)'!$J$5:$J$279,'Hisob (batafsil)'!$B$5:$B$279,$A17,'Hisob (batafsil)'!$C$5:$C$279,"Matli plyonka")</f>
        <v>0</v>
      </c>
      <c r="P17" s="28" t="n">
        <f aca="false">SUMIFS('Hisob (batafsil)'!$J$5:$J$279,'Hisob (batafsil)'!$B$5:$B$279,$A17,'Hisob (batafsil)'!$C$5:$C$279,"Yong'in xavfsizligi")</f>
        <v>0</v>
      </c>
      <c r="Q17" s="28" t="n">
        <f aca="false">SUMIFS('Hisob (batafsil)'!$J$5:$J$279,'Hisob (batafsil)'!$B$5:$B$279,$A17,'Hisob (batafsil)'!$C$5:$C$279,"Buzish ishlari")</f>
        <v>0</v>
      </c>
      <c r="R17" s="28" t="n">
        <f aca="false">SUMIFS('Hisob (batafsil)'!$J$5:$J$279,'Hisob (batafsil)'!$B$5:$B$279,$A17,'Hisob (batafsil)'!$C$5:$C$279,"Santexnika")</f>
        <v>0</v>
      </c>
      <c r="S17" s="28" t="n">
        <f aca="false">SUMIFS('Hisob (batafsil)'!$J$5:$J$279,'Hisob (batafsil)'!$B$5:$B$279,$A17,'Hisob (batafsil)'!$C$5:$C$279,"Kafel")</f>
        <v>0</v>
      </c>
      <c r="T17" s="28" t="n">
        <f aca="false">SUMIFS('Hisob (batafsil)'!$J$5:$J$279,'Hisob (batafsil)'!$B$5:$B$279,$A17,'Hisob (batafsil)'!$C$5:$C$279,"Konditsioner va ventilyatsiya")</f>
        <v>0</v>
      </c>
      <c r="U17" s="30" t="n">
        <f aca="false">C17+E17+G17+I17+K17+L17+M17+N17+O17+P17+Q17+R17+S17+T17</f>
        <v>1584.8</v>
      </c>
    </row>
    <row r="18" customFormat="false" ht="15" hidden="false" customHeight="false" outlineLevel="0" collapsed="false">
      <c r="A18" s="6" t="s">
        <v>65</v>
      </c>
      <c r="B18" s="27" t="n">
        <f aca="false">SUMIFS('Hisob (batafsil)'!$G$5:$G$279,'Hisob (batafsil)'!$B$5:$B$279,$A18,'Hisob (batafsil)'!$C$5:$C$279,"Shisha devor")</f>
        <v>7.125</v>
      </c>
      <c r="C18" s="28" t="n">
        <f aca="false">SUMIFS('Hisob (batafsil)'!$J$5:$J$279,'Hisob (batafsil)'!$B$5:$B$279,$A18,'Hisob (batafsil)'!$C$5:$C$279,"Shisha devor")</f>
        <v>391.875</v>
      </c>
      <c r="D18" s="27" t="n">
        <f aca="false">SUMIFS('Hisob (batafsil)'!$G$5:$G$279,'Hisob (batafsil)'!$B$5:$B$279,$A18,'Hisob (batafsil)'!$C$5:$C$279,"Gips karton (GKL)")</f>
        <v>35.575</v>
      </c>
      <c r="E18" s="28" t="n">
        <f aca="false">SUMIFS('Hisob (batafsil)'!$J$5:$J$279,'Hisob (batafsil)'!$B$5:$B$279,$A18,'Hisob (batafsil)'!$C$5:$C$279,"Gips karton (GKL)")</f>
        <v>426.9</v>
      </c>
      <c r="F18" s="27" t="n">
        <f aca="false">SUMIFS('Hisob (batafsil)'!$G$5:$G$279,'Hisob (batafsil)'!$B$5:$B$279,$A18,'Hisob (batafsil)'!$C$5:$C$279,"Bambuk panel")</f>
        <v>39.2</v>
      </c>
      <c r="G18" s="28" t="n">
        <f aca="false">SUMIFS('Hisob (batafsil)'!$J$5:$J$279,'Hisob (batafsil)'!$B$5:$B$279,$A18,'Hisob (batafsil)'!$C$5:$C$279,"Bambuk panel")</f>
        <v>607.6</v>
      </c>
      <c r="H18" s="29" t="n">
        <f aca="false">SUMIFS('Hisob (batafsil)'!$G$5:$G$279,'Hisob (batafsil)'!$B$5:$B$279,$A18,'Hisob (batafsil)'!$C$5:$C$279,"Interaktiv doska")</f>
        <v>0</v>
      </c>
      <c r="I18" s="28" t="n">
        <f aca="false">SUMIFS('Hisob (batafsil)'!$J$5:$J$279,'Hisob (batafsil)'!$B$5:$B$279,$A18,'Hisob (batafsil)'!$C$5:$C$279,"Interaktiv doska")</f>
        <v>0</v>
      </c>
      <c r="J18" s="27" t="n">
        <f aca="false">SUMIFS('Hisob (batafsil)'!$G$5:$G$279,'Hisob (batafsil)'!$B$5:$B$279,$A18,'Hisob (batafsil)'!$C$5:$C$279,"Perila")</f>
        <v>0</v>
      </c>
      <c r="K18" s="28" t="n">
        <f aca="false">SUMIFS('Hisob (batafsil)'!$J$5:$J$279,'Hisob (batafsil)'!$B$5:$B$279,$A18,'Hisob (batafsil)'!$C$5:$C$279,"Perila")</f>
        <v>0</v>
      </c>
      <c r="L18" s="28" t="n">
        <f aca="false">SUMIFS('Hisob (batafsil)'!$J$5:$J$279,'Hisob (batafsil)'!$B$5:$B$279,$A18,'Hisob (batafsil)'!$C$5:$C$279,"Yoritish")</f>
        <v>168</v>
      </c>
      <c r="M18" s="28" t="n">
        <f aca="false">SUMIFS('Hisob (batafsil)'!$J$5:$J$279,'Hisob (batafsil)'!$B$5:$B$279,$A18,'Hisob (batafsil)'!$C$5:$C$279,"Kamera tizimi")</f>
        <v>0</v>
      </c>
      <c r="N18" s="28" t="n">
        <f aca="false">SUMIFS('Hisob (batafsil)'!$J$5:$J$279,'Hisob (batafsil)'!$B$5:$B$279,$A18,'Hisob (batafsil)'!$C$5:$C$279,"Logotip")</f>
        <v>0</v>
      </c>
      <c r="O18" s="28" t="n">
        <f aca="false">SUMIFS('Hisob (batafsil)'!$J$5:$J$279,'Hisob (batafsil)'!$B$5:$B$279,$A18,'Hisob (batafsil)'!$C$5:$C$279,"Matli plyonka")</f>
        <v>0</v>
      </c>
      <c r="P18" s="28" t="n">
        <f aca="false">SUMIFS('Hisob (batafsil)'!$J$5:$J$279,'Hisob (batafsil)'!$B$5:$B$279,$A18,'Hisob (batafsil)'!$C$5:$C$279,"Yong'in xavfsizligi")</f>
        <v>0</v>
      </c>
      <c r="Q18" s="28" t="n">
        <f aca="false">SUMIFS('Hisob (batafsil)'!$J$5:$J$279,'Hisob (batafsil)'!$B$5:$B$279,$A18,'Hisob (batafsil)'!$C$5:$C$279,"Buzish ishlari")</f>
        <v>0</v>
      </c>
      <c r="R18" s="28" t="n">
        <f aca="false">SUMIFS('Hisob (batafsil)'!$J$5:$J$279,'Hisob (batafsil)'!$B$5:$B$279,$A18,'Hisob (batafsil)'!$C$5:$C$279,"Santexnika")</f>
        <v>0</v>
      </c>
      <c r="S18" s="28" t="n">
        <f aca="false">SUMIFS('Hisob (batafsil)'!$J$5:$J$279,'Hisob (batafsil)'!$B$5:$B$279,$A18,'Hisob (batafsil)'!$C$5:$C$279,"Kafel")</f>
        <v>0</v>
      </c>
      <c r="T18" s="28" t="n">
        <f aca="false">SUMIFS('Hisob (batafsil)'!$J$5:$J$279,'Hisob (batafsil)'!$B$5:$B$279,$A18,'Hisob (batafsil)'!$C$5:$C$279,"Konditsioner va ventilyatsiya")</f>
        <v>0</v>
      </c>
      <c r="U18" s="30" t="n">
        <f aca="false">C18+E18+G18+I18+K18+L18+M18+N18+O18+P18+Q18+R18+S18+T18</f>
        <v>1594.375</v>
      </c>
    </row>
    <row r="19" customFormat="false" ht="15" hidden="false" customHeight="false" outlineLevel="0" collapsed="false">
      <c r="A19" s="6" t="s">
        <v>66</v>
      </c>
      <c r="B19" s="27" t="n">
        <f aca="false">SUMIFS('Hisob (batafsil)'!$G$5:$G$279,'Hisob (batafsil)'!$B$5:$B$279,$A19,'Hisob (batafsil)'!$C$5:$C$279,"Shisha devor")</f>
        <v>7.125</v>
      </c>
      <c r="C19" s="28" t="n">
        <f aca="false">SUMIFS('Hisob (batafsil)'!$J$5:$J$279,'Hisob (batafsil)'!$B$5:$B$279,$A19,'Hisob (batafsil)'!$C$5:$C$279,"Shisha devor")</f>
        <v>391.875</v>
      </c>
      <c r="D19" s="27" t="n">
        <f aca="false">SUMIFS('Hisob (batafsil)'!$G$5:$G$279,'Hisob (batafsil)'!$B$5:$B$279,$A19,'Hisob (batafsil)'!$C$5:$C$279,"Gips karton (GKL)")</f>
        <v>35.925</v>
      </c>
      <c r="E19" s="28" t="n">
        <f aca="false">SUMIFS('Hisob (batafsil)'!$J$5:$J$279,'Hisob (batafsil)'!$B$5:$B$279,$A19,'Hisob (batafsil)'!$C$5:$C$279,"Gips karton (GKL)")</f>
        <v>431.1</v>
      </c>
      <c r="F19" s="27" t="n">
        <f aca="false">SUMIFS('Hisob (batafsil)'!$G$5:$G$279,'Hisob (batafsil)'!$B$5:$B$279,$A19,'Hisob (batafsil)'!$C$5:$C$279,"Bambuk panel")</f>
        <v>39.2</v>
      </c>
      <c r="G19" s="28" t="n">
        <f aca="false">SUMIFS('Hisob (batafsil)'!$J$5:$J$279,'Hisob (batafsil)'!$B$5:$B$279,$A19,'Hisob (batafsil)'!$C$5:$C$279,"Bambuk panel")</f>
        <v>607.6</v>
      </c>
      <c r="H19" s="29" t="n">
        <f aca="false">SUMIFS('Hisob (batafsil)'!$G$5:$G$279,'Hisob (batafsil)'!$B$5:$B$279,$A19,'Hisob (batafsil)'!$C$5:$C$279,"Interaktiv doska")</f>
        <v>0</v>
      </c>
      <c r="I19" s="28" t="n">
        <f aca="false">SUMIFS('Hisob (batafsil)'!$J$5:$J$279,'Hisob (batafsil)'!$B$5:$B$279,$A19,'Hisob (batafsil)'!$C$5:$C$279,"Interaktiv doska")</f>
        <v>0</v>
      </c>
      <c r="J19" s="27" t="n">
        <f aca="false">SUMIFS('Hisob (batafsil)'!$G$5:$G$279,'Hisob (batafsil)'!$B$5:$B$279,$A19,'Hisob (batafsil)'!$C$5:$C$279,"Perila")</f>
        <v>0</v>
      </c>
      <c r="K19" s="28" t="n">
        <f aca="false">SUMIFS('Hisob (batafsil)'!$J$5:$J$279,'Hisob (batafsil)'!$B$5:$B$279,$A19,'Hisob (batafsil)'!$C$5:$C$279,"Perila")</f>
        <v>0</v>
      </c>
      <c r="L19" s="28" t="n">
        <f aca="false">SUMIFS('Hisob (batafsil)'!$J$5:$J$279,'Hisob (batafsil)'!$B$5:$B$279,$A19,'Hisob (batafsil)'!$C$5:$C$279,"Yoritish")</f>
        <v>168</v>
      </c>
      <c r="M19" s="28" t="n">
        <f aca="false">SUMIFS('Hisob (batafsil)'!$J$5:$J$279,'Hisob (batafsil)'!$B$5:$B$279,$A19,'Hisob (batafsil)'!$C$5:$C$279,"Kamera tizimi")</f>
        <v>0</v>
      </c>
      <c r="N19" s="28" t="n">
        <f aca="false">SUMIFS('Hisob (batafsil)'!$J$5:$J$279,'Hisob (batafsil)'!$B$5:$B$279,$A19,'Hisob (batafsil)'!$C$5:$C$279,"Logotip")</f>
        <v>0</v>
      </c>
      <c r="O19" s="28" t="n">
        <f aca="false">SUMIFS('Hisob (batafsil)'!$J$5:$J$279,'Hisob (batafsil)'!$B$5:$B$279,$A19,'Hisob (batafsil)'!$C$5:$C$279,"Matli plyonka")</f>
        <v>0</v>
      </c>
      <c r="P19" s="28" t="n">
        <f aca="false">SUMIFS('Hisob (batafsil)'!$J$5:$J$279,'Hisob (batafsil)'!$B$5:$B$279,$A19,'Hisob (batafsil)'!$C$5:$C$279,"Yong'in xavfsizligi")</f>
        <v>0</v>
      </c>
      <c r="Q19" s="28" t="n">
        <f aca="false">SUMIFS('Hisob (batafsil)'!$J$5:$J$279,'Hisob (batafsil)'!$B$5:$B$279,$A19,'Hisob (batafsil)'!$C$5:$C$279,"Buzish ishlari")</f>
        <v>0</v>
      </c>
      <c r="R19" s="28" t="n">
        <f aca="false">SUMIFS('Hisob (batafsil)'!$J$5:$J$279,'Hisob (batafsil)'!$B$5:$B$279,$A19,'Hisob (batafsil)'!$C$5:$C$279,"Santexnika")</f>
        <v>0</v>
      </c>
      <c r="S19" s="28" t="n">
        <f aca="false">SUMIFS('Hisob (batafsil)'!$J$5:$J$279,'Hisob (batafsil)'!$B$5:$B$279,$A19,'Hisob (batafsil)'!$C$5:$C$279,"Kafel")</f>
        <v>0</v>
      </c>
      <c r="T19" s="28" t="n">
        <f aca="false">SUMIFS('Hisob (batafsil)'!$J$5:$J$279,'Hisob (batafsil)'!$B$5:$B$279,$A19,'Hisob (batafsil)'!$C$5:$C$279,"Konditsioner va ventilyatsiya")</f>
        <v>0</v>
      </c>
      <c r="U19" s="30" t="n">
        <f aca="false">C19+E19+G19+I19+K19+L19+M19+N19+O19+P19+Q19+R19+S19+T19</f>
        <v>1598.575</v>
      </c>
    </row>
    <row r="20" customFormat="false" ht="15" hidden="false" customHeight="false" outlineLevel="0" collapsed="false">
      <c r="A20" s="6" t="s">
        <v>67</v>
      </c>
      <c r="B20" s="27" t="n">
        <f aca="false">SUMIFS('Hisob (batafsil)'!$G$5:$G$279,'Hisob (batafsil)'!$B$5:$B$279,$A20,'Hisob (batafsil)'!$C$5:$C$279,"Shisha devor")</f>
        <v>0</v>
      </c>
      <c r="C20" s="28" t="n">
        <f aca="false">SUMIFS('Hisob (batafsil)'!$J$5:$J$279,'Hisob (batafsil)'!$B$5:$B$279,$A20,'Hisob (batafsil)'!$C$5:$C$279,"Shisha devor")</f>
        <v>0</v>
      </c>
      <c r="D20" s="27" t="n">
        <f aca="false">SUMIFS('Hisob (batafsil)'!$G$5:$G$279,'Hisob (batafsil)'!$B$5:$B$279,$A20,'Hisob (batafsil)'!$C$5:$C$279,"Gips karton (GKL)")</f>
        <v>0</v>
      </c>
      <c r="E20" s="28" t="n">
        <f aca="false">SUMIFS('Hisob (batafsil)'!$J$5:$J$279,'Hisob (batafsil)'!$B$5:$B$279,$A20,'Hisob (batafsil)'!$C$5:$C$279,"Gips karton (GKL)")</f>
        <v>0</v>
      </c>
      <c r="F20" s="27" t="n">
        <f aca="false">SUMIFS('Hisob (batafsil)'!$G$5:$G$279,'Hisob (batafsil)'!$B$5:$B$279,$A20,'Hisob (batafsil)'!$C$5:$C$279,"Bambuk panel")</f>
        <v>29.26</v>
      </c>
      <c r="G20" s="28" t="n">
        <f aca="false">SUMIFS('Hisob (batafsil)'!$J$5:$J$279,'Hisob (batafsil)'!$B$5:$B$279,$A20,'Hisob (batafsil)'!$C$5:$C$279,"Bambuk panel")</f>
        <v>453.53</v>
      </c>
      <c r="H20" s="29" t="n">
        <f aca="false">SUMIFS('Hisob (batafsil)'!$G$5:$G$279,'Hisob (batafsil)'!$B$5:$B$279,$A20,'Hisob (batafsil)'!$C$5:$C$279,"Interaktiv doska")</f>
        <v>0</v>
      </c>
      <c r="I20" s="28" t="n">
        <f aca="false">SUMIFS('Hisob (batafsil)'!$J$5:$J$279,'Hisob (batafsil)'!$B$5:$B$279,$A20,'Hisob (batafsil)'!$C$5:$C$279,"Interaktiv doska")</f>
        <v>0</v>
      </c>
      <c r="J20" s="27" t="n">
        <f aca="false">SUMIFS('Hisob (batafsil)'!$G$5:$G$279,'Hisob (batafsil)'!$B$5:$B$279,$A20,'Hisob (batafsil)'!$C$5:$C$279,"Perila")</f>
        <v>0</v>
      </c>
      <c r="K20" s="28" t="n">
        <f aca="false">SUMIFS('Hisob (batafsil)'!$J$5:$J$279,'Hisob (batafsil)'!$B$5:$B$279,$A20,'Hisob (batafsil)'!$C$5:$C$279,"Perila")</f>
        <v>0</v>
      </c>
      <c r="L20" s="28" t="n">
        <f aca="false">SUMIFS('Hisob (batafsil)'!$J$5:$J$279,'Hisob (batafsil)'!$B$5:$B$279,$A20,'Hisob (batafsil)'!$C$5:$C$279,"Yoritish")</f>
        <v>168</v>
      </c>
      <c r="M20" s="28" t="n">
        <f aca="false">SUMIFS('Hisob (batafsil)'!$J$5:$J$279,'Hisob (batafsil)'!$B$5:$B$279,$A20,'Hisob (batafsil)'!$C$5:$C$279,"Kamera tizimi")</f>
        <v>0</v>
      </c>
      <c r="N20" s="28" t="n">
        <f aca="false">SUMIFS('Hisob (batafsil)'!$J$5:$J$279,'Hisob (batafsil)'!$B$5:$B$279,$A20,'Hisob (batafsil)'!$C$5:$C$279,"Logotip")</f>
        <v>0</v>
      </c>
      <c r="O20" s="28" t="n">
        <f aca="false">SUMIFS('Hisob (batafsil)'!$J$5:$J$279,'Hisob (batafsil)'!$B$5:$B$279,$A20,'Hisob (batafsil)'!$C$5:$C$279,"Matli plyonka")</f>
        <v>0</v>
      </c>
      <c r="P20" s="28" t="n">
        <f aca="false">SUMIFS('Hisob (batafsil)'!$J$5:$J$279,'Hisob (batafsil)'!$B$5:$B$279,$A20,'Hisob (batafsil)'!$C$5:$C$279,"Yong'in xavfsizligi")</f>
        <v>0</v>
      </c>
      <c r="Q20" s="28" t="n">
        <f aca="false">SUMIFS('Hisob (batafsil)'!$J$5:$J$279,'Hisob (batafsil)'!$B$5:$B$279,$A20,'Hisob (batafsil)'!$C$5:$C$279,"Buzish ishlari")</f>
        <v>0</v>
      </c>
      <c r="R20" s="28" t="n">
        <f aca="false">SUMIFS('Hisob (batafsil)'!$J$5:$J$279,'Hisob (batafsil)'!$B$5:$B$279,$A20,'Hisob (batafsil)'!$C$5:$C$279,"Santexnika")</f>
        <v>0</v>
      </c>
      <c r="S20" s="28" t="n">
        <f aca="false">SUMIFS('Hisob (batafsil)'!$J$5:$J$279,'Hisob (batafsil)'!$B$5:$B$279,$A20,'Hisob (batafsil)'!$C$5:$C$279,"Kafel")</f>
        <v>0</v>
      </c>
      <c r="T20" s="28" t="n">
        <f aca="false">SUMIFS('Hisob (batafsil)'!$J$5:$J$279,'Hisob (batafsil)'!$B$5:$B$279,$A20,'Hisob (batafsil)'!$C$5:$C$279,"Konditsioner va ventilyatsiya")</f>
        <v>0</v>
      </c>
      <c r="U20" s="30" t="n">
        <f aca="false">C20+E20+G20+I20+K20+L20+M20+N20+O20+P20+Q20+R20+S20+T20</f>
        <v>621.53</v>
      </c>
    </row>
    <row r="21" customFormat="false" ht="15" hidden="false" customHeight="false" outlineLevel="0" collapsed="false">
      <c r="A21" s="11" t="s">
        <v>68</v>
      </c>
      <c r="B21" s="31" t="n">
        <f aca="false">SUM(B16:B20)</f>
        <v>28.25</v>
      </c>
      <c r="C21" s="32" t="n">
        <f aca="false">SUM(C16:C20)</f>
        <v>1553.75</v>
      </c>
      <c r="D21" s="31" t="n">
        <f aca="false">SUM(D16:D20)</f>
        <v>141.15</v>
      </c>
      <c r="E21" s="32" t="n">
        <f aca="false">SUM(E16:E20)</f>
        <v>1693.8</v>
      </c>
      <c r="F21" s="31" t="n">
        <f aca="false">SUM(F16:F20)</f>
        <v>186.06</v>
      </c>
      <c r="G21" s="32" t="n">
        <f aca="false">SUM(G16:G20)</f>
        <v>2883.93</v>
      </c>
      <c r="H21" s="33" t="n">
        <f aca="false">SUM(H16:H20)</f>
        <v>0</v>
      </c>
      <c r="I21" s="32" t="n">
        <f aca="false">SUM(I16:I20)</f>
        <v>0</v>
      </c>
      <c r="J21" s="31" t="n">
        <f aca="false">SUM(J16:J20)</f>
        <v>0</v>
      </c>
      <c r="K21" s="32" t="n">
        <f aca="false">SUM(K16:K20)</f>
        <v>0</v>
      </c>
      <c r="L21" s="32" t="n">
        <f aca="false">SUM(L16:L20)</f>
        <v>840</v>
      </c>
      <c r="M21" s="32" t="n">
        <f aca="false">SUM(M16:M20)</f>
        <v>0</v>
      </c>
      <c r="N21" s="32" t="n">
        <f aca="false">SUM(N16:N20)</f>
        <v>0</v>
      </c>
      <c r="O21" s="32" t="n">
        <f aca="false">SUM(O16:O20)</f>
        <v>0</v>
      </c>
      <c r="P21" s="32" t="n">
        <f aca="false">SUM(P16:P20)</f>
        <v>0</v>
      </c>
      <c r="Q21" s="32" t="n">
        <f aca="false">SUM(Q16:Q20)</f>
        <v>0</v>
      </c>
      <c r="R21" s="32" t="n">
        <f aca="false">SUM(R16:R20)</f>
        <v>0</v>
      </c>
      <c r="S21" s="32" t="n">
        <f aca="false">SUM(S16:S20)</f>
        <v>0</v>
      </c>
      <c r="T21" s="32" t="n">
        <f aca="false">SUM(T16:T20)</f>
        <v>0</v>
      </c>
      <c r="U21" s="32" t="n">
        <f aca="false">SUM(U16:U20)</f>
        <v>6971.48</v>
      </c>
    </row>
    <row r="23" customFormat="false" ht="15" hidden="false" customHeight="false" outlineLevel="0" collapsed="false">
      <c r="A23" s="25" t="s">
        <v>28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</row>
    <row r="24" customFormat="false" ht="15" hidden="false" customHeight="false" outlineLevel="0" collapsed="false">
      <c r="A24" s="6" t="s">
        <v>69</v>
      </c>
      <c r="B24" s="27" t="n">
        <f aca="false">SUMIFS('Hisob (batafsil)'!$G$5:$G$279,'Hisob (batafsil)'!$B$5:$B$279,$A24,'Hisob (batafsil)'!$C$5:$C$279,"Shisha devor")</f>
        <v>0</v>
      </c>
      <c r="C24" s="28" t="n">
        <f aca="false">SUMIFS('Hisob (batafsil)'!$J$5:$J$279,'Hisob (batafsil)'!$B$5:$B$279,$A24,'Hisob (batafsil)'!$C$5:$C$279,"Shisha devor")</f>
        <v>0</v>
      </c>
      <c r="D24" s="27" t="n">
        <f aca="false">SUMIFS('Hisob (batafsil)'!$G$5:$G$279,'Hisob (batafsil)'!$B$5:$B$279,$A24,'Hisob (batafsil)'!$C$5:$C$279,"Gips karton (GKL)")</f>
        <v>45.375</v>
      </c>
      <c r="E24" s="28" t="n">
        <f aca="false">SUMIFS('Hisob (batafsil)'!$J$5:$J$279,'Hisob (batafsil)'!$B$5:$B$279,$A24,'Hisob (batafsil)'!$C$5:$C$279,"Gips karton (GKL)")</f>
        <v>544.5</v>
      </c>
      <c r="F24" s="27" t="n">
        <f aca="false">SUMIFS('Hisob (batafsil)'!$G$5:$G$279,'Hisob (batafsil)'!$B$5:$B$279,$A24,'Hisob (batafsil)'!$C$5:$C$279,"Bambuk panel")</f>
        <v>0</v>
      </c>
      <c r="G24" s="28" t="n">
        <f aca="false">SUMIFS('Hisob (batafsil)'!$J$5:$J$279,'Hisob (batafsil)'!$B$5:$B$279,$A24,'Hisob (batafsil)'!$C$5:$C$279,"Bambuk panel")</f>
        <v>0</v>
      </c>
      <c r="H24" s="29" t="n">
        <f aca="false">SUMIFS('Hisob (batafsil)'!$G$5:$G$279,'Hisob (batafsil)'!$B$5:$B$279,$A24,'Hisob (batafsil)'!$C$5:$C$279,"Interaktiv doska")</f>
        <v>0</v>
      </c>
      <c r="I24" s="28" t="n">
        <f aca="false">SUMIFS('Hisob (batafsil)'!$J$5:$J$279,'Hisob (batafsil)'!$B$5:$B$279,$A24,'Hisob (batafsil)'!$C$5:$C$279,"Interaktiv doska")</f>
        <v>0</v>
      </c>
      <c r="J24" s="27" t="n">
        <f aca="false">SUMIFS('Hisob (batafsil)'!$G$5:$G$279,'Hisob (batafsil)'!$B$5:$B$279,$A24,'Hisob (batafsil)'!$C$5:$C$279,"Perila")</f>
        <v>0</v>
      </c>
      <c r="K24" s="28" t="n">
        <f aca="false">SUMIFS('Hisob (batafsil)'!$J$5:$J$279,'Hisob (batafsil)'!$B$5:$B$279,$A24,'Hisob (batafsil)'!$C$5:$C$279,"Perila")</f>
        <v>0</v>
      </c>
      <c r="L24" s="28" t="n">
        <f aca="false">SUMIFS('Hisob (batafsil)'!$J$5:$J$279,'Hisob (batafsil)'!$B$5:$B$279,$A24,'Hisob (batafsil)'!$C$5:$C$279,"Yoritish")</f>
        <v>336</v>
      </c>
      <c r="M24" s="28" t="n">
        <f aca="false">SUMIFS('Hisob (batafsil)'!$J$5:$J$279,'Hisob (batafsil)'!$B$5:$B$279,$A24,'Hisob (batafsil)'!$C$5:$C$279,"Kamera tizimi")</f>
        <v>0</v>
      </c>
      <c r="N24" s="28" t="n">
        <f aca="false">SUMIFS('Hisob (batafsil)'!$J$5:$J$279,'Hisob (batafsil)'!$B$5:$B$279,$A24,'Hisob (batafsil)'!$C$5:$C$279,"Logotip")</f>
        <v>0</v>
      </c>
      <c r="O24" s="28" t="n">
        <f aca="false">SUMIFS('Hisob (batafsil)'!$J$5:$J$279,'Hisob (batafsil)'!$B$5:$B$279,$A24,'Hisob (batafsil)'!$C$5:$C$279,"Matli plyonka")</f>
        <v>0</v>
      </c>
      <c r="P24" s="28" t="n">
        <f aca="false">SUMIFS('Hisob (batafsil)'!$J$5:$J$279,'Hisob (batafsil)'!$B$5:$B$279,$A24,'Hisob (batafsil)'!$C$5:$C$279,"Yong'in xavfsizligi")</f>
        <v>0</v>
      </c>
      <c r="Q24" s="28" t="n">
        <f aca="false">SUMIFS('Hisob (batafsil)'!$J$5:$J$279,'Hisob (batafsil)'!$B$5:$B$279,$A24,'Hisob (batafsil)'!$C$5:$C$279,"Buzish ishlari")</f>
        <v>0</v>
      </c>
      <c r="R24" s="28" t="n">
        <f aca="false">SUMIFS('Hisob (batafsil)'!$J$5:$J$279,'Hisob (batafsil)'!$B$5:$B$279,$A24,'Hisob (batafsil)'!$C$5:$C$279,"Santexnika")</f>
        <v>0</v>
      </c>
      <c r="S24" s="28" t="n">
        <f aca="false">SUMIFS('Hisob (batafsil)'!$J$5:$J$279,'Hisob (batafsil)'!$B$5:$B$279,$A24,'Hisob (batafsil)'!$C$5:$C$279,"Kafel")</f>
        <v>0</v>
      </c>
      <c r="T24" s="28" t="n">
        <f aca="false">SUMIFS('Hisob (batafsil)'!$J$5:$J$279,'Hisob (batafsil)'!$B$5:$B$279,$A24,'Hisob (batafsil)'!$C$5:$C$279,"Konditsioner va ventilyatsiya")</f>
        <v>0</v>
      </c>
      <c r="U24" s="30" t="n">
        <f aca="false">C24+E24+G24+I24+K24+L24+M24+N24+O24+P24+Q24+R24+S24+T24</f>
        <v>880.5</v>
      </c>
    </row>
    <row r="25" customFormat="false" ht="15" hidden="false" customHeight="false" outlineLevel="0" collapsed="false">
      <c r="A25" s="6" t="s">
        <v>70</v>
      </c>
      <c r="B25" s="27" t="n">
        <f aca="false">SUMIFS('Hisob (batafsil)'!$G$5:$G$279,'Hisob (batafsil)'!$B$5:$B$279,$A25,'Hisob (batafsil)'!$C$5:$C$279,"Shisha devor")</f>
        <v>0</v>
      </c>
      <c r="C25" s="28" t="n">
        <f aca="false">SUMIFS('Hisob (batafsil)'!$J$5:$J$279,'Hisob (batafsil)'!$B$5:$B$279,$A25,'Hisob (batafsil)'!$C$5:$C$279,"Shisha devor")</f>
        <v>0</v>
      </c>
      <c r="D25" s="27" t="n">
        <f aca="false">SUMIFS('Hisob (batafsil)'!$G$5:$G$279,'Hisob (batafsil)'!$B$5:$B$279,$A25,'Hisob (batafsil)'!$C$5:$C$279,"Gips karton (GKL)")</f>
        <v>46.35</v>
      </c>
      <c r="E25" s="28" t="n">
        <f aca="false">SUMIFS('Hisob (batafsil)'!$J$5:$J$279,'Hisob (batafsil)'!$B$5:$B$279,$A25,'Hisob (batafsil)'!$C$5:$C$279,"Gips karton (GKL)")</f>
        <v>556.2</v>
      </c>
      <c r="F25" s="27" t="n">
        <f aca="false">SUMIFS('Hisob (batafsil)'!$G$5:$G$279,'Hisob (batafsil)'!$B$5:$B$279,$A25,'Hisob (batafsil)'!$C$5:$C$279,"Bambuk panel")</f>
        <v>0</v>
      </c>
      <c r="G25" s="28" t="n">
        <f aca="false">SUMIFS('Hisob (batafsil)'!$J$5:$J$279,'Hisob (batafsil)'!$B$5:$B$279,$A25,'Hisob (batafsil)'!$C$5:$C$279,"Bambuk panel")</f>
        <v>0</v>
      </c>
      <c r="H25" s="29" t="n">
        <f aca="false">SUMIFS('Hisob (batafsil)'!$G$5:$G$279,'Hisob (batafsil)'!$B$5:$B$279,$A25,'Hisob (batafsil)'!$C$5:$C$279,"Interaktiv doska")</f>
        <v>0</v>
      </c>
      <c r="I25" s="28" t="n">
        <f aca="false">SUMIFS('Hisob (batafsil)'!$J$5:$J$279,'Hisob (batafsil)'!$B$5:$B$279,$A25,'Hisob (batafsil)'!$C$5:$C$279,"Interaktiv doska")</f>
        <v>0</v>
      </c>
      <c r="J25" s="27" t="n">
        <f aca="false">SUMIFS('Hisob (batafsil)'!$G$5:$G$279,'Hisob (batafsil)'!$B$5:$B$279,$A25,'Hisob (batafsil)'!$C$5:$C$279,"Perila")</f>
        <v>0</v>
      </c>
      <c r="K25" s="28" t="n">
        <f aca="false">SUMIFS('Hisob (batafsil)'!$J$5:$J$279,'Hisob (batafsil)'!$B$5:$B$279,$A25,'Hisob (batafsil)'!$C$5:$C$279,"Perila")</f>
        <v>0</v>
      </c>
      <c r="L25" s="28" t="n">
        <f aca="false">SUMIFS('Hisob (batafsil)'!$J$5:$J$279,'Hisob (batafsil)'!$B$5:$B$279,$A25,'Hisob (batafsil)'!$C$5:$C$279,"Yoritish")</f>
        <v>336</v>
      </c>
      <c r="M25" s="28" t="n">
        <f aca="false">SUMIFS('Hisob (batafsil)'!$J$5:$J$279,'Hisob (batafsil)'!$B$5:$B$279,$A25,'Hisob (batafsil)'!$C$5:$C$279,"Kamera tizimi")</f>
        <v>0</v>
      </c>
      <c r="N25" s="28" t="n">
        <f aca="false">SUMIFS('Hisob (batafsil)'!$J$5:$J$279,'Hisob (batafsil)'!$B$5:$B$279,$A25,'Hisob (batafsil)'!$C$5:$C$279,"Logotip")</f>
        <v>0</v>
      </c>
      <c r="O25" s="28" t="n">
        <f aca="false">SUMIFS('Hisob (batafsil)'!$J$5:$J$279,'Hisob (batafsil)'!$B$5:$B$279,$A25,'Hisob (batafsil)'!$C$5:$C$279,"Matli plyonka")</f>
        <v>0</v>
      </c>
      <c r="P25" s="28" t="n">
        <f aca="false">SUMIFS('Hisob (batafsil)'!$J$5:$J$279,'Hisob (batafsil)'!$B$5:$B$279,$A25,'Hisob (batafsil)'!$C$5:$C$279,"Yong'in xavfsizligi")</f>
        <v>0</v>
      </c>
      <c r="Q25" s="28" t="n">
        <f aca="false">SUMIFS('Hisob (batafsil)'!$J$5:$J$279,'Hisob (batafsil)'!$B$5:$B$279,$A25,'Hisob (batafsil)'!$C$5:$C$279,"Buzish ishlari")</f>
        <v>0</v>
      </c>
      <c r="R25" s="28" t="n">
        <f aca="false">SUMIFS('Hisob (batafsil)'!$J$5:$J$279,'Hisob (batafsil)'!$B$5:$B$279,$A25,'Hisob (batafsil)'!$C$5:$C$279,"Santexnika")</f>
        <v>0</v>
      </c>
      <c r="S25" s="28" t="n">
        <f aca="false">SUMIFS('Hisob (batafsil)'!$J$5:$J$279,'Hisob (batafsil)'!$B$5:$B$279,$A25,'Hisob (batafsil)'!$C$5:$C$279,"Kafel")</f>
        <v>0</v>
      </c>
      <c r="T25" s="28" t="n">
        <f aca="false">SUMIFS('Hisob (batafsil)'!$J$5:$J$279,'Hisob (batafsil)'!$B$5:$B$279,$A25,'Hisob (batafsil)'!$C$5:$C$279,"Konditsioner va ventilyatsiya")</f>
        <v>0</v>
      </c>
      <c r="U25" s="30" t="n">
        <f aca="false">C25+E25+G25+I25+K25+L25+M25+N25+O25+P25+Q25+R25+S25+T25</f>
        <v>892.2</v>
      </c>
    </row>
    <row r="26" customFormat="false" ht="15" hidden="false" customHeight="false" outlineLevel="0" collapsed="false">
      <c r="A26" s="6" t="s">
        <v>71</v>
      </c>
      <c r="B26" s="27" t="n">
        <f aca="false">SUMIFS('Hisob (batafsil)'!$G$5:$G$279,'Hisob (batafsil)'!$B$5:$B$279,$A26,'Hisob (batafsil)'!$C$5:$C$279,"Shisha devor")</f>
        <v>0</v>
      </c>
      <c r="C26" s="28" t="n">
        <f aca="false">SUMIFS('Hisob (batafsil)'!$J$5:$J$279,'Hisob (batafsil)'!$B$5:$B$279,$A26,'Hisob (batafsil)'!$C$5:$C$279,"Shisha devor")</f>
        <v>0</v>
      </c>
      <c r="D26" s="27" t="n">
        <f aca="false">SUMIFS('Hisob (batafsil)'!$G$5:$G$279,'Hisob (batafsil)'!$B$5:$B$279,$A26,'Hisob (batafsil)'!$C$5:$C$279,"Gips karton (GKL)")</f>
        <v>9.625</v>
      </c>
      <c r="E26" s="28" t="n">
        <f aca="false">SUMIFS('Hisob (batafsil)'!$J$5:$J$279,'Hisob (batafsil)'!$B$5:$B$279,$A26,'Hisob (batafsil)'!$C$5:$C$279,"Gips karton (GKL)")</f>
        <v>115.5</v>
      </c>
      <c r="F26" s="27" t="n">
        <f aca="false">SUMIFS('Hisob (batafsil)'!$G$5:$G$279,'Hisob (batafsil)'!$B$5:$B$279,$A26,'Hisob (batafsil)'!$C$5:$C$279,"Bambuk panel")</f>
        <v>0</v>
      </c>
      <c r="G26" s="28" t="n">
        <f aca="false">SUMIFS('Hisob (batafsil)'!$J$5:$J$279,'Hisob (batafsil)'!$B$5:$B$279,$A26,'Hisob (batafsil)'!$C$5:$C$279,"Bambuk panel")</f>
        <v>0</v>
      </c>
      <c r="H26" s="29" t="n">
        <f aca="false">SUMIFS('Hisob (batafsil)'!$G$5:$G$279,'Hisob (batafsil)'!$B$5:$B$279,$A26,'Hisob (batafsil)'!$C$5:$C$279,"Interaktiv doska")</f>
        <v>0</v>
      </c>
      <c r="I26" s="28" t="n">
        <f aca="false">SUMIFS('Hisob (batafsil)'!$J$5:$J$279,'Hisob (batafsil)'!$B$5:$B$279,$A26,'Hisob (batafsil)'!$C$5:$C$279,"Interaktiv doska")</f>
        <v>0</v>
      </c>
      <c r="J26" s="27" t="n">
        <f aca="false">SUMIFS('Hisob (batafsil)'!$G$5:$G$279,'Hisob (batafsil)'!$B$5:$B$279,$A26,'Hisob (batafsil)'!$C$5:$C$279,"Perila")</f>
        <v>0</v>
      </c>
      <c r="K26" s="28" t="n">
        <f aca="false">SUMIFS('Hisob (batafsil)'!$J$5:$J$279,'Hisob (batafsil)'!$B$5:$B$279,$A26,'Hisob (batafsil)'!$C$5:$C$279,"Perila")</f>
        <v>0</v>
      </c>
      <c r="L26" s="28" t="n">
        <f aca="false">SUMIFS('Hisob (batafsil)'!$J$5:$J$279,'Hisob (batafsil)'!$B$5:$B$279,$A26,'Hisob (batafsil)'!$C$5:$C$279,"Yoritish")</f>
        <v>336</v>
      </c>
      <c r="M26" s="28" t="n">
        <f aca="false">SUMIFS('Hisob (batafsil)'!$J$5:$J$279,'Hisob (batafsil)'!$B$5:$B$279,$A26,'Hisob (batafsil)'!$C$5:$C$279,"Kamera tizimi")</f>
        <v>0</v>
      </c>
      <c r="N26" s="28" t="n">
        <f aca="false">SUMIFS('Hisob (batafsil)'!$J$5:$J$279,'Hisob (batafsil)'!$B$5:$B$279,$A26,'Hisob (batafsil)'!$C$5:$C$279,"Logotip")</f>
        <v>0</v>
      </c>
      <c r="O26" s="28" t="n">
        <f aca="false">SUMIFS('Hisob (batafsil)'!$J$5:$J$279,'Hisob (batafsil)'!$B$5:$B$279,$A26,'Hisob (batafsil)'!$C$5:$C$279,"Matli plyonka")</f>
        <v>0</v>
      </c>
      <c r="P26" s="28" t="n">
        <f aca="false">SUMIFS('Hisob (batafsil)'!$J$5:$J$279,'Hisob (batafsil)'!$B$5:$B$279,$A26,'Hisob (batafsil)'!$C$5:$C$279,"Yong'in xavfsizligi")</f>
        <v>0</v>
      </c>
      <c r="Q26" s="28" t="n">
        <f aca="false">SUMIFS('Hisob (batafsil)'!$J$5:$J$279,'Hisob (batafsil)'!$B$5:$B$279,$A26,'Hisob (batafsil)'!$C$5:$C$279,"Buzish ishlari")</f>
        <v>0</v>
      </c>
      <c r="R26" s="28" t="n">
        <f aca="false">SUMIFS('Hisob (batafsil)'!$J$5:$J$279,'Hisob (batafsil)'!$B$5:$B$279,$A26,'Hisob (batafsil)'!$C$5:$C$279,"Santexnika")</f>
        <v>0</v>
      </c>
      <c r="S26" s="28" t="n">
        <f aca="false">SUMIFS('Hisob (batafsil)'!$J$5:$J$279,'Hisob (batafsil)'!$B$5:$B$279,$A26,'Hisob (batafsil)'!$C$5:$C$279,"Kafel")</f>
        <v>0</v>
      </c>
      <c r="T26" s="28" t="n">
        <f aca="false">SUMIFS('Hisob (batafsil)'!$J$5:$J$279,'Hisob (batafsil)'!$B$5:$B$279,$A26,'Hisob (batafsil)'!$C$5:$C$279,"Konditsioner va ventilyatsiya")</f>
        <v>0</v>
      </c>
      <c r="U26" s="30" t="n">
        <f aca="false">C26+E26+G26+I26+K26+L26+M26+N26+O26+P26+Q26+R26+S26+T26</f>
        <v>451.5</v>
      </c>
    </row>
    <row r="27" customFormat="false" ht="15" hidden="false" customHeight="false" outlineLevel="0" collapsed="false">
      <c r="A27" s="6" t="s">
        <v>72</v>
      </c>
      <c r="B27" s="27" t="n">
        <f aca="false">SUMIFS('Hisob (batafsil)'!$G$5:$G$279,'Hisob (batafsil)'!$B$5:$B$279,$A27,'Hisob (batafsil)'!$C$5:$C$279,"Shisha devor")</f>
        <v>0</v>
      </c>
      <c r="C27" s="28" t="n">
        <f aca="false">SUMIFS('Hisob (batafsil)'!$J$5:$J$279,'Hisob (batafsil)'!$B$5:$B$279,$A27,'Hisob (batafsil)'!$C$5:$C$279,"Shisha devor")</f>
        <v>0</v>
      </c>
      <c r="D27" s="27" t="n">
        <f aca="false">SUMIFS('Hisob (batafsil)'!$G$5:$G$279,'Hisob (batafsil)'!$B$5:$B$279,$A27,'Hisob (batafsil)'!$C$5:$C$279,"Gips karton (GKL)")</f>
        <v>9.1</v>
      </c>
      <c r="E27" s="28" t="n">
        <f aca="false">SUMIFS('Hisob (batafsil)'!$J$5:$J$279,'Hisob (batafsil)'!$B$5:$B$279,$A27,'Hisob (batafsil)'!$C$5:$C$279,"Gips karton (GKL)")</f>
        <v>109.2</v>
      </c>
      <c r="F27" s="27" t="n">
        <f aca="false">SUMIFS('Hisob (batafsil)'!$G$5:$G$279,'Hisob (batafsil)'!$B$5:$B$279,$A27,'Hisob (batafsil)'!$C$5:$C$279,"Bambuk panel")</f>
        <v>0</v>
      </c>
      <c r="G27" s="28" t="n">
        <f aca="false">SUMIFS('Hisob (batafsil)'!$J$5:$J$279,'Hisob (batafsil)'!$B$5:$B$279,$A27,'Hisob (batafsil)'!$C$5:$C$279,"Bambuk panel")</f>
        <v>0</v>
      </c>
      <c r="H27" s="29" t="n">
        <f aca="false">SUMIFS('Hisob (batafsil)'!$G$5:$G$279,'Hisob (batafsil)'!$B$5:$B$279,$A27,'Hisob (batafsil)'!$C$5:$C$279,"Interaktiv doska")</f>
        <v>0</v>
      </c>
      <c r="I27" s="28" t="n">
        <f aca="false">SUMIFS('Hisob (batafsil)'!$J$5:$J$279,'Hisob (batafsil)'!$B$5:$B$279,$A27,'Hisob (batafsil)'!$C$5:$C$279,"Interaktiv doska")</f>
        <v>0</v>
      </c>
      <c r="J27" s="27" t="n">
        <f aca="false">SUMIFS('Hisob (batafsil)'!$G$5:$G$279,'Hisob (batafsil)'!$B$5:$B$279,$A27,'Hisob (batafsil)'!$C$5:$C$279,"Perila")</f>
        <v>0</v>
      </c>
      <c r="K27" s="28" t="n">
        <f aca="false">SUMIFS('Hisob (batafsil)'!$J$5:$J$279,'Hisob (batafsil)'!$B$5:$B$279,$A27,'Hisob (batafsil)'!$C$5:$C$279,"Perila")</f>
        <v>0</v>
      </c>
      <c r="L27" s="28" t="n">
        <f aca="false">SUMIFS('Hisob (batafsil)'!$J$5:$J$279,'Hisob (batafsil)'!$B$5:$B$279,$A27,'Hisob (batafsil)'!$C$5:$C$279,"Yoritish")</f>
        <v>0</v>
      </c>
      <c r="M27" s="28" t="n">
        <f aca="false">SUMIFS('Hisob (batafsil)'!$J$5:$J$279,'Hisob (batafsil)'!$B$5:$B$279,$A27,'Hisob (batafsil)'!$C$5:$C$279,"Kamera tizimi")</f>
        <v>0</v>
      </c>
      <c r="N27" s="28" t="n">
        <f aca="false">SUMIFS('Hisob (batafsil)'!$J$5:$J$279,'Hisob (batafsil)'!$B$5:$B$279,$A27,'Hisob (batafsil)'!$C$5:$C$279,"Logotip")</f>
        <v>0</v>
      </c>
      <c r="O27" s="28" t="n">
        <f aca="false">SUMIFS('Hisob (batafsil)'!$J$5:$J$279,'Hisob (batafsil)'!$B$5:$B$279,$A27,'Hisob (batafsil)'!$C$5:$C$279,"Matli plyonka")</f>
        <v>0</v>
      </c>
      <c r="P27" s="28" t="n">
        <f aca="false">SUMIFS('Hisob (batafsil)'!$J$5:$J$279,'Hisob (batafsil)'!$B$5:$B$279,$A27,'Hisob (batafsil)'!$C$5:$C$279,"Yong'in xavfsizligi")</f>
        <v>0</v>
      </c>
      <c r="Q27" s="28" t="n">
        <f aca="false">SUMIFS('Hisob (batafsil)'!$J$5:$J$279,'Hisob (batafsil)'!$B$5:$B$279,$A27,'Hisob (batafsil)'!$C$5:$C$279,"Buzish ishlari")</f>
        <v>0</v>
      </c>
      <c r="R27" s="28" t="n">
        <f aca="false">SUMIFS('Hisob (batafsil)'!$J$5:$J$279,'Hisob (batafsil)'!$B$5:$B$279,$A27,'Hisob (batafsil)'!$C$5:$C$279,"Santexnika")</f>
        <v>0</v>
      </c>
      <c r="S27" s="28" t="n">
        <f aca="false">SUMIFS('Hisob (batafsil)'!$J$5:$J$279,'Hisob (batafsil)'!$B$5:$B$279,$A27,'Hisob (batafsil)'!$C$5:$C$279,"Kafel")</f>
        <v>0</v>
      </c>
      <c r="T27" s="28" t="n">
        <f aca="false">SUMIFS('Hisob (batafsil)'!$J$5:$J$279,'Hisob (batafsil)'!$B$5:$B$279,$A27,'Hisob (batafsil)'!$C$5:$C$279,"Konditsioner va ventilyatsiya")</f>
        <v>0</v>
      </c>
      <c r="U27" s="30" t="n">
        <f aca="false">C27+E27+G27+I27+K27+L27+M27+N27+O27+P27+Q27+R27+S27+T27</f>
        <v>109.2</v>
      </c>
    </row>
    <row r="28" customFormat="false" ht="15" hidden="false" customHeight="false" outlineLevel="0" collapsed="false">
      <c r="A28" s="6" t="s">
        <v>73</v>
      </c>
      <c r="B28" s="27" t="n">
        <f aca="false">SUMIFS('Hisob (batafsil)'!$G$5:$G$279,'Hisob (batafsil)'!$B$5:$B$279,$A28,'Hisob (batafsil)'!$C$5:$C$279,"Shisha devor")</f>
        <v>0</v>
      </c>
      <c r="C28" s="28" t="n">
        <f aca="false">SUMIFS('Hisob (batafsil)'!$J$5:$J$279,'Hisob (batafsil)'!$B$5:$B$279,$A28,'Hisob (batafsil)'!$C$5:$C$279,"Shisha devor")</f>
        <v>0</v>
      </c>
      <c r="D28" s="27" t="n">
        <f aca="false">SUMIFS('Hisob (batafsil)'!$G$5:$G$279,'Hisob (batafsil)'!$B$5:$B$279,$A28,'Hisob (batafsil)'!$C$5:$C$279,"Gips karton (GKL)")</f>
        <v>0</v>
      </c>
      <c r="E28" s="28" t="n">
        <f aca="false">SUMIFS('Hisob (batafsil)'!$J$5:$J$279,'Hisob (batafsil)'!$B$5:$B$279,$A28,'Hisob (batafsil)'!$C$5:$C$279,"Gips karton (GKL)")</f>
        <v>0</v>
      </c>
      <c r="F28" s="27" t="n">
        <f aca="false">SUMIFS('Hisob (batafsil)'!$G$5:$G$279,'Hisob (batafsil)'!$B$5:$B$279,$A28,'Hisob (batafsil)'!$C$5:$C$279,"Bambuk panel")</f>
        <v>0</v>
      </c>
      <c r="G28" s="28" t="n">
        <f aca="false">SUMIFS('Hisob (batafsil)'!$J$5:$J$279,'Hisob (batafsil)'!$B$5:$B$279,$A28,'Hisob (batafsil)'!$C$5:$C$279,"Bambuk panel")</f>
        <v>0</v>
      </c>
      <c r="H28" s="29" t="n">
        <f aca="false">SUMIFS('Hisob (batafsil)'!$G$5:$G$279,'Hisob (batafsil)'!$B$5:$B$279,$A28,'Hisob (batafsil)'!$C$5:$C$279,"Interaktiv doska")</f>
        <v>0</v>
      </c>
      <c r="I28" s="28" t="n">
        <f aca="false">SUMIFS('Hisob (batafsil)'!$J$5:$J$279,'Hisob (batafsil)'!$B$5:$B$279,$A28,'Hisob (batafsil)'!$C$5:$C$279,"Interaktiv doska")</f>
        <v>0</v>
      </c>
      <c r="J28" s="27" t="n">
        <f aca="false">SUMIFS('Hisob (batafsil)'!$G$5:$G$279,'Hisob (batafsil)'!$B$5:$B$279,$A28,'Hisob (batafsil)'!$C$5:$C$279,"Perila")</f>
        <v>24</v>
      </c>
      <c r="K28" s="28" t="n">
        <f aca="false">SUMIFS('Hisob (batafsil)'!$J$5:$J$279,'Hisob (batafsil)'!$B$5:$B$279,$A28,'Hisob (batafsil)'!$C$5:$C$279,"Perila")</f>
        <v>2016</v>
      </c>
      <c r="L28" s="28" t="n">
        <f aca="false">SUMIFS('Hisob (batafsil)'!$J$5:$J$279,'Hisob (batafsil)'!$B$5:$B$279,$A28,'Hisob (batafsil)'!$C$5:$C$279,"Yoritish")</f>
        <v>0</v>
      </c>
      <c r="M28" s="28" t="n">
        <f aca="false">SUMIFS('Hisob (batafsil)'!$J$5:$J$279,'Hisob (batafsil)'!$B$5:$B$279,$A28,'Hisob (batafsil)'!$C$5:$C$279,"Kamera tizimi")</f>
        <v>0</v>
      </c>
      <c r="N28" s="28" t="n">
        <f aca="false">SUMIFS('Hisob (batafsil)'!$J$5:$J$279,'Hisob (batafsil)'!$B$5:$B$279,$A28,'Hisob (batafsil)'!$C$5:$C$279,"Logotip")</f>
        <v>0</v>
      </c>
      <c r="O28" s="28" t="n">
        <f aca="false">SUMIFS('Hisob (batafsil)'!$J$5:$J$279,'Hisob (batafsil)'!$B$5:$B$279,$A28,'Hisob (batafsil)'!$C$5:$C$279,"Matli plyonka")</f>
        <v>0</v>
      </c>
      <c r="P28" s="28" t="n">
        <f aca="false">SUMIFS('Hisob (batafsil)'!$J$5:$J$279,'Hisob (batafsil)'!$B$5:$B$279,$A28,'Hisob (batafsil)'!$C$5:$C$279,"Yong'in xavfsizligi")</f>
        <v>0</v>
      </c>
      <c r="Q28" s="28" t="n">
        <f aca="false">SUMIFS('Hisob (batafsil)'!$J$5:$J$279,'Hisob (batafsil)'!$B$5:$B$279,$A28,'Hisob (batafsil)'!$C$5:$C$279,"Buzish ishlari")</f>
        <v>0</v>
      </c>
      <c r="R28" s="28" t="n">
        <f aca="false">SUMIFS('Hisob (batafsil)'!$J$5:$J$279,'Hisob (batafsil)'!$B$5:$B$279,$A28,'Hisob (batafsil)'!$C$5:$C$279,"Santexnika")</f>
        <v>0</v>
      </c>
      <c r="S28" s="28" t="n">
        <f aca="false">SUMIFS('Hisob (batafsil)'!$J$5:$J$279,'Hisob (batafsil)'!$B$5:$B$279,$A28,'Hisob (batafsil)'!$C$5:$C$279,"Kafel")</f>
        <v>0</v>
      </c>
      <c r="T28" s="28" t="n">
        <f aca="false">SUMIFS('Hisob (batafsil)'!$J$5:$J$279,'Hisob (batafsil)'!$B$5:$B$279,$A28,'Hisob (batafsil)'!$C$5:$C$279,"Konditsioner va ventilyatsiya")</f>
        <v>0</v>
      </c>
      <c r="U28" s="30" t="n">
        <f aca="false">C28+E28+G28+I28+K28+L28+M28+N28+O28+P28+Q28+R28+S28+T28</f>
        <v>2016</v>
      </c>
    </row>
    <row r="29" customFormat="false" ht="15" hidden="false" customHeight="false" outlineLevel="0" collapsed="false">
      <c r="A29" s="6" t="s">
        <v>74</v>
      </c>
      <c r="B29" s="27" t="n">
        <f aca="false">SUMIFS('Hisob (batafsil)'!$G$5:$G$279,'Hisob (batafsil)'!$B$5:$B$279,$A29,'Hisob (batafsil)'!$C$5:$C$279,"Shisha devor")</f>
        <v>0</v>
      </c>
      <c r="C29" s="28" t="n">
        <f aca="false">SUMIFS('Hisob (batafsil)'!$J$5:$J$279,'Hisob (batafsil)'!$B$5:$B$279,$A29,'Hisob (batafsil)'!$C$5:$C$279,"Shisha devor")</f>
        <v>0</v>
      </c>
      <c r="D29" s="27" t="n">
        <f aca="false">SUMIFS('Hisob (batafsil)'!$G$5:$G$279,'Hisob (batafsil)'!$B$5:$B$279,$A29,'Hisob (batafsil)'!$C$5:$C$279,"Gips karton (GKL)")</f>
        <v>0</v>
      </c>
      <c r="E29" s="28" t="n">
        <f aca="false">SUMIFS('Hisob (batafsil)'!$J$5:$J$279,'Hisob (batafsil)'!$B$5:$B$279,$A29,'Hisob (batafsil)'!$C$5:$C$279,"Gips karton (GKL)")</f>
        <v>0</v>
      </c>
      <c r="F29" s="27" t="n">
        <f aca="false">SUMIFS('Hisob (batafsil)'!$G$5:$G$279,'Hisob (batafsil)'!$B$5:$B$279,$A29,'Hisob (batafsil)'!$C$5:$C$279,"Bambuk panel")</f>
        <v>0</v>
      </c>
      <c r="G29" s="28" t="n">
        <f aca="false">SUMIFS('Hisob (batafsil)'!$J$5:$J$279,'Hisob (batafsil)'!$B$5:$B$279,$A29,'Hisob (batafsil)'!$C$5:$C$279,"Bambuk panel")</f>
        <v>0</v>
      </c>
      <c r="H29" s="29" t="n">
        <f aca="false">SUMIFS('Hisob (batafsil)'!$G$5:$G$279,'Hisob (batafsil)'!$B$5:$B$279,$A29,'Hisob (batafsil)'!$C$5:$C$279,"Interaktiv doska")</f>
        <v>0</v>
      </c>
      <c r="I29" s="28" t="n">
        <f aca="false">SUMIFS('Hisob (batafsil)'!$J$5:$J$279,'Hisob (batafsil)'!$B$5:$B$279,$A29,'Hisob (batafsil)'!$C$5:$C$279,"Interaktiv doska")</f>
        <v>0</v>
      </c>
      <c r="J29" s="27" t="n">
        <f aca="false">SUMIFS('Hisob (batafsil)'!$G$5:$G$279,'Hisob (batafsil)'!$B$5:$B$279,$A29,'Hisob (batafsil)'!$C$5:$C$279,"Perila")</f>
        <v>0</v>
      </c>
      <c r="K29" s="28" t="n">
        <f aca="false">SUMIFS('Hisob (batafsil)'!$J$5:$J$279,'Hisob (batafsil)'!$B$5:$B$279,$A29,'Hisob (batafsil)'!$C$5:$C$279,"Perila")</f>
        <v>0</v>
      </c>
      <c r="L29" s="28" t="n">
        <f aca="false">SUMIFS('Hisob (batafsil)'!$J$5:$J$279,'Hisob (batafsil)'!$B$5:$B$279,$A29,'Hisob (batafsil)'!$C$5:$C$279,"Yoritish")</f>
        <v>0</v>
      </c>
      <c r="M29" s="28" t="n">
        <f aca="false">SUMIFS('Hisob (batafsil)'!$J$5:$J$279,'Hisob (batafsil)'!$B$5:$B$279,$A29,'Hisob (batafsil)'!$C$5:$C$279,"Kamera tizimi")</f>
        <v>2119</v>
      </c>
      <c r="N29" s="28" t="n">
        <f aca="false">SUMIFS('Hisob (batafsil)'!$J$5:$J$279,'Hisob (batafsil)'!$B$5:$B$279,$A29,'Hisob (batafsil)'!$C$5:$C$279,"Logotip")</f>
        <v>2500</v>
      </c>
      <c r="O29" s="28" t="n">
        <f aca="false">SUMIFS('Hisob (batafsil)'!$J$5:$J$279,'Hisob (batafsil)'!$B$5:$B$279,$A29,'Hisob (batafsil)'!$C$5:$C$279,"Matli plyonka")</f>
        <v>537.81512605042</v>
      </c>
      <c r="P29" s="28" t="n">
        <f aca="false">SUMIFS('Hisob (batafsil)'!$J$5:$J$279,'Hisob (batafsil)'!$B$5:$B$279,$A29,'Hisob (batafsil)'!$C$5:$C$279,"Yong'in xavfsizligi")</f>
        <v>1512.60504201681</v>
      </c>
      <c r="Q29" s="28" t="n">
        <f aca="false">SUMIFS('Hisob (batafsil)'!$J$5:$J$279,'Hisob (batafsil)'!$B$5:$B$279,$A29,'Hisob (batafsil)'!$C$5:$C$279,"Buzish ishlari")</f>
        <v>451.575630252101</v>
      </c>
      <c r="R29" s="28" t="n">
        <f aca="false">SUMIFS('Hisob (batafsil)'!$J$5:$J$279,'Hisob (batafsil)'!$B$5:$B$279,$A29,'Hisob (batafsil)'!$C$5:$C$279,"Santexnika")</f>
        <v>0</v>
      </c>
      <c r="S29" s="28" t="n">
        <f aca="false">SUMIFS('Hisob (batafsil)'!$J$5:$J$279,'Hisob (batafsil)'!$B$5:$B$279,$A29,'Hisob (batafsil)'!$C$5:$C$279,"Kafel")</f>
        <v>0</v>
      </c>
      <c r="T29" s="28" t="n">
        <f aca="false">SUMIFS('Hisob (batafsil)'!$J$5:$J$279,'Hisob (batafsil)'!$B$5:$B$279,$A29,'Hisob (batafsil)'!$C$5:$C$279,"Konditsioner va ventilyatsiya")</f>
        <v>14000</v>
      </c>
      <c r="U29" s="30" t="n">
        <f aca="false">C29+E29+G29+I29+K29+L29+M29+N29+O29+P29+Q29+R29+S29+T29</f>
        <v>21120.9957983193</v>
      </c>
    </row>
    <row r="30" customFormat="false" ht="15" hidden="false" customHeight="false" outlineLevel="0" collapsed="false">
      <c r="A30" s="11" t="s">
        <v>75</v>
      </c>
      <c r="B30" s="31" t="n">
        <f aca="false">SUM(B24:B29)</f>
        <v>0</v>
      </c>
      <c r="C30" s="32" t="n">
        <f aca="false">SUM(C24:C29)</f>
        <v>0</v>
      </c>
      <c r="D30" s="31" t="n">
        <f aca="false">SUM(D24:D29)</f>
        <v>110.45</v>
      </c>
      <c r="E30" s="32" t="n">
        <f aca="false">SUM(E24:E29)</f>
        <v>1325.4</v>
      </c>
      <c r="F30" s="31" t="n">
        <f aca="false">SUM(F24:F29)</f>
        <v>0</v>
      </c>
      <c r="G30" s="32" t="n">
        <f aca="false">SUM(G24:G29)</f>
        <v>0</v>
      </c>
      <c r="H30" s="33" t="n">
        <f aca="false">SUM(H24:H29)</f>
        <v>0</v>
      </c>
      <c r="I30" s="32" t="n">
        <f aca="false">SUM(I24:I29)</f>
        <v>0</v>
      </c>
      <c r="J30" s="31" t="n">
        <f aca="false">SUM(J24:J29)</f>
        <v>24</v>
      </c>
      <c r="K30" s="32" t="n">
        <f aca="false">SUM(K24:K29)</f>
        <v>2016</v>
      </c>
      <c r="L30" s="32" t="n">
        <f aca="false">SUM(L24:L29)</f>
        <v>1008</v>
      </c>
      <c r="M30" s="32" t="n">
        <f aca="false">SUM(M24:M29)</f>
        <v>2119</v>
      </c>
      <c r="N30" s="32" t="n">
        <f aca="false">SUM(N24:N29)</f>
        <v>2500</v>
      </c>
      <c r="O30" s="32" t="n">
        <f aca="false">SUM(O24:O29)</f>
        <v>537.81512605042</v>
      </c>
      <c r="P30" s="32" t="n">
        <f aca="false">SUM(P24:P29)</f>
        <v>1512.60504201681</v>
      </c>
      <c r="Q30" s="32" t="n">
        <f aca="false">SUM(Q24:Q29)</f>
        <v>451.575630252101</v>
      </c>
      <c r="R30" s="32" t="n">
        <f aca="false">SUM(R24:R29)</f>
        <v>0</v>
      </c>
      <c r="S30" s="32" t="n">
        <f aca="false">SUM(S24:S29)</f>
        <v>0</v>
      </c>
      <c r="T30" s="32" t="n">
        <f aca="false">SUM(T24:T29)</f>
        <v>14000</v>
      </c>
      <c r="U30" s="32" t="n">
        <f aca="false">SUM(U24:U29)</f>
        <v>25470.3957983193</v>
      </c>
    </row>
    <row r="32" customFormat="false" ht="15" hidden="false" customHeight="false" outlineLevel="0" collapsed="false">
      <c r="A32" s="25" t="s">
        <v>29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</row>
    <row r="33" customFormat="false" ht="15" hidden="false" customHeight="false" outlineLevel="0" collapsed="false">
      <c r="A33" s="6" t="s">
        <v>76</v>
      </c>
      <c r="B33" s="27" t="n">
        <f aca="false">SUMIFS('Hisob (batafsil)'!$G$5:$G$279,'Hisob (batafsil)'!$B$5:$B$279,$A33,'Hisob (batafsil)'!$C$5:$C$279,"Shisha devor")</f>
        <v>0</v>
      </c>
      <c r="C33" s="28" t="n">
        <f aca="false">SUMIFS('Hisob (batafsil)'!$J$5:$J$279,'Hisob (batafsil)'!$B$5:$B$279,$A33,'Hisob (batafsil)'!$C$5:$C$279,"Shisha devor")</f>
        <v>0</v>
      </c>
      <c r="D33" s="27" t="n">
        <f aca="false">SUMIFS('Hisob (batafsil)'!$G$5:$G$279,'Hisob (batafsil)'!$B$5:$B$279,$A33,'Hisob (batafsil)'!$C$5:$C$279,"Gips karton (GKL)")</f>
        <v>0</v>
      </c>
      <c r="E33" s="28" t="n">
        <f aca="false">SUMIFS('Hisob (batafsil)'!$J$5:$J$279,'Hisob (batafsil)'!$B$5:$B$279,$A33,'Hisob (batafsil)'!$C$5:$C$279,"Gips karton (GKL)")</f>
        <v>0</v>
      </c>
      <c r="F33" s="27" t="n">
        <f aca="false">SUMIFS('Hisob (batafsil)'!$G$5:$G$279,'Hisob (batafsil)'!$B$5:$B$279,$A33,'Hisob (batafsil)'!$C$5:$C$279,"Bambuk panel")</f>
        <v>46.86</v>
      </c>
      <c r="G33" s="28" t="n">
        <f aca="false">SUMIFS('Hisob (batafsil)'!$J$5:$J$279,'Hisob (batafsil)'!$B$5:$B$279,$A33,'Hisob (batafsil)'!$C$5:$C$279,"Bambuk panel")</f>
        <v>726.33</v>
      </c>
      <c r="H33" s="29" t="n">
        <f aca="false">SUMIFS('Hisob (batafsil)'!$G$5:$G$279,'Hisob (batafsil)'!$B$5:$B$279,$A33,'Hisob (batafsil)'!$C$5:$C$279,"Interaktiv doska")</f>
        <v>1</v>
      </c>
      <c r="I33" s="28" t="n">
        <f aca="false">SUMIFS('Hisob (batafsil)'!$J$5:$J$279,'Hisob (batafsil)'!$B$5:$B$279,$A33,'Hisob (batafsil)'!$C$5:$C$279,"Interaktiv doska")</f>
        <v>1032</v>
      </c>
      <c r="J33" s="27" t="n">
        <f aca="false">SUMIFS('Hisob (batafsil)'!$G$5:$G$279,'Hisob (batafsil)'!$B$5:$B$279,$A33,'Hisob (batafsil)'!$C$5:$C$279,"Perila")</f>
        <v>0</v>
      </c>
      <c r="K33" s="28" t="n">
        <f aca="false">SUMIFS('Hisob (batafsil)'!$J$5:$J$279,'Hisob (batafsil)'!$B$5:$B$279,$A33,'Hisob (batafsil)'!$C$5:$C$279,"Perila")</f>
        <v>0</v>
      </c>
      <c r="L33" s="28" t="n">
        <f aca="false">SUMIFS('Hisob (batafsil)'!$J$5:$J$279,'Hisob (batafsil)'!$B$5:$B$279,$A33,'Hisob (batafsil)'!$C$5:$C$279,"Yoritish")</f>
        <v>0</v>
      </c>
      <c r="M33" s="28" t="n">
        <f aca="false">SUMIFS('Hisob (batafsil)'!$J$5:$J$279,'Hisob (batafsil)'!$B$5:$B$279,$A33,'Hisob (batafsil)'!$C$5:$C$279,"Kamera tizimi")</f>
        <v>0</v>
      </c>
      <c r="N33" s="28" t="n">
        <f aca="false">SUMIFS('Hisob (batafsil)'!$J$5:$J$279,'Hisob (batafsil)'!$B$5:$B$279,$A33,'Hisob (batafsil)'!$C$5:$C$279,"Logotip")</f>
        <v>0</v>
      </c>
      <c r="O33" s="28" t="n">
        <f aca="false">SUMIFS('Hisob (batafsil)'!$J$5:$J$279,'Hisob (batafsil)'!$B$5:$B$279,$A33,'Hisob (batafsil)'!$C$5:$C$279,"Matli plyonka")</f>
        <v>0</v>
      </c>
      <c r="P33" s="28" t="n">
        <f aca="false">SUMIFS('Hisob (batafsil)'!$J$5:$J$279,'Hisob (batafsil)'!$B$5:$B$279,$A33,'Hisob (batafsil)'!$C$5:$C$279,"Yong'in xavfsizligi")</f>
        <v>0</v>
      </c>
      <c r="Q33" s="28" t="n">
        <f aca="false">SUMIFS('Hisob (batafsil)'!$J$5:$J$279,'Hisob (batafsil)'!$B$5:$B$279,$A33,'Hisob (batafsil)'!$C$5:$C$279,"Buzish ishlari")</f>
        <v>0</v>
      </c>
      <c r="R33" s="28" t="n">
        <f aca="false">SUMIFS('Hisob (batafsil)'!$J$5:$J$279,'Hisob (batafsil)'!$B$5:$B$279,$A33,'Hisob (batafsil)'!$C$5:$C$279,"Santexnika")</f>
        <v>0</v>
      </c>
      <c r="S33" s="28" t="n">
        <f aca="false">SUMIFS('Hisob (batafsil)'!$J$5:$J$279,'Hisob (batafsil)'!$B$5:$B$279,$A33,'Hisob (batafsil)'!$C$5:$C$279,"Kafel")</f>
        <v>0</v>
      </c>
      <c r="T33" s="28" t="n">
        <f aca="false">SUMIFS('Hisob (batafsil)'!$J$5:$J$279,'Hisob (batafsil)'!$B$5:$B$279,$A33,'Hisob (batafsil)'!$C$5:$C$279,"Konditsioner va ventilyatsiya")</f>
        <v>1000</v>
      </c>
      <c r="U33" s="30" t="n">
        <f aca="false">C33+E33+G33+I33+K33+L33+M33+N33+O33+P33+Q33+R33+S33+T33</f>
        <v>2758.33</v>
      </c>
    </row>
    <row r="34" customFormat="false" ht="15" hidden="false" customHeight="false" outlineLevel="0" collapsed="false">
      <c r="A34" s="6" t="s">
        <v>77</v>
      </c>
      <c r="B34" s="27" t="n">
        <f aca="false">SUMIFS('Hisob (batafsil)'!$G$5:$G$279,'Hisob (batafsil)'!$B$5:$B$279,$A34,'Hisob (batafsil)'!$C$5:$C$279,"Shisha devor")</f>
        <v>0</v>
      </c>
      <c r="C34" s="28" t="n">
        <f aca="false">SUMIFS('Hisob (batafsil)'!$J$5:$J$279,'Hisob (batafsil)'!$B$5:$B$279,$A34,'Hisob (batafsil)'!$C$5:$C$279,"Shisha devor")</f>
        <v>0</v>
      </c>
      <c r="D34" s="27" t="n">
        <f aca="false">SUMIFS('Hisob (batafsil)'!$G$5:$G$279,'Hisob (batafsil)'!$B$5:$B$279,$A34,'Hisob (batafsil)'!$C$5:$C$279,"Gips karton (GKL)")</f>
        <v>0</v>
      </c>
      <c r="E34" s="28" t="n">
        <f aca="false">SUMIFS('Hisob (batafsil)'!$J$5:$J$279,'Hisob (batafsil)'!$B$5:$B$279,$A34,'Hisob (batafsil)'!$C$5:$C$279,"Gips karton (GKL)")</f>
        <v>0</v>
      </c>
      <c r="F34" s="27" t="n">
        <f aca="false">SUMIFS('Hisob (batafsil)'!$G$5:$G$279,'Hisob (batafsil)'!$B$5:$B$279,$A34,'Hisob (batafsil)'!$C$5:$C$279,"Bambuk panel")</f>
        <v>0</v>
      </c>
      <c r="G34" s="28" t="n">
        <f aca="false">SUMIFS('Hisob (batafsil)'!$J$5:$J$279,'Hisob (batafsil)'!$B$5:$B$279,$A34,'Hisob (batafsil)'!$C$5:$C$279,"Bambuk panel")</f>
        <v>0</v>
      </c>
      <c r="H34" s="29" t="n">
        <f aca="false">SUMIFS('Hisob (batafsil)'!$G$5:$G$279,'Hisob (batafsil)'!$B$5:$B$279,$A34,'Hisob (batafsil)'!$C$5:$C$279,"Interaktiv doska")</f>
        <v>0</v>
      </c>
      <c r="I34" s="28" t="n">
        <f aca="false">SUMIFS('Hisob (batafsil)'!$J$5:$J$279,'Hisob (batafsil)'!$B$5:$B$279,$A34,'Hisob (batafsil)'!$C$5:$C$279,"Interaktiv doska")</f>
        <v>0</v>
      </c>
      <c r="J34" s="27" t="n">
        <f aca="false">SUMIFS('Hisob (batafsil)'!$G$5:$G$279,'Hisob (batafsil)'!$B$5:$B$279,$A34,'Hisob (batafsil)'!$C$5:$C$279,"Perila")</f>
        <v>0</v>
      </c>
      <c r="K34" s="28" t="n">
        <f aca="false">SUMIFS('Hisob (batafsil)'!$J$5:$J$279,'Hisob (batafsil)'!$B$5:$B$279,$A34,'Hisob (batafsil)'!$C$5:$C$279,"Perila")</f>
        <v>0</v>
      </c>
      <c r="L34" s="28" t="n">
        <f aca="false">SUMIFS('Hisob (batafsil)'!$J$5:$J$279,'Hisob (batafsil)'!$B$5:$B$279,$A34,'Hisob (batafsil)'!$C$5:$C$279,"Yoritish")</f>
        <v>0</v>
      </c>
      <c r="M34" s="28" t="n">
        <f aca="false">SUMIFS('Hisob (batafsil)'!$J$5:$J$279,'Hisob (batafsil)'!$B$5:$B$279,$A34,'Hisob (batafsil)'!$C$5:$C$279,"Kamera tizimi")</f>
        <v>0</v>
      </c>
      <c r="N34" s="28" t="n">
        <f aca="false">SUMIFS('Hisob (batafsil)'!$J$5:$J$279,'Hisob (batafsil)'!$B$5:$B$279,$A34,'Hisob (batafsil)'!$C$5:$C$279,"Logotip")</f>
        <v>0</v>
      </c>
      <c r="O34" s="28" t="n">
        <f aca="false">SUMIFS('Hisob (batafsil)'!$J$5:$J$279,'Hisob (batafsil)'!$B$5:$B$279,$A34,'Hisob (batafsil)'!$C$5:$C$279,"Matli plyonka")</f>
        <v>0</v>
      </c>
      <c r="P34" s="28" t="n">
        <f aca="false">SUMIFS('Hisob (batafsil)'!$J$5:$J$279,'Hisob (batafsil)'!$B$5:$B$279,$A34,'Hisob (batafsil)'!$C$5:$C$279,"Yong'in xavfsizligi")</f>
        <v>0</v>
      </c>
      <c r="Q34" s="28" t="n">
        <f aca="false">SUMIFS('Hisob (batafsil)'!$J$5:$J$279,'Hisob (batafsil)'!$B$5:$B$279,$A34,'Hisob (batafsil)'!$C$5:$C$279,"Buzish ishlari")</f>
        <v>0</v>
      </c>
      <c r="R34" s="28" t="n">
        <f aca="false">SUMIFS('Hisob (batafsil)'!$J$5:$J$279,'Hisob (batafsil)'!$B$5:$B$279,$A34,'Hisob (batafsil)'!$C$5:$C$279,"Santexnika")</f>
        <v>3393.27731092437</v>
      </c>
      <c r="S34" s="28" t="n">
        <f aca="false">SUMIFS('Hisob (batafsil)'!$J$5:$J$279,'Hisob (batafsil)'!$B$5:$B$279,$A34,'Hisob (batafsil)'!$C$5:$C$279,"Kafel")</f>
        <v>1243.6974789916</v>
      </c>
      <c r="T34" s="28" t="n">
        <f aca="false">SUMIFS('Hisob (batafsil)'!$J$5:$J$279,'Hisob (batafsil)'!$B$5:$B$279,$A34,'Hisob (batafsil)'!$C$5:$C$279,"Konditsioner va ventilyatsiya")</f>
        <v>0</v>
      </c>
      <c r="U34" s="30" t="n">
        <f aca="false">C34+E34+G34+I34+K34+L34+M34+N34+O34+P34+Q34+R34+S34+T34</f>
        <v>4636.97478991597</v>
      </c>
    </row>
    <row r="35" customFormat="false" ht="15" hidden="false" customHeight="false" outlineLevel="0" collapsed="false">
      <c r="A35" s="11" t="s">
        <v>78</v>
      </c>
      <c r="B35" s="31" t="n">
        <f aca="false">SUM(B33:B34)</f>
        <v>0</v>
      </c>
      <c r="C35" s="32" t="n">
        <f aca="false">SUM(C33:C34)</f>
        <v>0</v>
      </c>
      <c r="D35" s="31" t="n">
        <f aca="false">SUM(D33:D34)</f>
        <v>0</v>
      </c>
      <c r="E35" s="32" t="n">
        <f aca="false">SUM(E33:E34)</f>
        <v>0</v>
      </c>
      <c r="F35" s="31" t="n">
        <f aca="false">SUM(F33:F34)</f>
        <v>46.86</v>
      </c>
      <c r="G35" s="32" t="n">
        <f aca="false">SUM(G33:G34)</f>
        <v>726.33</v>
      </c>
      <c r="H35" s="33" t="n">
        <f aca="false">SUM(H33:H34)</f>
        <v>1</v>
      </c>
      <c r="I35" s="32" t="n">
        <f aca="false">SUM(I33:I34)</f>
        <v>1032</v>
      </c>
      <c r="J35" s="31" t="n">
        <f aca="false">SUM(J33:J34)</f>
        <v>0</v>
      </c>
      <c r="K35" s="32" t="n">
        <f aca="false">SUM(K33:K34)</f>
        <v>0</v>
      </c>
      <c r="L35" s="32" t="n">
        <f aca="false">SUM(L33:L34)</f>
        <v>0</v>
      </c>
      <c r="M35" s="32" t="n">
        <f aca="false">SUM(M33:M34)</f>
        <v>0</v>
      </c>
      <c r="N35" s="32" t="n">
        <f aca="false">SUM(N33:N34)</f>
        <v>0</v>
      </c>
      <c r="O35" s="32" t="n">
        <f aca="false">SUM(O33:O34)</f>
        <v>0</v>
      </c>
      <c r="P35" s="32" t="n">
        <f aca="false">SUM(P33:P34)</f>
        <v>0</v>
      </c>
      <c r="Q35" s="32" t="n">
        <f aca="false">SUM(Q33:Q34)</f>
        <v>0</v>
      </c>
      <c r="R35" s="32" t="n">
        <f aca="false">SUM(R33:R34)</f>
        <v>3393.27731092437</v>
      </c>
      <c r="S35" s="32" t="n">
        <f aca="false">SUM(S33:S34)</f>
        <v>1243.6974789916</v>
      </c>
      <c r="T35" s="32" t="n">
        <f aca="false">SUM(T33:T34)</f>
        <v>1000</v>
      </c>
      <c r="U35" s="32" t="n">
        <f aca="false">SUM(U33:U34)</f>
        <v>7395.30478991597</v>
      </c>
    </row>
    <row r="37" customFormat="false" ht="15" hidden="false" customHeight="false" outlineLevel="0" collapsed="false">
      <c r="A37" s="20" t="s">
        <v>22</v>
      </c>
      <c r="B37" s="34" t="n">
        <f aca="false">B13+B21+B30+B35</f>
        <v>101.125</v>
      </c>
      <c r="C37" s="35" t="n">
        <f aca="false">C13+C21+C30+C35</f>
        <v>5561.875</v>
      </c>
      <c r="D37" s="34" t="n">
        <f aca="false">D13+D21+D30+D35</f>
        <v>408.15</v>
      </c>
      <c r="E37" s="35" t="n">
        <f aca="false">E13+E21+E30+E35</f>
        <v>4897.8</v>
      </c>
      <c r="F37" s="34" t="n">
        <f aca="false">F13+F21+F30+F35</f>
        <v>606.72</v>
      </c>
      <c r="G37" s="35" t="n">
        <f aca="false">G13+G21+G30+G35</f>
        <v>9404.16</v>
      </c>
      <c r="H37" s="36" t="n">
        <f aca="false">H13+H21+H30+H35</f>
        <v>8</v>
      </c>
      <c r="I37" s="35" t="n">
        <f aca="false">I13+I21+I30+I35</f>
        <v>8256</v>
      </c>
      <c r="J37" s="34" t="n">
        <f aca="false">J13+J21+J30+J35</f>
        <v>24</v>
      </c>
      <c r="K37" s="35" t="n">
        <f aca="false">K13+K21+K30+K35</f>
        <v>2016</v>
      </c>
      <c r="L37" s="35" t="n">
        <f aca="false">L13+L21+L30+L35</f>
        <v>3024</v>
      </c>
      <c r="M37" s="35" t="n">
        <f aca="false">M13+M21+M30+M35</f>
        <v>2119</v>
      </c>
      <c r="N37" s="35" t="n">
        <f aca="false">N13+N21+N30+N35</f>
        <v>2500</v>
      </c>
      <c r="O37" s="35" t="n">
        <f aca="false">O13+O21+O30+O35</f>
        <v>537.81512605042</v>
      </c>
      <c r="P37" s="35" t="n">
        <f aca="false">P13+P21+P30+P35</f>
        <v>1512.60504201681</v>
      </c>
      <c r="Q37" s="35" t="n">
        <f aca="false">Q13+Q21+Q30+Q35</f>
        <v>451.575630252101</v>
      </c>
      <c r="R37" s="35" t="n">
        <f aca="false">R13+R21+R30+R35</f>
        <v>3393.27731092437</v>
      </c>
      <c r="S37" s="35" t="n">
        <f aca="false">S13+S21+S30+S35</f>
        <v>1243.6974789916</v>
      </c>
      <c r="T37" s="35" t="n">
        <f aca="false">T13+T21+T30+T35</f>
        <v>15000</v>
      </c>
      <c r="U37" s="35" t="n">
        <f aca="false">U13+U21+U30+U35</f>
        <v>59917.8055882353</v>
      </c>
    </row>
    <row r="38" customFormat="false" ht="15" hidden="false" customHeight="false" outlineLevel="0" collapsed="false">
      <c r="A38" s="16" t="str">
        <f aca="false">"Kutilmagan xarajatlar ("&amp;TEXT(Narxlar!$C$55,"0%")&amp;" — «Narxlar» varag'idan)"</f>
        <v>Kutilmagan xarajatlar (10% — «Narxlar» varag'idan)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37" t="n">
        <f aca="false">U37*Narxlar!$C$55</f>
        <v>5991.78055882353</v>
      </c>
    </row>
    <row r="39" customFormat="false" ht="15" hidden="false" customHeight="false" outlineLevel="0" collapsed="false">
      <c r="A39" s="20" t="s">
        <v>79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35" t="n">
        <f aca="false">U37+U38</f>
        <v>65909.5861470588</v>
      </c>
    </row>
    <row r="40" customFormat="false" ht="15" hidden="false" customHeight="false" outlineLevel="0" collapsed="false">
      <c r="A40" s="20" t="s">
        <v>80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2" t="n">
        <f aca="false">U39*Narxlar!$C$19</f>
        <v>784324075.15</v>
      </c>
    </row>
    <row r="42" customFormat="false" ht="15" hidden="false" customHeight="false" outlineLevel="0" collapsed="false">
      <c r="A42" s="2" t="s">
        <v>81</v>
      </c>
      <c r="U42" s="23" t="n">
        <f aca="false">U37-'Hisob (batafsil)'!J280</f>
        <v>0</v>
      </c>
    </row>
  </sheetData>
  <mergeCells count="3">
    <mergeCell ref="A38:T38"/>
    <mergeCell ref="A39:T39"/>
    <mergeCell ref="A40:T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82</v>
      </c>
    </row>
    <row r="2" customFormat="false" ht="15" hidden="false" customHeight="false" outlineLevel="0" collapsed="false">
      <c r="A2" s="2" t="s">
        <v>83</v>
      </c>
    </row>
    <row r="4" customFormat="false" ht="15" hidden="false" customHeight="false" outlineLevel="0" collapsed="false">
      <c r="A4" s="4" t="s">
        <v>3</v>
      </c>
      <c r="B4" s="4" t="s">
        <v>84</v>
      </c>
      <c r="C4" s="4" t="s">
        <v>85</v>
      </c>
      <c r="D4" s="4" t="s">
        <v>86</v>
      </c>
      <c r="E4" s="4" t="s">
        <v>87</v>
      </c>
    </row>
    <row r="5" customFormat="false" ht="15" hidden="false" customHeight="false" outlineLevel="0" collapsed="false">
      <c r="A5" s="5" t="n">
        <v>1</v>
      </c>
      <c r="B5" s="6" t="s">
        <v>8</v>
      </c>
      <c r="C5" s="38" t="n">
        <v>55</v>
      </c>
      <c r="D5" s="6" t="s">
        <v>88</v>
      </c>
      <c r="E5" s="6" t="s">
        <v>89</v>
      </c>
    </row>
    <row r="6" customFormat="false" ht="15" hidden="false" customHeight="false" outlineLevel="0" collapsed="false">
      <c r="A6" s="5" t="n">
        <v>2</v>
      </c>
      <c r="B6" s="6" t="s">
        <v>90</v>
      </c>
      <c r="C6" s="38" t="n">
        <v>12</v>
      </c>
      <c r="D6" s="6" t="s">
        <v>88</v>
      </c>
      <c r="E6" s="6" t="s">
        <v>91</v>
      </c>
    </row>
    <row r="7" customFormat="false" ht="15" hidden="false" customHeight="false" outlineLevel="0" collapsed="false">
      <c r="A7" s="5" t="n">
        <v>3</v>
      </c>
      <c r="B7" s="6" t="s">
        <v>10</v>
      </c>
      <c r="C7" s="38" t="n">
        <v>15.5</v>
      </c>
      <c r="D7" s="6" t="s">
        <v>88</v>
      </c>
      <c r="E7" s="6" t="s">
        <v>89</v>
      </c>
    </row>
    <row r="8" customFormat="false" ht="15" hidden="false" customHeight="false" outlineLevel="0" collapsed="false">
      <c r="A8" s="5" t="n">
        <v>4</v>
      </c>
      <c r="B8" s="6" t="s">
        <v>11</v>
      </c>
      <c r="C8" s="38" t="n">
        <v>1032</v>
      </c>
      <c r="D8" s="6" t="s">
        <v>92</v>
      </c>
      <c r="E8" s="6" t="s">
        <v>93</v>
      </c>
    </row>
    <row r="9" customFormat="false" ht="15" hidden="false" customHeight="false" outlineLevel="0" collapsed="false">
      <c r="A9" s="5" t="n">
        <v>5</v>
      </c>
      <c r="B9" s="6" t="s">
        <v>12</v>
      </c>
      <c r="C9" s="38" t="n">
        <v>84</v>
      </c>
      <c r="D9" s="6" t="s">
        <v>94</v>
      </c>
      <c r="E9" s="6" t="s">
        <v>89</v>
      </c>
    </row>
    <row r="10" customFormat="false" ht="15" hidden="false" customHeight="false" outlineLevel="0" collapsed="false">
      <c r="A10" s="5" t="n">
        <v>6</v>
      </c>
      <c r="B10" s="6" t="s">
        <v>95</v>
      </c>
      <c r="C10" s="39" t="n">
        <v>24</v>
      </c>
      <c r="D10" s="6" t="s">
        <v>96</v>
      </c>
      <c r="E10" s="6" t="s">
        <v>89</v>
      </c>
    </row>
    <row r="11" customFormat="false" ht="15" hidden="false" customHeight="false" outlineLevel="0" collapsed="false">
      <c r="A11" s="5" t="n">
        <v>7</v>
      </c>
      <c r="B11" s="6" t="s">
        <v>97</v>
      </c>
      <c r="C11" s="38" t="n">
        <v>336</v>
      </c>
      <c r="D11" s="6" t="s">
        <v>98</v>
      </c>
      <c r="E11" s="6" t="s">
        <v>99</v>
      </c>
    </row>
    <row r="12" customFormat="false" ht="15" hidden="false" customHeight="false" outlineLevel="0" collapsed="false">
      <c r="A12" s="5" t="n">
        <v>8</v>
      </c>
      <c r="B12" s="6" t="s">
        <v>100</v>
      </c>
      <c r="C12" s="38" t="n">
        <v>168</v>
      </c>
      <c r="D12" s="6" t="s">
        <v>101</v>
      </c>
      <c r="E12" s="6" t="s">
        <v>102</v>
      </c>
    </row>
    <row r="13" customFormat="false" ht="15" hidden="false" customHeight="false" outlineLevel="0" collapsed="false">
      <c r="A13" s="5" t="n">
        <v>9</v>
      </c>
      <c r="B13" s="6" t="s">
        <v>103</v>
      </c>
      <c r="C13" s="38" t="n">
        <v>40</v>
      </c>
      <c r="D13" s="6" t="s">
        <v>92</v>
      </c>
      <c r="E13" s="6" t="s">
        <v>89</v>
      </c>
    </row>
    <row r="14" customFormat="false" ht="15" hidden="false" customHeight="false" outlineLevel="0" collapsed="false">
      <c r="A14" s="5" t="n">
        <v>10</v>
      </c>
      <c r="B14" s="6" t="s">
        <v>104</v>
      </c>
      <c r="C14" s="40" t="n">
        <v>16</v>
      </c>
      <c r="D14" s="6" t="s">
        <v>105</v>
      </c>
      <c r="E14" s="6" t="s">
        <v>89</v>
      </c>
    </row>
    <row r="15" customFormat="false" ht="15" hidden="false" customHeight="false" outlineLevel="0" collapsed="false">
      <c r="A15" s="5" t="n">
        <v>11</v>
      </c>
      <c r="B15" s="6" t="s">
        <v>106</v>
      </c>
      <c r="C15" s="38" t="n">
        <v>21</v>
      </c>
      <c r="D15" s="6" t="s">
        <v>92</v>
      </c>
      <c r="E15" s="6" t="s">
        <v>89</v>
      </c>
    </row>
    <row r="16" customFormat="false" ht="15" hidden="false" customHeight="false" outlineLevel="0" collapsed="false">
      <c r="A16" s="5" t="n">
        <v>12</v>
      </c>
      <c r="B16" s="6" t="s">
        <v>107</v>
      </c>
      <c r="C16" s="38" t="n">
        <v>840</v>
      </c>
      <c r="D16" s="6" t="s">
        <v>92</v>
      </c>
      <c r="E16" s="6" t="s">
        <v>89</v>
      </c>
    </row>
    <row r="17" customFormat="false" ht="15" hidden="false" customHeight="false" outlineLevel="0" collapsed="false">
      <c r="A17" s="5" t="n">
        <v>13</v>
      </c>
      <c r="B17" s="6" t="s">
        <v>108</v>
      </c>
      <c r="C17" s="38" t="n">
        <v>303</v>
      </c>
      <c r="D17" s="6" t="s">
        <v>109</v>
      </c>
      <c r="E17" s="6" t="s">
        <v>110</v>
      </c>
    </row>
    <row r="18" customFormat="false" ht="15" hidden="false" customHeight="false" outlineLevel="0" collapsed="false">
      <c r="A18" s="5" t="n">
        <v>14</v>
      </c>
      <c r="B18" s="6" t="s">
        <v>111</v>
      </c>
      <c r="C18" s="38" t="n">
        <v>2500</v>
      </c>
      <c r="D18" s="6" t="s">
        <v>109</v>
      </c>
      <c r="E18" s="6" t="s">
        <v>110</v>
      </c>
    </row>
    <row r="19" customFormat="false" ht="15" hidden="false" customHeight="false" outlineLevel="0" collapsed="false">
      <c r="A19" s="5" t="n">
        <v>15</v>
      </c>
      <c r="B19" s="6" t="s">
        <v>112</v>
      </c>
      <c r="C19" s="41" t="n">
        <v>11900</v>
      </c>
      <c r="D19" s="6" t="s">
        <v>113</v>
      </c>
      <c r="E19" s="6" t="s">
        <v>114</v>
      </c>
    </row>
    <row r="20" customFormat="false" ht="15" hidden="false" customHeight="false" outlineLevel="0" collapsed="false">
      <c r="A20" s="5" t="n">
        <v>16</v>
      </c>
      <c r="B20" s="6" t="s">
        <v>115</v>
      </c>
      <c r="C20" s="41" t="n">
        <v>800000</v>
      </c>
      <c r="D20" s="6" t="s">
        <v>116</v>
      </c>
      <c r="E20" s="6" t="s">
        <v>89</v>
      </c>
    </row>
    <row r="21" customFormat="false" ht="15" hidden="false" customHeight="false" outlineLevel="0" collapsed="false">
      <c r="A21" s="5" t="n">
        <v>17</v>
      </c>
      <c r="B21" s="6" t="s">
        <v>117</v>
      </c>
      <c r="C21" s="40" t="n">
        <v>8</v>
      </c>
      <c r="D21" s="6" t="s">
        <v>105</v>
      </c>
      <c r="E21" s="6" t="s">
        <v>89</v>
      </c>
    </row>
    <row r="22" customFormat="false" ht="15" hidden="false" customHeight="false" outlineLevel="0" collapsed="false">
      <c r="A22" s="5" t="n">
        <v>18</v>
      </c>
      <c r="B22" s="6" t="s">
        <v>118</v>
      </c>
      <c r="C22" s="41" t="n">
        <v>18000000</v>
      </c>
      <c r="D22" s="6" t="s">
        <v>119</v>
      </c>
      <c r="E22" s="6" t="s">
        <v>110</v>
      </c>
    </row>
    <row r="23" customFormat="false" ht="15" hidden="false" customHeight="false" outlineLevel="0" collapsed="false">
      <c r="A23" s="5" t="n">
        <v>19</v>
      </c>
      <c r="B23" s="6" t="s">
        <v>120</v>
      </c>
      <c r="C23" s="41" t="n">
        <v>50000</v>
      </c>
      <c r="D23" s="6" t="s">
        <v>121</v>
      </c>
      <c r="E23" s="6" t="s">
        <v>89</v>
      </c>
    </row>
    <row r="24" customFormat="false" ht="15" hidden="false" customHeight="false" outlineLevel="0" collapsed="false">
      <c r="A24" s="5" t="n">
        <v>20</v>
      </c>
      <c r="B24" s="6" t="s">
        <v>122</v>
      </c>
      <c r="C24" s="41" t="n">
        <v>1200000</v>
      </c>
      <c r="D24" s="6" t="s">
        <v>119</v>
      </c>
      <c r="E24" s="6" t="s">
        <v>110</v>
      </c>
    </row>
    <row r="25" customFormat="false" ht="15" hidden="false" customHeight="false" outlineLevel="0" collapsed="false">
      <c r="A25" s="5" t="n">
        <v>21</v>
      </c>
      <c r="B25" s="6" t="s">
        <v>123</v>
      </c>
      <c r="C25" s="41" t="n">
        <v>700000</v>
      </c>
      <c r="D25" s="6" t="s">
        <v>116</v>
      </c>
      <c r="E25" s="6" t="s">
        <v>89</v>
      </c>
    </row>
    <row r="26" customFormat="false" ht="15" hidden="false" customHeight="false" outlineLevel="0" collapsed="false">
      <c r="A26" s="5" t="n">
        <v>22</v>
      </c>
      <c r="B26" s="6" t="s">
        <v>124</v>
      </c>
      <c r="C26" s="40" t="n">
        <v>4</v>
      </c>
      <c r="D26" s="6" t="s">
        <v>105</v>
      </c>
      <c r="E26" s="6" t="s">
        <v>125</v>
      </c>
    </row>
    <row r="27" customFormat="false" ht="15" hidden="false" customHeight="false" outlineLevel="0" collapsed="false">
      <c r="A27" s="5" t="n">
        <v>23</v>
      </c>
      <c r="B27" s="6" t="s">
        <v>126</v>
      </c>
      <c r="C27" s="41" t="n">
        <v>1200000</v>
      </c>
      <c r="D27" s="6" t="s">
        <v>116</v>
      </c>
      <c r="E27" s="6" t="s">
        <v>89</v>
      </c>
    </row>
    <row r="28" customFormat="false" ht="15" hidden="false" customHeight="false" outlineLevel="0" collapsed="false">
      <c r="A28" s="5" t="n">
        <v>24</v>
      </c>
      <c r="B28" s="6" t="s">
        <v>127</v>
      </c>
      <c r="C28" s="40" t="n">
        <v>3</v>
      </c>
      <c r="D28" s="6" t="s">
        <v>105</v>
      </c>
      <c r="E28" s="6" t="s">
        <v>128</v>
      </c>
    </row>
    <row r="29" customFormat="false" ht="15" hidden="false" customHeight="false" outlineLevel="0" collapsed="false">
      <c r="A29" s="5" t="n">
        <v>25</v>
      </c>
      <c r="B29" s="6" t="s">
        <v>129</v>
      </c>
      <c r="C29" s="41" t="n">
        <v>650000</v>
      </c>
      <c r="D29" s="6" t="s">
        <v>116</v>
      </c>
      <c r="E29" s="6" t="s">
        <v>89</v>
      </c>
    </row>
    <row r="30" customFormat="false" ht="15" hidden="false" customHeight="false" outlineLevel="0" collapsed="false">
      <c r="A30" s="5" t="n">
        <v>26</v>
      </c>
      <c r="B30" s="6" t="s">
        <v>130</v>
      </c>
      <c r="C30" s="40" t="n">
        <v>4</v>
      </c>
      <c r="D30" s="6" t="s">
        <v>105</v>
      </c>
      <c r="E30" s="6" t="s">
        <v>131</v>
      </c>
    </row>
    <row r="31" customFormat="false" ht="15" hidden="false" customHeight="false" outlineLevel="0" collapsed="false">
      <c r="A31" s="5" t="n">
        <v>27</v>
      </c>
      <c r="B31" s="6" t="s">
        <v>132</v>
      </c>
      <c r="C31" s="41" t="n">
        <v>200000</v>
      </c>
      <c r="D31" s="6" t="s">
        <v>116</v>
      </c>
      <c r="E31" s="6" t="s">
        <v>89</v>
      </c>
    </row>
    <row r="32" customFormat="false" ht="15" hidden="false" customHeight="false" outlineLevel="0" collapsed="false">
      <c r="A32" s="5" t="n">
        <v>28</v>
      </c>
      <c r="B32" s="6" t="s">
        <v>133</v>
      </c>
      <c r="C32" s="40" t="n">
        <v>7</v>
      </c>
      <c r="D32" s="6" t="s">
        <v>105</v>
      </c>
      <c r="E32" s="6" t="s">
        <v>134</v>
      </c>
    </row>
    <row r="33" customFormat="false" ht="15" hidden="false" customHeight="false" outlineLevel="0" collapsed="false">
      <c r="A33" s="5" t="n">
        <v>29</v>
      </c>
      <c r="B33" s="6" t="s">
        <v>135</v>
      </c>
      <c r="C33" s="41" t="n">
        <v>400000</v>
      </c>
      <c r="D33" s="6" t="s">
        <v>116</v>
      </c>
      <c r="E33" s="6" t="s">
        <v>89</v>
      </c>
    </row>
    <row r="34" customFormat="false" ht="15" hidden="false" customHeight="false" outlineLevel="0" collapsed="false">
      <c r="A34" s="5" t="n">
        <v>30</v>
      </c>
      <c r="B34" s="6" t="s">
        <v>136</v>
      </c>
      <c r="C34" s="40" t="n">
        <v>4</v>
      </c>
      <c r="D34" s="6" t="s">
        <v>105</v>
      </c>
      <c r="E34" s="6" t="s">
        <v>137</v>
      </c>
    </row>
    <row r="35" customFormat="false" ht="15" hidden="false" customHeight="false" outlineLevel="0" collapsed="false">
      <c r="A35" s="5" t="n">
        <v>31</v>
      </c>
      <c r="B35" s="6" t="s">
        <v>138</v>
      </c>
      <c r="C35" s="41" t="n">
        <v>400000</v>
      </c>
      <c r="D35" s="6" t="s">
        <v>116</v>
      </c>
      <c r="E35" s="6" t="s">
        <v>89</v>
      </c>
    </row>
    <row r="36" customFormat="false" ht="15" hidden="false" customHeight="false" outlineLevel="0" collapsed="false">
      <c r="A36" s="5" t="n">
        <v>32</v>
      </c>
      <c r="B36" s="6" t="s">
        <v>139</v>
      </c>
      <c r="C36" s="40" t="n">
        <v>4</v>
      </c>
      <c r="D36" s="6" t="s">
        <v>105</v>
      </c>
      <c r="E36" s="6" t="s">
        <v>140</v>
      </c>
    </row>
    <row r="37" customFormat="false" ht="15" hidden="false" customHeight="false" outlineLevel="0" collapsed="false">
      <c r="A37" s="5" t="n">
        <v>33</v>
      </c>
      <c r="B37" s="6" t="s">
        <v>141</v>
      </c>
      <c r="C37" s="41" t="n">
        <v>1000000</v>
      </c>
      <c r="D37" s="6" t="s">
        <v>142</v>
      </c>
      <c r="E37" s="6" t="s">
        <v>89</v>
      </c>
    </row>
    <row r="38" customFormat="false" ht="15" hidden="false" customHeight="false" outlineLevel="0" collapsed="false">
      <c r="A38" s="5" t="n">
        <v>34</v>
      </c>
      <c r="B38" s="6" t="s">
        <v>143</v>
      </c>
      <c r="C38" s="40" t="n">
        <v>16</v>
      </c>
      <c r="D38" s="6" t="s">
        <v>144</v>
      </c>
      <c r="E38" s="6" t="s">
        <v>89</v>
      </c>
    </row>
    <row r="39" customFormat="false" ht="15" hidden="false" customHeight="false" outlineLevel="0" collapsed="false">
      <c r="A39" s="5" t="n">
        <v>35</v>
      </c>
      <c r="B39" s="6" t="s">
        <v>145</v>
      </c>
      <c r="C39" s="41" t="n">
        <v>100000</v>
      </c>
      <c r="D39" s="6" t="s">
        <v>121</v>
      </c>
      <c r="E39" s="6" t="s">
        <v>89</v>
      </c>
    </row>
    <row r="40" customFormat="false" ht="15" hidden="false" customHeight="false" outlineLevel="0" collapsed="false">
      <c r="A40" s="5" t="n">
        <v>36</v>
      </c>
      <c r="B40" s="6" t="s">
        <v>146</v>
      </c>
      <c r="C40" s="41" t="n">
        <v>100000</v>
      </c>
      <c r="D40" s="6" t="s">
        <v>121</v>
      </c>
      <c r="E40" s="6" t="s">
        <v>89</v>
      </c>
    </row>
    <row r="41" customFormat="false" ht="15" hidden="false" customHeight="false" outlineLevel="0" collapsed="false">
      <c r="A41" s="5" t="n">
        <v>37</v>
      </c>
      <c r="B41" s="6" t="s">
        <v>147</v>
      </c>
      <c r="C41" s="39" t="n">
        <v>58</v>
      </c>
      <c r="D41" s="6" t="s">
        <v>148</v>
      </c>
      <c r="E41" s="6" t="s">
        <v>89</v>
      </c>
    </row>
    <row r="42" customFormat="false" ht="15" hidden="false" customHeight="false" outlineLevel="0" collapsed="false">
      <c r="A42" s="5" t="n">
        <v>38</v>
      </c>
      <c r="B42" s="6" t="s">
        <v>149</v>
      </c>
      <c r="C42" s="39" t="n">
        <v>16</v>
      </c>
      <c r="D42" s="6" t="s">
        <v>148</v>
      </c>
      <c r="E42" s="6" t="s">
        <v>89</v>
      </c>
    </row>
    <row r="43" customFormat="false" ht="15" hidden="false" customHeight="false" outlineLevel="0" collapsed="false">
      <c r="A43" s="5" t="n">
        <v>39</v>
      </c>
      <c r="B43" s="6" t="s">
        <v>150</v>
      </c>
      <c r="C43" s="41" t="n">
        <v>1200000</v>
      </c>
      <c r="D43" s="6" t="s">
        <v>116</v>
      </c>
      <c r="E43" s="6" t="s">
        <v>89</v>
      </c>
    </row>
    <row r="44" customFormat="false" ht="15" hidden="false" customHeight="false" outlineLevel="0" collapsed="false">
      <c r="A44" s="5" t="n">
        <v>40</v>
      </c>
      <c r="B44" s="6" t="s">
        <v>151</v>
      </c>
      <c r="C44" s="40" t="n">
        <v>4</v>
      </c>
      <c r="D44" s="6" t="s">
        <v>105</v>
      </c>
      <c r="E44" s="6" t="s">
        <v>152</v>
      </c>
    </row>
    <row r="45" customFormat="false" ht="15" hidden="false" customHeight="false" outlineLevel="0" collapsed="false">
      <c r="A45" s="5" t="n">
        <v>41</v>
      </c>
      <c r="B45" s="6" t="s">
        <v>153</v>
      </c>
      <c r="C45" s="41" t="n">
        <v>25000</v>
      </c>
      <c r="D45" s="6" t="s">
        <v>154</v>
      </c>
      <c r="E45" s="6" t="s">
        <v>89</v>
      </c>
    </row>
    <row r="46" customFormat="false" ht="15" hidden="false" customHeight="false" outlineLevel="0" collapsed="false">
      <c r="A46" s="5" t="n">
        <v>42</v>
      </c>
      <c r="B46" s="6" t="s">
        <v>155</v>
      </c>
      <c r="C46" s="39" t="n">
        <v>40</v>
      </c>
      <c r="D46" s="6" t="s">
        <v>96</v>
      </c>
      <c r="E46" s="6" t="s">
        <v>89</v>
      </c>
    </row>
    <row r="47" customFormat="false" ht="15" hidden="false" customHeight="false" outlineLevel="0" collapsed="false">
      <c r="A47" s="5" t="n">
        <v>43</v>
      </c>
      <c r="B47" s="6" t="s">
        <v>156</v>
      </c>
      <c r="C47" s="41" t="n">
        <v>12000</v>
      </c>
      <c r="D47" s="6" t="s">
        <v>154</v>
      </c>
      <c r="E47" s="6" t="s">
        <v>157</v>
      </c>
    </row>
    <row r="48" customFormat="false" ht="15" hidden="false" customHeight="false" outlineLevel="0" collapsed="false">
      <c r="A48" s="5" t="n">
        <v>44</v>
      </c>
      <c r="B48" s="6" t="s">
        <v>158</v>
      </c>
      <c r="C48" s="39" t="n">
        <v>40</v>
      </c>
      <c r="D48" s="6" t="s">
        <v>96</v>
      </c>
      <c r="E48" s="6" t="s">
        <v>89</v>
      </c>
    </row>
    <row r="49" customFormat="false" ht="15" hidden="false" customHeight="false" outlineLevel="0" collapsed="false">
      <c r="A49" s="5" t="n">
        <v>45</v>
      </c>
      <c r="B49" s="6" t="s">
        <v>159</v>
      </c>
      <c r="C49" s="41" t="n">
        <v>5000</v>
      </c>
      <c r="D49" s="6" t="s">
        <v>116</v>
      </c>
      <c r="E49" s="6" t="s">
        <v>89</v>
      </c>
    </row>
    <row r="50" customFormat="false" ht="15" hidden="false" customHeight="false" outlineLevel="0" collapsed="false">
      <c r="A50" s="5" t="n">
        <v>46</v>
      </c>
      <c r="B50" s="6" t="s">
        <v>160</v>
      </c>
      <c r="C50" s="40" t="n">
        <v>100</v>
      </c>
      <c r="D50" s="6" t="s">
        <v>105</v>
      </c>
      <c r="E50" s="6" t="s">
        <v>161</v>
      </c>
    </row>
    <row r="51" customFormat="false" ht="15" hidden="false" customHeight="false" outlineLevel="0" collapsed="false">
      <c r="A51" s="5" t="n">
        <v>47</v>
      </c>
      <c r="B51" s="6" t="s">
        <v>162</v>
      </c>
      <c r="C51" s="41" t="n">
        <v>4000000</v>
      </c>
      <c r="D51" s="6" t="s">
        <v>119</v>
      </c>
      <c r="E51" s="6" t="s">
        <v>110</v>
      </c>
    </row>
    <row r="52" customFormat="false" ht="15" hidden="false" customHeight="false" outlineLevel="0" collapsed="false">
      <c r="A52" s="5" t="n">
        <v>48</v>
      </c>
      <c r="B52" s="6" t="s">
        <v>163</v>
      </c>
      <c r="C52" s="38" t="n">
        <v>7000</v>
      </c>
      <c r="D52" s="6" t="s">
        <v>109</v>
      </c>
      <c r="E52" s="6" t="s">
        <v>164</v>
      </c>
    </row>
    <row r="53" customFormat="false" ht="15" hidden="false" customHeight="false" outlineLevel="0" collapsed="false">
      <c r="A53" s="5" t="n">
        <v>49</v>
      </c>
      <c r="B53" s="6" t="s">
        <v>165</v>
      </c>
      <c r="C53" s="38" t="n">
        <v>7000</v>
      </c>
      <c r="D53" s="6" t="s">
        <v>109</v>
      </c>
      <c r="E53" s="6" t="s">
        <v>110</v>
      </c>
    </row>
    <row r="54" customFormat="false" ht="15" hidden="false" customHeight="false" outlineLevel="0" collapsed="false">
      <c r="A54" s="5" t="n">
        <v>50</v>
      </c>
      <c r="B54" s="6" t="s">
        <v>166</v>
      </c>
      <c r="C54" s="38" t="n">
        <v>1000</v>
      </c>
      <c r="D54" s="6" t="s">
        <v>92</v>
      </c>
      <c r="E54" s="6" t="s">
        <v>89</v>
      </c>
    </row>
    <row r="55" customFormat="false" ht="15" hidden="false" customHeight="false" outlineLevel="0" collapsed="false">
      <c r="A55" s="5" t="n">
        <v>51</v>
      </c>
      <c r="B55" s="6" t="s">
        <v>167</v>
      </c>
      <c r="C55" s="42" t="n">
        <v>0.1</v>
      </c>
      <c r="D55" s="6" t="s">
        <v>168</v>
      </c>
      <c r="E55" s="6" t="s">
        <v>169</v>
      </c>
    </row>
    <row r="56" customFormat="false" ht="15" hidden="false" customHeight="false" outlineLevel="0" collapsed="false">
      <c r="A56" s="5" t="n">
        <v>52</v>
      </c>
      <c r="B56" s="6" t="s">
        <v>170</v>
      </c>
      <c r="C56" s="39" t="n">
        <v>3.5</v>
      </c>
      <c r="D56" s="6" t="s">
        <v>96</v>
      </c>
      <c r="E56" s="6" t="s">
        <v>171</v>
      </c>
    </row>
    <row r="57" customFormat="false" ht="15" hidden="false" customHeight="false" outlineLevel="0" collapsed="false">
      <c r="A57" s="5" t="n">
        <v>53</v>
      </c>
      <c r="B57" s="6" t="s">
        <v>172</v>
      </c>
      <c r="C57" s="39" t="n">
        <v>2.5</v>
      </c>
      <c r="D57" s="6" t="s">
        <v>96</v>
      </c>
      <c r="E57" s="6" t="s">
        <v>89</v>
      </c>
    </row>
    <row r="58" customFormat="false" ht="15" hidden="false" customHeight="false" outlineLevel="0" collapsed="false">
      <c r="A58" s="5" t="n">
        <v>54</v>
      </c>
      <c r="B58" s="6" t="s">
        <v>173</v>
      </c>
      <c r="C58" s="43" t="n">
        <f aca="false">C56-C57</f>
        <v>1</v>
      </c>
      <c r="D58" s="6" t="s">
        <v>96</v>
      </c>
      <c r="E58" s="6" t="s">
        <v>174</v>
      </c>
    </row>
    <row r="59" customFormat="false" ht="15" hidden="false" customHeight="false" outlineLevel="0" collapsed="false">
      <c r="A59" s="5" t="n">
        <v>55</v>
      </c>
      <c r="B59" s="6" t="s">
        <v>175</v>
      </c>
      <c r="C59" s="39" t="n">
        <v>2.1</v>
      </c>
      <c r="D59" s="6" t="s">
        <v>96</v>
      </c>
      <c r="E59" s="6" t="s">
        <v>176</v>
      </c>
    </row>
    <row r="60" customFormat="false" ht="15" hidden="false" customHeight="false" outlineLevel="0" collapsed="false">
      <c r="A60" s="5" t="n">
        <v>56</v>
      </c>
      <c r="B60" s="6" t="s">
        <v>177</v>
      </c>
      <c r="C60" s="43" t="n">
        <f aca="false">C56-C59</f>
        <v>1.4</v>
      </c>
      <c r="D60" s="6" t="s">
        <v>96</v>
      </c>
      <c r="E60" s="6" t="s">
        <v>178</v>
      </c>
    </row>
    <row r="61" customFormat="false" ht="15" hidden="false" customHeight="false" outlineLevel="0" collapsed="false">
      <c r="A61" s="5" t="n">
        <v>57</v>
      </c>
      <c r="B61" s="6" t="s">
        <v>179</v>
      </c>
      <c r="C61" s="39" t="n">
        <v>0.9</v>
      </c>
      <c r="D61" s="6" t="s">
        <v>96</v>
      </c>
      <c r="E61" s="6" t="s">
        <v>180</v>
      </c>
    </row>
    <row r="62" customFormat="false" ht="15" hidden="false" customHeight="false" outlineLevel="0" collapsed="false">
      <c r="A62" s="5" t="n">
        <v>58</v>
      </c>
      <c r="B62" s="6" t="s">
        <v>181</v>
      </c>
      <c r="C62" s="44" t="n">
        <f aca="false">C56</f>
        <v>3.5</v>
      </c>
      <c r="D62" s="6" t="s">
        <v>96</v>
      </c>
      <c r="E62" s="6" t="s">
        <v>182</v>
      </c>
    </row>
    <row r="63" customFormat="false" ht="15" hidden="false" customHeight="false" outlineLevel="0" collapsed="false">
      <c r="A63" s="5" t="n">
        <v>59</v>
      </c>
      <c r="B63" s="6" t="s">
        <v>183</v>
      </c>
      <c r="C63" s="39" t="n">
        <v>2.5</v>
      </c>
      <c r="D63" s="6" t="s">
        <v>96</v>
      </c>
      <c r="E63" s="6" t="s">
        <v>89</v>
      </c>
    </row>
    <row r="65" customFormat="false" ht="15" hidden="false" customHeight="false" outlineLevel="0" collapsed="false">
      <c r="B65" s="3" t="s">
        <v>184</v>
      </c>
    </row>
    <row r="66" customFormat="false" ht="15" hidden="false" customHeight="false" outlineLevel="0" collapsed="false">
      <c r="B66" s="2" t="s">
        <v>185</v>
      </c>
    </row>
    <row r="67" customFormat="false" ht="15" hidden="false" customHeight="false" outlineLevel="0" collapsed="false">
      <c r="B67" s="2" t="s">
        <v>186</v>
      </c>
    </row>
    <row r="68" customFormat="false" ht="15" hidden="false" customHeight="false" outlineLevel="0" collapsed="false">
      <c r="B68" s="2" t="s">
        <v>187</v>
      </c>
    </row>
    <row r="69" customFormat="false" ht="15" hidden="false" customHeight="false" outlineLevel="0" collapsed="false">
      <c r="B69" s="2" t="s">
        <v>188</v>
      </c>
    </row>
    <row r="70" customFormat="false" ht="15" hidden="false" customHeight="false" outlineLevel="0" collapsed="false">
      <c r="B70" s="2" t="s">
        <v>189</v>
      </c>
    </row>
    <row r="71" customFormat="false" ht="15" hidden="false" customHeight="false" outlineLevel="0" collapsed="false">
      <c r="B71" s="2" t="s">
        <v>190</v>
      </c>
    </row>
    <row r="72" customFormat="false" ht="15" hidden="false" customHeight="false" outlineLevel="0" collapsed="false">
      <c r="B72" s="2" t="s">
        <v>191</v>
      </c>
    </row>
    <row r="73" customFormat="false" ht="15" hidden="false" customHeight="false" outlineLevel="0" collapsed="false">
      <c r="B73" s="2" t="s">
        <v>192</v>
      </c>
    </row>
    <row r="74" customFormat="false" ht="15" hidden="false" customHeight="false" outlineLevel="0" collapsed="false">
      <c r="B74" s="2" t="s">
        <v>193</v>
      </c>
    </row>
    <row r="75" customFormat="false" ht="15" hidden="false" customHeight="false" outlineLevel="0" collapsed="false">
      <c r="B75" s="2" t="s">
        <v>194</v>
      </c>
    </row>
    <row r="76" customFormat="false" ht="15" hidden="false" customHeight="false" outlineLevel="0" collapsed="false">
      <c r="B76" s="2" t="s">
        <v>195</v>
      </c>
    </row>
    <row r="77" customFormat="false" ht="15" hidden="false" customHeight="false" outlineLevel="0" collapsed="false">
      <c r="B77" s="2" t="s">
        <v>196</v>
      </c>
    </row>
    <row r="78" customFormat="false" ht="15" hidden="false" customHeight="false" outlineLevel="0" collapsed="false">
      <c r="B78" s="2" t="s">
        <v>197</v>
      </c>
    </row>
    <row r="79" customFormat="false" ht="15" hidden="false" customHeight="false" outlineLevel="0" collapsed="false">
      <c r="B79" s="2" t="s">
        <v>198</v>
      </c>
    </row>
    <row r="80" customFormat="false" ht="15" hidden="false" customHeight="false" outlineLevel="0" collapsed="false">
      <c r="B80" s="2" t="s">
        <v>199</v>
      </c>
    </row>
    <row r="81" customFormat="false" ht="15" hidden="false" customHeight="false" outlineLevel="0" collapsed="false">
      <c r="B81" s="2" t="s">
        <v>200</v>
      </c>
    </row>
    <row r="82" customFormat="false" ht="15" hidden="false" customHeight="false" outlineLevel="0" collapsed="false">
      <c r="B82" s="2" t="s">
        <v>201</v>
      </c>
    </row>
    <row r="83" customFormat="false" ht="15" hidden="false" customHeight="false" outlineLevel="0" collapsed="false">
      <c r="B83" s="2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203</v>
      </c>
    </row>
    <row r="2" customFormat="false" ht="15" hidden="false" customHeight="false" outlineLevel="0" collapsed="false">
      <c r="A2" s="2" t="s">
        <v>204</v>
      </c>
    </row>
    <row r="4" customFormat="false" ht="15" hidden="false" customHeight="false" outlineLevel="0" collapsed="false">
      <c r="A4" s="4" t="s">
        <v>3</v>
      </c>
      <c r="B4" s="4" t="s">
        <v>34</v>
      </c>
      <c r="C4" s="4" t="s">
        <v>205</v>
      </c>
      <c r="D4" s="4" t="s">
        <v>206</v>
      </c>
      <c r="E4" s="4" t="s">
        <v>207</v>
      </c>
      <c r="F4" s="4" t="s">
        <v>208</v>
      </c>
      <c r="G4" s="4" t="s">
        <v>209</v>
      </c>
      <c r="H4" s="4" t="s">
        <v>86</v>
      </c>
      <c r="I4" s="4" t="s">
        <v>210</v>
      </c>
      <c r="J4" s="4" t="s">
        <v>5</v>
      </c>
    </row>
    <row r="5" customFormat="false" ht="15" hidden="false" customHeight="false" outlineLevel="0" collapsed="false">
      <c r="A5" s="25" t="s">
        <v>55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n">
        <v>1</v>
      </c>
      <c r="B6" s="6" t="s">
        <v>55</v>
      </c>
      <c r="C6" s="6" t="s">
        <v>8</v>
      </c>
      <c r="D6" s="6" t="s">
        <v>211</v>
      </c>
      <c r="E6" s="45" t="n">
        <v>4.6</v>
      </c>
      <c r="F6" s="27" t="n">
        <f aca="false">Narxlar!$C$57</f>
        <v>2.5</v>
      </c>
      <c r="G6" s="46" t="n">
        <f aca="false">E6*F6</f>
        <v>11.5</v>
      </c>
      <c r="H6" s="5" t="s">
        <v>148</v>
      </c>
      <c r="I6" s="7" t="n">
        <f aca="false">Narxlar!$C$5</f>
        <v>55</v>
      </c>
      <c r="J6" s="47" t="n">
        <f aca="false">G6*I6</f>
        <v>632.5</v>
      </c>
    </row>
    <row r="7" customFormat="false" ht="15" hidden="false" customHeight="false" outlineLevel="0" collapsed="false">
      <c r="A7" s="5" t="n">
        <v>2</v>
      </c>
      <c r="B7" s="6" t="s">
        <v>55</v>
      </c>
      <c r="C7" s="6" t="s">
        <v>8</v>
      </c>
      <c r="D7" s="6" t="s">
        <v>212</v>
      </c>
      <c r="E7" s="27" t="n">
        <f aca="false">Narxlar!$C$61</f>
        <v>0.9</v>
      </c>
      <c r="F7" s="27" t="n">
        <f aca="false">Narxlar!$C$57</f>
        <v>2.5</v>
      </c>
      <c r="G7" s="46" t="n">
        <f aca="false">E7*F7</f>
        <v>2.25</v>
      </c>
      <c r="H7" s="5" t="s">
        <v>148</v>
      </c>
      <c r="I7" s="7" t="n">
        <f aca="false">Narxlar!$C$5</f>
        <v>55</v>
      </c>
      <c r="J7" s="47" t="n">
        <f aca="false">G7*I7</f>
        <v>123.75</v>
      </c>
    </row>
    <row r="8" customFormat="false" ht="15" hidden="false" customHeight="false" outlineLevel="0" collapsed="false">
      <c r="A8" s="5" t="n">
        <v>3</v>
      </c>
      <c r="B8" s="6" t="s">
        <v>55</v>
      </c>
      <c r="C8" s="6" t="s">
        <v>9</v>
      </c>
      <c r="D8" s="6" t="s">
        <v>213</v>
      </c>
      <c r="E8" s="45" t="n">
        <v>0.3</v>
      </c>
      <c r="F8" s="27" t="n">
        <f aca="false">Narxlar!$C$56</f>
        <v>3.5</v>
      </c>
      <c r="G8" s="46" t="n">
        <f aca="false">E8*F8</f>
        <v>1.05</v>
      </c>
      <c r="H8" s="5" t="s">
        <v>148</v>
      </c>
      <c r="I8" s="7" t="n">
        <f aca="false">Narxlar!$C$6</f>
        <v>12</v>
      </c>
      <c r="J8" s="47" t="n">
        <f aca="false">G8*I8</f>
        <v>12.6</v>
      </c>
    </row>
    <row r="9" customFormat="false" ht="15" hidden="false" customHeight="false" outlineLevel="0" collapsed="false">
      <c r="A9" s="5" t="n">
        <v>4</v>
      </c>
      <c r="B9" s="6" t="s">
        <v>55</v>
      </c>
      <c r="C9" s="6" t="s">
        <v>9</v>
      </c>
      <c r="D9" s="6" t="s">
        <v>214</v>
      </c>
      <c r="E9" s="45" t="n">
        <v>4.6</v>
      </c>
      <c r="F9" s="27" t="n">
        <f aca="false">Narxlar!$C$58</f>
        <v>1</v>
      </c>
      <c r="G9" s="46" t="n">
        <f aca="false">E9*F9</f>
        <v>4.6</v>
      </c>
      <c r="H9" s="5" t="s">
        <v>148</v>
      </c>
      <c r="I9" s="7" t="n">
        <f aca="false">Narxlar!$C$6</f>
        <v>12</v>
      </c>
      <c r="J9" s="47" t="n">
        <f aca="false">G9*I9</f>
        <v>55.2</v>
      </c>
    </row>
    <row r="10" customFormat="false" ht="15" hidden="false" customHeight="false" outlineLevel="0" collapsed="false">
      <c r="A10" s="5" t="n">
        <v>5</v>
      </c>
      <c r="B10" s="6" t="s">
        <v>55</v>
      </c>
      <c r="C10" s="6" t="s">
        <v>9</v>
      </c>
      <c r="D10" s="6" t="s">
        <v>215</v>
      </c>
      <c r="E10" s="45" t="n">
        <v>0.2</v>
      </c>
      <c r="F10" s="27" t="n">
        <f aca="false">Narxlar!$C$56</f>
        <v>3.5</v>
      </c>
      <c r="G10" s="46" t="n">
        <f aca="false">E10*F10</f>
        <v>0.7</v>
      </c>
      <c r="H10" s="5" t="s">
        <v>148</v>
      </c>
      <c r="I10" s="7" t="n">
        <f aca="false">Narxlar!$C$6</f>
        <v>12</v>
      </c>
      <c r="J10" s="47" t="n">
        <f aca="false">G10*I10</f>
        <v>8.4</v>
      </c>
    </row>
    <row r="11" customFormat="false" ht="15" hidden="false" customHeight="false" outlineLevel="0" collapsed="false">
      <c r="A11" s="5" t="n">
        <v>6</v>
      </c>
      <c r="B11" s="6" t="s">
        <v>55</v>
      </c>
      <c r="C11" s="6" t="s">
        <v>9</v>
      </c>
      <c r="D11" s="6" t="s">
        <v>216</v>
      </c>
      <c r="E11" s="27" t="n">
        <f aca="false">Narxlar!$C$61</f>
        <v>0.9</v>
      </c>
      <c r="F11" s="27" t="n">
        <f aca="false">Narxlar!$C$58</f>
        <v>1</v>
      </c>
      <c r="G11" s="46" t="n">
        <f aca="false">E11*F11</f>
        <v>0.9</v>
      </c>
      <c r="H11" s="5" t="s">
        <v>148</v>
      </c>
      <c r="I11" s="7" t="n">
        <f aca="false">Narxlar!$C$6</f>
        <v>12</v>
      </c>
      <c r="J11" s="47" t="n">
        <f aca="false">G11*I11</f>
        <v>10.8</v>
      </c>
    </row>
    <row r="12" customFormat="false" ht="15" hidden="false" customHeight="false" outlineLevel="0" collapsed="false">
      <c r="A12" s="5" t="n">
        <v>7</v>
      </c>
      <c r="B12" s="6" t="s">
        <v>55</v>
      </c>
      <c r="C12" s="6" t="s">
        <v>10</v>
      </c>
      <c r="D12" s="6" t="s">
        <v>217</v>
      </c>
      <c r="E12" s="45" t="n">
        <v>7.7</v>
      </c>
      <c r="F12" s="27" t="n">
        <f aca="false">Narxlar!$C$62</f>
        <v>3.5</v>
      </c>
      <c r="G12" s="46" t="n">
        <f aca="false">E12*F12</f>
        <v>26.95</v>
      </c>
      <c r="H12" s="5" t="s">
        <v>148</v>
      </c>
      <c r="I12" s="7" t="n">
        <f aca="false">Narxlar!$C$7</f>
        <v>15.5</v>
      </c>
      <c r="J12" s="47" t="n">
        <f aca="false">G12*I12</f>
        <v>417.725</v>
      </c>
    </row>
    <row r="13" customFormat="false" ht="15" hidden="false" customHeight="false" outlineLevel="0" collapsed="false">
      <c r="A13" s="5" t="n">
        <v>8</v>
      </c>
      <c r="B13" s="6" t="s">
        <v>55</v>
      </c>
      <c r="C13" s="6" t="s">
        <v>10</v>
      </c>
      <c r="D13" s="6" t="s">
        <v>218</v>
      </c>
      <c r="E13" s="45" t="n">
        <v>7.7</v>
      </c>
      <c r="F13" s="27" t="n">
        <f aca="false">Narxlar!$C$62</f>
        <v>3.5</v>
      </c>
      <c r="G13" s="46" t="n">
        <f aca="false">E13*F13</f>
        <v>26.95</v>
      </c>
      <c r="H13" s="5" t="s">
        <v>148</v>
      </c>
      <c r="I13" s="7" t="n">
        <f aca="false">Narxlar!$C$7</f>
        <v>15.5</v>
      </c>
      <c r="J13" s="47" t="n">
        <f aca="false">G13*I13</f>
        <v>417.725</v>
      </c>
    </row>
    <row r="14" customFormat="false" ht="15" hidden="false" customHeight="false" outlineLevel="0" collapsed="false">
      <c r="A14" s="5" t="n">
        <v>9</v>
      </c>
      <c r="B14" s="6" t="s">
        <v>55</v>
      </c>
      <c r="C14" s="6" t="s">
        <v>11</v>
      </c>
      <c r="D14" s="6" t="s">
        <v>219</v>
      </c>
      <c r="E14" s="45"/>
      <c r="F14" s="46"/>
      <c r="G14" s="48" t="n">
        <v>1</v>
      </c>
      <c r="H14" s="5" t="s">
        <v>105</v>
      </c>
      <c r="I14" s="7" t="n">
        <f aca="false">Narxlar!$C$8</f>
        <v>1032</v>
      </c>
      <c r="J14" s="47" t="n">
        <f aca="false">G14*I14</f>
        <v>1032</v>
      </c>
    </row>
    <row r="15" customFormat="false" ht="15" hidden="false" customHeight="false" outlineLevel="0" collapsed="false">
      <c r="A15" s="5" t="n">
        <v>10</v>
      </c>
      <c r="B15" s="6" t="s">
        <v>55</v>
      </c>
      <c r="C15" s="6" t="s">
        <v>13</v>
      </c>
      <c r="D15" s="6" t="s">
        <v>220</v>
      </c>
      <c r="E15" s="45"/>
      <c r="F15" s="46"/>
      <c r="G15" s="48" t="n">
        <v>1</v>
      </c>
      <c r="H15" s="5" t="s">
        <v>221</v>
      </c>
      <c r="I15" s="7" t="n">
        <f aca="false">Narxlar!$C$12</f>
        <v>168</v>
      </c>
      <c r="J15" s="47" t="n">
        <f aca="false">G15*I15</f>
        <v>168</v>
      </c>
    </row>
    <row r="16" customFormat="false" ht="15" hidden="false" customHeight="false" outlineLevel="0" collapsed="false">
      <c r="A16" s="49"/>
      <c r="B16" s="49"/>
      <c r="C16" s="49"/>
      <c r="D16" s="11" t="s">
        <v>222</v>
      </c>
      <c r="E16" s="49"/>
      <c r="F16" s="49"/>
      <c r="G16" s="49"/>
      <c r="H16" s="49"/>
      <c r="I16" s="49"/>
      <c r="J16" s="12" t="n">
        <f aca="false">SUM(J6:J15)</f>
        <v>2878.7</v>
      </c>
    </row>
    <row r="18" customFormat="false" ht="15" hidden="false" customHeight="false" outlineLevel="0" collapsed="false">
      <c r="A18" s="25" t="s">
        <v>56</v>
      </c>
      <c r="B18" s="26"/>
      <c r="C18" s="26"/>
      <c r="D18" s="26"/>
      <c r="E18" s="26"/>
      <c r="F18" s="26"/>
      <c r="G18" s="26"/>
      <c r="H18" s="26"/>
      <c r="I18" s="26"/>
      <c r="J18" s="26"/>
    </row>
    <row r="19" customFormat="false" ht="15" hidden="false" customHeight="false" outlineLevel="0" collapsed="false">
      <c r="A19" s="5" t="n">
        <v>11</v>
      </c>
      <c r="B19" s="6" t="s">
        <v>56</v>
      </c>
      <c r="C19" s="6" t="s">
        <v>8</v>
      </c>
      <c r="D19" s="6" t="s">
        <v>211</v>
      </c>
      <c r="E19" s="45" t="n">
        <v>4.7</v>
      </c>
      <c r="F19" s="27" t="n">
        <f aca="false">Narxlar!$C$57</f>
        <v>2.5</v>
      </c>
      <c r="G19" s="46" t="n">
        <f aca="false">E19*F19</f>
        <v>11.75</v>
      </c>
      <c r="H19" s="5" t="s">
        <v>148</v>
      </c>
      <c r="I19" s="7" t="n">
        <f aca="false">Narxlar!$C$5</f>
        <v>55</v>
      </c>
      <c r="J19" s="47" t="n">
        <f aca="false">G19*I19</f>
        <v>646.25</v>
      </c>
    </row>
    <row r="20" customFormat="false" ht="15" hidden="false" customHeight="false" outlineLevel="0" collapsed="false">
      <c r="A20" s="5" t="n">
        <v>12</v>
      </c>
      <c r="B20" s="6" t="s">
        <v>56</v>
      </c>
      <c r="C20" s="6" t="s">
        <v>8</v>
      </c>
      <c r="D20" s="6" t="s">
        <v>212</v>
      </c>
      <c r="E20" s="27" t="n">
        <f aca="false">Narxlar!$C$61</f>
        <v>0.9</v>
      </c>
      <c r="F20" s="27" t="n">
        <f aca="false">Narxlar!$C$57</f>
        <v>2.5</v>
      </c>
      <c r="G20" s="46" t="n">
        <f aca="false">E20*F20</f>
        <v>2.25</v>
      </c>
      <c r="H20" s="5" t="s">
        <v>148</v>
      </c>
      <c r="I20" s="7" t="n">
        <f aca="false">Narxlar!$C$5</f>
        <v>55</v>
      </c>
      <c r="J20" s="47" t="n">
        <f aca="false">G20*I20</f>
        <v>123.75</v>
      </c>
    </row>
    <row r="21" customFormat="false" ht="15" hidden="false" customHeight="false" outlineLevel="0" collapsed="false">
      <c r="A21" s="5" t="n">
        <v>13</v>
      </c>
      <c r="B21" s="6" t="s">
        <v>56</v>
      </c>
      <c r="C21" s="6" t="s">
        <v>9</v>
      </c>
      <c r="D21" s="6" t="s">
        <v>214</v>
      </c>
      <c r="E21" s="45" t="n">
        <v>4.7</v>
      </c>
      <c r="F21" s="27" t="n">
        <f aca="false">Narxlar!$C$58</f>
        <v>1</v>
      </c>
      <c r="G21" s="46" t="n">
        <f aca="false">E21*F21</f>
        <v>4.7</v>
      </c>
      <c r="H21" s="5" t="s">
        <v>148</v>
      </c>
      <c r="I21" s="7" t="n">
        <f aca="false">Narxlar!$C$6</f>
        <v>12</v>
      </c>
      <c r="J21" s="47" t="n">
        <f aca="false">G21*I21</f>
        <v>56.4</v>
      </c>
    </row>
    <row r="22" customFormat="false" ht="15" hidden="false" customHeight="false" outlineLevel="0" collapsed="false">
      <c r="A22" s="5" t="n">
        <v>14</v>
      </c>
      <c r="B22" s="6" t="s">
        <v>56</v>
      </c>
      <c r="C22" s="6" t="s">
        <v>9</v>
      </c>
      <c r="D22" s="6" t="s">
        <v>215</v>
      </c>
      <c r="E22" s="45" t="n">
        <v>0.2</v>
      </c>
      <c r="F22" s="27" t="n">
        <f aca="false">Narxlar!$C$56</f>
        <v>3.5</v>
      </c>
      <c r="G22" s="46" t="n">
        <f aca="false">E22*F22</f>
        <v>0.7</v>
      </c>
      <c r="H22" s="5" t="s">
        <v>148</v>
      </c>
      <c r="I22" s="7" t="n">
        <f aca="false">Narxlar!$C$6</f>
        <v>12</v>
      </c>
      <c r="J22" s="47" t="n">
        <f aca="false">G22*I22</f>
        <v>8.4</v>
      </c>
    </row>
    <row r="23" customFormat="false" ht="15" hidden="false" customHeight="false" outlineLevel="0" collapsed="false">
      <c r="A23" s="5" t="n">
        <v>15</v>
      </c>
      <c r="B23" s="6" t="s">
        <v>56</v>
      </c>
      <c r="C23" s="6" t="s">
        <v>9</v>
      </c>
      <c r="D23" s="6" t="s">
        <v>216</v>
      </c>
      <c r="E23" s="27" t="n">
        <f aca="false">Narxlar!$C$61</f>
        <v>0.9</v>
      </c>
      <c r="F23" s="27" t="n">
        <f aca="false">Narxlar!$C$58</f>
        <v>1</v>
      </c>
      <c r="G23" s="46" t="n">
        <f aca="false">E23*F23</f>
        <v>0.9</v>
      </c>
      <c r="H23" s="5" t="s">
        <v>148</v>
      </c>
      <c r="I23" s="7" t="n">
        <f aca="false">Narxlar!$C$6</f>
        <v>12</v>
      </c>
      <c r="J23" s="47" t="n">
        <f aca="false">G23*I23</f>
        <v>10.8</v>
      </c>
    </row>
    <row r="24" customFormat="false" ht="15" hidden="false" customHeight="false" outlineLevel="0" collapsed="false">
      <c r="A24" s="5" t="n">
        <v>16</v>
      </c>
      <c r="B24" s="6" t="s">
        <v>56</v>
      </c>
      <c r="C24" s="6" t="s">
        <v>10</v>
      </c>
      <c r="D24" s="6" t="s">
        <v>217</v>
      </c>
      <c r="E24" s="45" t="n">
        <v>7.7</v>
      </c>
      <c r="F24" s="27" t="n">
        <f aca="false">Narxlar!$C$62</f>
        <v>3.5</v>
      </c>
      <c r="G24" s="46" t="n">
        <f aca="false">E24*F24</f>
        <v>26.95</v>
      </c>
      <c r="H24" s="5" t="s">
        <v>148</v>
      </c>
      <c r="I24" s="7" t="n">
        <f aca="false">Narxlar!$C$7</f>
        <v>15.5</v>
      </c>
      <c r="J24" s="47" t="n">
        <f aca="false">G24*I24</f>
        <v>417.725</v>
      </c>
    </row>
    <row r="25" customFormat="false" ht="15" hidden="false" customHeight="false" outlineLevel="0" collapsed="false">
      <c r="A25" s="5" t="n">
        <v>17</v>
      </c>
      <c r="B25" s="6" t="s">
        <v>56</v>
      </c>
      <c r="C25" s="6" t="s">
        <v>10</v>
      </c>
      <c r="D25" s="6" t="s">
        <v>218</v>
      </c>
      <c r="E25" s="45" t="n">
        <v>7.7</v>
      </c>
      <c r="F25" s="27" t="n">
        <f aca="false">Narxlar!$C$62</f>
        <v>3.5</v>
      </c>
      <c r="G25" s="46" t="n">
        <f aca="false">E25*F25</f>
        <v>26.95</v>
      </c>
      <c r="H25" s="5" t="s">
        <v>148</v>
      </c>
      <c r="I25" s="7" t="n">
        <f aca="false">Narxlar!$C$7</f>
        <v>15.5</v>
      </c>
      <c r="J25" s="47" t="n">
        <f aca="false">G25*I25</f>
        <v>417.725</v>
      </c>
    </row>
    <row r="26" customFormat="false" ht="15" hidden="false" customHeight="false" outlineLevel="0" collapsed="false">
      <c r="A26" s="5" t="n">
        <v>18</v>
      </c>
      <c r="B26" s="6" t="s">
        <v>56</v>
      </c>
      <c r="C26" s="6" t="s">
        <v>11</v>
      </c>
      <c r="D26" s="6" t="s">
        <v>219</v>
      </c>
      <c r="E26" s="45"/>
      <c r="F26" s="46"/>
      <c r="G26" s="48" t="n">
        <v>1</v>
      </c>
      <c r="H26" s="5" t="s">
        <v>105</v>
      </c>
      <c r="I26" s="7" t="n">
        <f aca="false">Narxlar!$C$8</f>
        <v>1032</v>
      </c>
      <c r="J26" s="47" t="n">
        <f aca="false">G26*I26</f>
        <v>1032</v>
      </c>
    </row>
    <row r="27" customFormat="false" ht="15" hidden="false" customHeight="false" outlineLevel="0" collapsed="false">
      <c r="A27" s="5" t="n">
        <v>19</v>
      </c>
      <c r="B27" s="6" t="s">
        <v>56</v>
      </c>
      <c r="C27" s="6" t="s">
        <v>13</v>
      </c>
      <c r="D27" s="6" t="s">
        <v>220</v>
      </c>
      <c r="E27" s="45"/>
      <c r="F27" s="46"/>
      <c r="G27" s="48" t="n">
        <v>1</v>
      </c>
      <c r="H27" s="5" t="s">
        <v>221</v>
      </c>
      <c r="I27" s="7" t="n">
        <f aca="false">Narxlar!$C$12</f>
        <v>168</v>
      </c>
      <c r="J27" s="47" t="n">
        <f aca="false">G27*I27</f>
        <v>168</v>
      </c>
    </row>
    <row r="28" customFormat="false" ht="15" hidden="false" customHeight="false" outlineLevel="0" collapsed="false">
      <c r="A28" s="49"/>
      <c r="B28" s="49"/>
      <c r="C28" s="49"/>
      <c r="D28" s="11" t="s">
        <v>223</v>
      </c>
      <c r="E28" s="49"/>
      <c r="F28" s="49"/>
      <c r="G28" s="49"/>
      <c r="H28" s="49"/>
      <c r="I28" s="49"/>
      <c r="J28" s="12" t="n">
        <f aca="false">SUM(J19:J27)</f>
        <v>2881.05</v>
      </c>
    </row>
    <row r="30" customFormat="false" ht="15" hidden="false" customHeight="false" outlineLevel="0" collapsed="false">
      <c r="A30" s="25" t="s">
        <v>57</v>
      </c>
      <c r="B30" s="26"/>
      <c r="C30" s="26"/>
      <c r="D30" s="26"/>
      <c r="E30" s="26"/>
      <c r="F30" s="26"/>
      <c r="G30" s="26"/>
      <c r="H30" s="26"/>
      <c r="I30" s="26"/>
      <c r="J30" s="26"/>
    </row>
    <row r="31" customFormat="false" ht="15" hidden="false" customHeight="false" outlineLevel="0" collapsed="false">
      <c r="A31" s="5" t="n">
        <v>20</v>
      </c>
      <c r="B31" s="6" t="s">
        <v>57</v>
      </c>
      <c r="C31" s="6" t="s">
        <v>8</v>
      </c>
      <c r="D31" s="6" t="s">
        <v>212</v>
      </c>
      <c r="E31" s="27" t="n">
        <f aca="false">Narxlar!$C$61</f>
        <v>0.9</v>
      </c>
      <c r="F31" s="27" t="n">
        <f aca="false">Narxlar!$C$57</f>
        <v>2.5</v>
      </c>
      <c r="G31" s="46" t="n">
        <f aca="false">E31*F31</f>
        <v>2.25</v>
      </c>
      <c r="H31" s="5" t="s">
        <v>148</v>
      </c>
      <c r="I31" s="7" t="n">
        <f aca="false">Narxlar!$C$5</f>
        <v>55</v>
      </c>
      <c r="J31" s="47" t="n">
        <f aca="false">G31*I31</f>
        <v>123.75</v>
      </c>
    </row>
    <row r="32" customFormat="false" ht="15" hidden="false" customHeight="false" outlineLevel="0" collapsed="false">
      <c r="A32" s="5" t="n">
        <v>21</v>
      </c>
      <c r="B32" s="6" t="s">
        <v>57</v>
      </c>
      <c r="C32" s="6" t="s">
        <v>9</v>
      </c>
      <c r="D32" s="6" t="s">
        <v>215</v>
      </c>
      <c r="E32" s="45" t="n">
        <v>0.15</v>
      </c>
      <c r="F32" s="27" t="n">
        <f aca="false">Narxlar!$C$56</f>
        <v>3.5</v>
      </c>
      <c r="G32" s="46" t="n">
        <f aca="false">E32*F32</f>
        <v>0.525</v>
      </c>
      <c r="H32" s="5" t="s">
        <v>148</v>
      </c>
      <c r="I32" s="7" t="n">
        <f aca="false">Narxlar!$C$6</f>
        <v>12</v>
      </c>
      <c r="J32" s="47" t="n">
        <f aca="false">G32*I32</f>
        <v>6.3</v>
      </c>
    </row>
    <row r="33" customFormat="false" ht="15" hidden="false" customHeight="false" outlineLevel="0" collapsed="false">
      <c r="A33" s="5" t="n">
        <v>22</v>
      </c>
      <c r="B33" s="6" t="s">
        <v>57</v>
      </c>
      <c r="C33" s="6" t="s">
        <v>9</v>
      </c>
      <c r="D33" s="6" t="s">
        <v>224</v>
      </c>
      <c r="E33" s="45" t="n">
        <v>4.7</v>
      </c>
      <c r="F33" s="27" t="n">
        <f aca="false">Narxlar!$C$56</f>
        <v>3.5</v>
      </c>
      <c r="G33" s="46" t="n">
        <f aca="false">E33*F33</f>
        <v>16.45</v>
      </c>
      <c r="H33" s="5" t="s">
        <v>148</v>
      </c>
      <c r="I33" s="7" t="n">
        <f aca="false">Narxlar!$C$6</f>
        <v>12</v>
      </c>
      <c r="J33" s="47" t="n">
        <f aca="false">G33*I33</f>
        <v>197.4</v>
      </c>
    </row>
    <row r="34" customFormat="false" ht="15" hidden="false" customHeight="false" outlineLevel="0" collapsed="false">
      <c r="A34" s="5" t="n">
        <v>23</v>
      </c>
      <c r="B34" s="6" t="s">
        <v>57</v>
      </c>
      <c r="C34" s="6" t="s">
        <v>9</v>
      </c>
      <c r="D34" s="6" t="s">
        <v>216</v>
      </c>
      <c r="E34" s="27" t="n">
        <f aca="false">Narxlar!$C$61</f>
        <v>0.9</v>
      </c>
      <c r="F34" s="27" t="n">
        <f aca="false">Narxlar!$C$58</f>
        <v>1</v>
      </c>
      <c r="G34" s="46" t="n">
        <f aca="false">E34*F34</f>
        <v>0.9</v>
      </c>
      <c r="H34" s="5" t="s">
        <v>148</v>
      </c>
      <c r="I34" s="7" t="n">
        <f aca="false">Narxlar!$C$6</f>
        <v>12</v>
      </c>
      <c r="J34" s="47" t="n">
        <f aca="false">G34*I34</f>
        <v>10.8</v>
      </c>
    </row>
    <row r="35" customFormat="false" ht="15" hidden="false" customHeight="false" outlineLevel="0" collapsed="false">
      <c r="A35" s="5" t="n">
        <v>24</v>
      </c>
      <c r="B35" s="6" t="s">
        <v>57</v>
      </c>
      <c r="C35" s="6" t="s">
        <v>10</v>
      </c>
      <c r="D35" s="6" t="s">
        <v>217</v>
      </c>
      <c r="E35" s="45" t="n">
        <v>7.7</v>
      </c>
      <c r="F35" s="27" t="n">
        <f aca="false">Narxlar!$C$62</f>
        <v>3.5</v>
      </c>
      <c r="G35" s="46" t="n">
        <f aca="false">E35*F35</f>
        <v>26.95</v>
      </c>
      <c r="H35" s="5" t="s">
        <v>148</v>
      </c>
      <c r="I35" s="7" t="n">
        <f aca="false">Narxlar!$C$7</f>
        <v>15.5</v>
      </c>
      <c r="J35" s="47" t="n">
        <f aca="false">G35*I35</f>
        <v>417.725</v>
      </c>
    </row>
    <row r="36" customFormat="false" ht="15" hidden="false" customHeight="false" outlineLevel="0" collapsed="false">
      <c r="A36" s="5" t="n">
        <v>25</v>
      </c>
      <c r="B36" s="6" t="s">
        <v>57</v>
      </c>
      <c r="C36" s="6" t="s">
        <v>10</v>
      </c>
      <c r="D36" s="6" t="s">
        <v>218</v>
      </c>
      <c r="E36" s="45" t="n">
        <v>7.7</v>
      </c>
      <c r="F36" s="27" t="n">
        <f aca="false">Narxlar!$C$62</f>
        <v>3.5</v>
      </c>
      <c r="G36" s="46" t="n">
        <f aca="false">E36*F36</f>
        <v>26.95</v>
      </c>
      <c r="H36" s="5" t="s">
        <v>148</v>
      </c>
      <c r="I36" s="7" t="n">
        <f aca="false">Narxlar!$C$7</f>
        <v>15.5</v>
      </c>
      <c r="J36" s="47" t="n">
        <f aca="false">G36*I36</f>
        <v>417.725</v>
      </c>
    </row>
    <row r="37" customFormat="false" ht="15" hidden="false" customHeight="false" outlineLevel="0" collapsed="false">
      <c r="A37" s="5" t="n">
        <v>26</v>
      </c>
      <c r="B37" s="6" t="s">
        <v>57</v>
      </c>
      <c r="C37" s="6" t="s">
        <v>11</v>
      </c>
      <c r="D37" s="6" t="s">
        <v>219</v>
      </c>
      <c r="E37" s="45"/>
      <c r="F37" s="46"/>
      <c r="G37" s="48" t="n">
        <v>1</v>
      </c>
      <c r="H37" s="5" t="s">
        <v>105</v>
      </c>
      <c r="I37" s="7" t="n">
        <f aca="false">Narxlar!$C$8</f>
        <v>1032</v>
      </c>
      <c r="J37" s="47" t="n">
        <f aca="false">G37*I37</f>
        <v>1032</v>
      </c>
    </row>
    <row r="38" customFormat="false" ht="15" hidden="false" customHeight="false" outlineLevel="0" collapsed="false">
      <c r="A38" s="5" t="n">
        <v>27</v>
      </c>
      <c r="B38" s="6" t="s">
        <v>57</v>
      </c>
      <c r="C38" s="6" t="s">
        <v>13</v>
      </c>
      <c r="D38" s="6" t="s">
        <v>220</v>
      </c>
      <c r="E38" s="45"/>
      <c r="F38" s="46"/>
      <c r="G38" s="48" t="n">
        <v>1</v>
      </c>
      <c r="H38" s="5" t="s">
        <v>221</v>
      </c>
      <c r="I38" s="7" t="n">
        <f aca="false">Narxlar!$C$12</f>
        <v>168</v>
      </c>
      <c r="J38" s="47" t="n">
        <f aca="false">G38*I38</f>
        <v>168</v>
      </c>
    </row>
    <row r="39" customFormat="false" ht="15" hidden="false" customHeight="false" outlineLevel="0" collapsed="false">
      <c r="A39" s="49"/>
      <c r="B39" s="49"/>
      <c r="C39" s="49"/>
      <c r="D39" s="11" t="s">
        <v>225</v>
      </c>
      <c r="E39" s="49"/>
      <c r="F39" s="49"/>
      <c r="G39" s="49"/>
      <c r="H39" s="49"/>
      <c r="I39" s="49"/>
      <c r="J39" s="12" t="n">
        <f aca="false">SUM(J31:J38)</f>
        <v>2373.7</v>
      </c>
    </row>
    <row r="41" customFormat="false" ht="15" hidden="false" customHeight="false" outlineLevel="0" collapsed="false">
      <c r="A41" s="25" t="s">
        <v>58</v>
      </c>
      <c r="B41" s="26"/>
      <c r="C41" s="26"/>
      <c r="D41" s="26"/>
      <c r="E41" s="26"/>
      <c r="F41" s="26"/>
      <c r="G41" s="26"/>
      <c r="H41" s="26"/>
      <c r="I41" s="26"/>
      <c r="J41" s="26"/>
    </row>
    <row r="42" customFormat="false" ht="15" hidden="false" customHeight="false" outlineLevel="0" collapsed="false">
      <c r="A42" s="5" t="n">
        <v>28</v>
      </c>
      <c r="B42" s="6" t="s">
        <v>58</v>
      </c>
      <c r="C42" s="6" t="s">
        <v>8</v>
      </c>
      <c r="D42" s="6" t="s">
        <v>211</v>
      </c>
      <c r="E42" s="45" t="n">
        <v>1.5</v>
      </c>
      <c r="F42" s="27" t="n">
        <f aca="false">Narxlar!$C$57</f>
        <v>2.5</v>
      </c>
      <c r="G42" s="46" t="n">
        <f aca="false">E42*F42</f>
        <v>3.75</v>
      </c>
      <c r="H42" s="5" t="s">
        <v>148</v>
      </c>
      <c r="I42" s="7" t="n">
        <f aca="false">Narxlar!$C$5</f>
        <v>55</v>
      </c>
      <c r="J42" s="47" t="n">
        <f aca="false">G42*I42</f>
        <v>206.25</v>
      </c>
    </row>
    <row r="43" customFormat="false" ht="15" hidden="false" customHeight="false" outlineLevel="0" collapsed="false">
      <c r="A43" s="5" t="n">
        <v>29</v>
      </c>
      <c r="B43" s="6" t="s">
        <v>58</v>
      </c>
      <c r="C43" s="6" t="s">
        <v>8</v>
      </c>
      <c r="D43" s="6" t="s">
        <v>211</v>
      </c>
      <c r="E43" s="45" t="n">
        <v>1.15</v>
      </c>
      <c r="F43" s="27" t="n">
        <f aca="false">Narxlar!$C$57</f>
        <v>2.5</v>
      </c>
      <c r="G43" s="46" t="n">
        <f aca="false">E43*F43</f>
        <v>2.875</v>
      </c>
      <c r="H43" s="5" t="s">
        <v>148</v>
      </c>
      <c r="I43" s="7" t="n">
        <f aca="false">Narxlar!$C$5</f>
        <v>55</v>
      </c>
      <c r="J43" s="47" t="n">
        <f aca="false">G43*I43</f>
        <v>158.125</v>
      </c>
    </row>
    <row r="44" customFormat="false" ht="15" hidden="false" customHeight="false" outlineLevel="0" collapsed="false">
      <c r="A44" s="5" t="n">
        <v>30</v>
      </c>
      <c r="B44" s="6" t="s">
        <v>58</v>
      </c>
      <c r="C44" s="6" t="s">
        <v>8</v>
      </c>
      <c r="D44" s="6" t="s">
        <v>226</v>
      </c>
      <c r="E44" s="45" t="n">
        <v>1.5</v>
      </c>
      <c r="F44" s="27" t="n">
        <f aca="false">Narxlar!$C$57</f>
        <v>2.5</v>
      </c>
      <c r="G44" s="46" t="n">
        <f aca="false">E44*F44</f>
        <v>3.75</v>
      </c>
      <c r="H44" s="5" t="s">
        <v>148</v>
      </c>
      <c r="I44" s="7" t="n">
        <f aca="false">Narxlar!$C$5</f>
        <v>55</v>
      </c>
      <c r="J44" s="47" t="n">
        <f aca="false">G44*I44</f>
        <v>206.25</v>
      </c>
    </row>
    <row r="45" customFormat="false" ht="15" hidden="false" customHeight="false" outlineLevel="0" collapsed="false">
      <c r="A45" s="5" t="n">
        <v>31</v>
      </c>
      <c r="B45" s="6" t="s">
        <v>58</v>
      </c>
      <c r="C45" s="6" t="s">
        <v>8</v>
      </c>
      <c r="D45" s="6" t="s">
        <v>227</v>
      </c>
      <c r="E45" s="27" t="n">
        <f aca="false">Narxlar!$C$61</f>
        <v>0.9</v>
      </c>
      <c r="F45" s="27" t="n">
        <f aca="false">Narxlar!$C$57</f>
        <v>2.5</v>
      </c>
      <c r="G45" s="46" t="n">
        <f aca="false">E45*F45</f>
        <v>2.25</v>
      </c>
      <c r="H45" s="5" t="s">
        <v>148</v>
      </c>
      <c r="I45" s="7" t="n">
        <f aca="false">Narxlar!$C$5</f>
        <v>55</v>
      </c>
      <c r="J45" s="47" t="n">
        <f aca="false">G45*I45</f>
        <v>123.75</v>
      </c>
    </row>
    <row r="46" customFormat="false" ht="15" hidden="false" customHeight="false" outlineLevel="0" collapsed="false">
      <c r="A46" s="5" t="n">
        <v>32</v>
      </c>
      <c r="B46" s="6" t="s">
        <v>58</v>
      </c>
      <c r="C46" s="6" t="s">
        <v>9</v>
      </c>
      <c r="D46" s="6" t="s">
        <v>228</v>
      </c>
      <c r="E46" s="45" t="n">
        <v>1</v>
      </c>
      <c r="F46" s="27" t="n">
        <f aca="false">Narxlar!$C$56</f>
        <v>3.5</v>
      </c>
      <c r="G46" s="46" t="n">
        <f aca="false">E46*F46</f>
        <v>3.5</v>
      </c>
      <c r="H46" s="5" t="s">
        <v>148</v>
      </c>
      <c r="I46" s="7" t="n">
        <f aca="false">Narxlar!$C$6</f>
        <v>12</v>
      </c>
      <c r="J46" s="47" t="n">
        <f aca="false">G46*I46</f>
        <v>42</v>
      </c>
    </row>
    <row r="47" customFormat="false" ht="15" hidden="false" customHeight="false" outlineLevel="0" collapsed="false">
      <c r="A47" s="5" t="n">
        <v>33</v>
      </c>
      <c r="B47" s="6" t="s">
        <v>58</v>
      </c>
      <c r="C47" s="6" t="s">
        <v>9</v>
      </c>
      <c r="D47" s="6" t="s">
        <v>229</v>
      </c>
      <c r="E47" s="45" t="n">
        <v>4.5</v>
      </c>
      <c r="F47" s="27" t="n">
        <f aca="false">Narxlar!$C$56</f>
        <v>3.5</v>
      </c>
      <c r="G47" s="46" t="n">
        <f aca="false">E47*F47</f>
        <v>15.75</v>
      </c>
      <c r="H47" s="5" t="s">
        <v>148</v>
      </c>
      <c r="I47" s="7" t="n">
        <f aca="false">Narxlar!$C$6</f>
        <v>12</v>
      </c>
      <c r="J47" s="47" t="n">
        <f aca="false">G47*I47</f>
        <v>189</v>
      </c>
    </row>
    <row r="48" customFormat="false" ht="15" hidden="false" customHeight="false" outlineLevel="0" collapsed="false">
      <c r="A48" s="5" t="n">
        <v>34</v>
      </c>
      <c r="B48" s="6" t="s">
        <v>58</v>
      </c>
      <c r="C48" s="6" t="s">
        <v>9</v>
      </c>
      <c r="D48" s="6" t="s">
        <v>214</v>
      </c>
      <c r="E48" s="45" t="n">
        <v>1.5</v>
      </c>
      <c r="F48" s="27" t="n">
        <f aca="false">Narxlar!$C$58</f>
        <v>1</v>
      </c>
      <c r="G48" s="46" t="n">
        <f aca="false">E48*F48</f>
        <v>1.5</v>
      </c>
      <c r="H48" s="5" t="s">
        <v>148</v>
      </c>
      <c r="I48" s="7" t="n">
        <f aca="false">Narxlar!$C$6</f>
        <v>12</v>
      </c>
      <c r="J48" s="47" t="n">
        <f aca="false">G48*I48</f>
        <v>18</v>
      </c>
    </row>
    <row r="49" customFormat="false" ht="15" hidden="false" customHeight="false" outlineLevel="0" collapsed="false">
      <c r="A49" s="5" t="n">
        <v>35</v>
      </c>
      <c r="B49" s="6" t="s">
        <v>58</v>
      </c>
      <c r="C49" s="6" t="s">
        <v>9</v>
      </c>
      <c r="D49" s="6" t="s">
        <v>214</v>
      </c>
      <c r="E49" s="45" t="n">
        <v>1.15</v>
      </c>
      <c r="F49" s="27" t="n">
        <f aca="false">Narxlar!$C$58</f>
        <v>1</v>
      </c>
      <c r="G49" s="46" t="n">
        <f aca="false">E49*F49</f>
        <v>1.15</v>
      </c>
      <c r="H49" s="5" t="s">
        <v>148</v>
      </c>
      <c r="I49" s="7" t="n">
        <f aca="false">Narxlar!$C$6</f>
        <v>12</v>
      </c>
      <c r="J49" s="47" t="n">
        <f aca="false">G49*I49</f>
        <v>13.8</v>
      </c>
    </row>
    <row r="50" customFormat="false" ht="15" hidden="false" customHeight="false" outlineLevel="0" collapsed="false">
      <c r="A50" s="5" t="n">
        <v>36</v>
      </c>
      <c r="B50" s="6" t="s">
        <v>58</v>
      </c>
      <c r="C50" s="6" t="s">
        <v>9</v>
      </c>
      <c r="D50" s="6" t="s">
        <v>230</v>
      </c>
      <c r="E50" s="45" t="n">
        <v>0.1</v>
      </c>
      <c r="F50" s="27" t="n">
        <f aca="false">Narxlar!$C$56</f>
        <v>3.5</v>
      </c>
      <c r="G50" s="46" t="n">
        <f aca="false">E50*F50</f>
        <v>0.35</v>
      </c>
      <c r="H50" s="5" t="s">
        <v>148</v>
      </c>
      <c r="I50" s="7" t="n">
        <f aca="false">Narxlar!$C$6</f>
        <v>12</v>
      </c>
      <c r="J50" s="47" t="n">
        <f aca="false">G50*I50</f>
        <v>4.2</v>
      </c>
    </row>
    <row r="51" customFormat="false" ht="15" hidden="false" customHeight="false" outlineLevel="0" collapsed="false">
      <c r="A51" s="5" t="n">
        <v>37</v>
      </c>
      <c r="B51" s="6" t="s">
        <v>58</v>
      </c>
      <c r="C51" s="6" t="s">
        <v>9</v>
      </c>
      <c r="D51" s="6" t="s">
        <v>231</v>
      </c>
      <c r="E51" s="45" t="n">
        <v>0.1</v>
      </c>
      <c r="F51" s="27" t="n">
        <f aca="false">Narxlar!$C$56</f>
        <v>3.5</v>
      </c>
      <c r="G51" s="46" t="n">
        <f aca="false">E51*F51</f>
        <v>0.35</v>
      </c>
      <c r="H51" s="5" t="s">
        <v>148</v>
      </c>
      <c r="I51" s="7" t="n">
        <f aca="false">Narxlar!$C$6</f>
        <v>12</v>
      </c>
      <c r="J51" s="47" t="n">
        <f aca="false">G51*I51</f>
        <v>4.2</v>
      </c>
    </row>
    <row r="52" customFormat="false" ht="15" hidden="false" customHeight="false" outlineLevel="0" collapsed="false">
      <c r="A52" s="5" t="n">
        <v>38</v>
      </c>
      <c r="B52" s="6" t="s">
        <v>58</v>
      </c>
      <c r="C52" s="6" t="s">
        <v>9</v>
      </c>
      <c r="D52" s="6" t="s">
        <v>231</v>
      </c>
      <c r="E52" s="45" t="n">
        <v>0.25</v>
      </c>
      <c r="F52" s="27" t="n">
        <f aca="false">Narxlar!$C$56</f>
        <v>3.5</v>
      </c>
      <c r="G52" s="46" t="n">
        <f aca="false">E52*F52</f>
        <v>0.875</v>
      </c>
      <c r="H52" s="5" t="s">
        <v>148</v>
      </c>
      <c r="I52" s="7" t="n">
        <f aca="false">Narxlar!$C$6</f>
        <v>12</v>
      </c>
      <c r="J52" s="47" t="n">
        <f aca="false">G52*I52</f>
        <v>10.5</v>
      </c>
    </row>
    <row r="53" customFormat="false" ht="15" hidden="false" customHeight="false" outlineLevel="0" collapsed="false">
      <c r="A53" s="5" t="n">
        <v>39</v>
      </c>
      <c r="B53" s="6" t="s">
        <v>58</v>
      </c>
      <c r="C53" s="6" t="s">
        <v>9</v>
      </c>
      <c r="D53" s="6" t="s">
        <v>232</v>
      </c>
      <c r="E53" s="45" t="n">
        <v>1.5</v>
      </c>
      <c r="F53" s="27" t="n">
        <f aca="false">Narxlar!$C$58</f>
        <v>1</v>
      </c>
      <c r="G53" s="46" t="n">
        <f aca="false">E53*F53</f>
        <v>1.5</v>
      </c>
      <c r="H53" s="5" t="s">
        <v>148</v>
      </c>
      <c r="I53" s="7" t="n">
        <f aca="false">Narxlar!$C$6</f>
        <v>12</v>
      </c>
      <c r="J53" s="47" t="n">
        <f aca="false">G53*I53</f>
        <v>18</v>
      </c>
    </row>
    <row r="54" customFormat="false" ht="15" hidden="false" customHeight="false" outlineLevel="0" collapsed="false">
      <c r="A54" s="5" t="n">
        <v>40</v>
      </c>
      <c r="B54" s="6" t="s">
        <v>58</v>
      </c>
      <c r="C54" s="6" t="s">
        <v>9</v>
      </c>
      <c r="D54" s="6" t="s">
        <v>233</v>
      </c>
      <c r="E54" s="45" t="n">
        <v>4.5</v>
      </c>
      <c r="F54" s="27" t="n">
        <f aca="false">Narxlar!$C$56</f>
        <v>3.5</v>
      </c>
      <c r="G54" s="46" t="n">
        <f aca="false">E54*F54</f>
        <v>15.75</v>
      </c>
      <c r="H54" s="5" t="s">
        <v>148</v>
      </c>
      <c r="I54" s="7" t="n">
        <f aca="false">Narxlar!$C$6</f>
        <v>12</v>
      </c>
      <c r="J54" s="47" t="n">
        <f aca="false">G54*I54</f>
        <v>189</v>
      </c>
    </row>
    <row r="55" customFormat="false" ht="15" hidden="false" customHeight="false" outlineLevel="0" collapsed="false">
      <c r="A55" s="5" t="n">
        <v>41</v>
      </c>
      <c r="B55" s="6" t="s">
        <v>58</v>
      </c>
      <c r="C55" s="6" t="s">
        <v>9</v>
      </c>
      <c r="D55" s="6" t="s">
        <v>234</v>
      </c>
      <c r="E55" s="27" t="n">
        <f aca="false">Narxlar!$C$61</f>
        <v>0.9</v>
      </c>
      <c r="F55" s="27" t="n">
        <f aca="false">Narxlar!$C$58</f>
        <v>1</v>
      </c>
      <c r="G55" s="46" t="n">
        <f aca="false">E55*F55</f>
        <v>0.9</v>
      </c>
      <c r="H55" s="5" t="s">
        <v>148</v>
      </c>
      <c r="I55" s="7" t="n">
        <f aca="false">Narxlar!$C$6</f>
        <v>12</v>
      </c>
      <c r="J55" s="47" t="n">
        <f aca="false">G55*I55</f>
        <v>10.8</v>
      </c>
    </row>
    <row r="56" customFormat="false" ht="15" hidden="false" customHeight="false" outlineLevel="0" collapsed="false">
      <c r="A56" s="5" t="n">
        <v>42</v>
      </c>
      <c r="B56" s="6" t="s">
        <v>58</v>
      </c>
      <c r="C56" s="6" t="s">
        <v>10</v>
      </c>
      <c r="D56" s="6" t="s">
        <v>217</v>
      </c>
      <c r="E56" s="45" t="n">
        <v>8.8</v>
      </c>
      <c r="F56" s="27" t="n">
        <f aca="false">Narxlar!$C$62</f>
        <v>3.5</v>
      </c>
      <c r="G56" s="46" t="n">
        <f aca="false">E56*F56</f>
        <v>30.8</v>
      </c>
      <c r="H56" s="5" t="s">
        <v>148</v>
      </c>
      <c r="I56" s="7" t="n">
        <f aca="false">Narxlar!$C$7</f>
        <v>15.5</v>
      </c>
      <c r="J56" s="47" t="n">
        <f aca="false">G56*I56</f>
        <v>477.4</v>
      </c>
    </row>
    <row r="57" customFormat="false" ht="15" hidden="false" customHeight="false" outlineLevel="0" collapsed="false">
      <c r="A57" s="5" t="n">
        <v>43</v>
      </c>
      <c r="B57" s="6" t="s">
        <v>58</v>
      </c>
      <c r="C57" s="6" t="s">
        <v>10</v>
      </c>
      <c r="D57" s="6" t="s">
        <v>235</v>
      </c>
      <c r="E57" s="45" t="n">
        <v>5.6</v>
      </c>
      <c r="F57" s="27" t="n">
        <f aca="false">Narxlar!$C$62</f>
        <v>3.5</v>
      </c>
      <c r="G57" s="46" t="n">
        <f aca="false">E57*F57</f>
        <v>19.6</v>
      </c>
      <c r="H57" s="5" t="s">
        <v>148</v>
      </c>
      <c r="I57" s="7" t="n">
        <f aca="false">Narxlar!$C$7</f>
        <v>15.5</v>
      </c>
      <c r="J57" s="47" t="n">
        <f aca="false">G57*I57</f>
        <v>303.8</v>
      </c>
    </row>
    <row r="58" customFormat="false" ht="15" hidden="false" customHeight="false" outlineLevel="0" collapsed="false">
      <c r="A58" s="5" t="n">
        <v>44</v>
      </c>
      <c r="B58" s="6" t="s">
        <v>58</v>
      </c>
      <c r="C58" s="6" t="s">
        <v>11</v>
      </c>
      <c r="D58" s="6" t="s">
        <v>219</v>
      </c>
      <c r="E58" s="45"/>
      <c r="F58" s="46"/>
      <c r="G58" s="48" t="n">
        <v>1</v>
      </c>
      <c r="H58" s="5" t="s">
        <v>105</v>
      </c>
      <c r="I58" s="7" t="n">
        <f aca="false">Narxlar!$C$8</f>
        <v>1032</v>
      </c>
      <c r="J58" s="47" t="n">
        <f aca="false">G58*I58</f>
        <v>1032</v>
      </c>
    </row>
    <row r="59" customFormat="false" ht="15" hidden="false" customHeight="false" outlineLevel="0" collapsed="false">
      <c r="A59" s="5" t="n">
        <v>45</v>
      </c>
      <c r="B59" s="6" t="s">
        <v>58</v>
      </c>
      <c r="C59" s="6" t="s">
        <v>13</v>
      </c>
      <c r="D59" s="6" t="s">
        <v>220</v>
      </c>
      <c r="E59" s="45"/>
      <c r="F59" s="46"/>
      <c r="G59" s="48" t="n">
        <v>1</v>
      </c>
      <c r="H59" s="5" t="s">
        <v>221</v>
      </c>
      <c r="I59" s="7" t="n">
        <f aca="false">Narxlar!$C$12</f>
        <v>168</v>
      </c>
      <c r="J59" s="47" t="n">
        <f aca="false">G59*I59</f>
        <v>168</v>
      </c>
    </row>
    <row r="60" customFormat="false" ht="15" hidden="false" customHeight="false" outlineLevel="0" collapsed="false">
      <c r="A60" s="49"/>
      <c r="B60" s="49"/>
      <c r="C60" s="49"/>
      <c r="D60" s="11" t="s">
        <v>236</v>
      </c>
      <c r="E60" s="49"/>
      <c r="F60" s="49"/>
      <c r="G60" s="49"/>
      <c r="H60" s="49"/>
      <c r="I60" s="49"/>
      <c r="J60" s="12" t="n">
        <f aca="false">SUM(J42:J59)</f>
        <v>3175.075</v>
      </c>
    </row>
    <row r="62" customFormat="false" ht="15" hidden="false" customHeight="false" outlineLevel="0" collapsed="false">
      <c r="A62" s="25" t="s">
        <v>59</v>
      </c>
      <c r="B62" s="26"/>
      <c r="C62" s="26"/>
      <c r="D62" s="26"/>
      <c r="E62" s="26"/>
      <c r="F62" s="26"/>
      <c r="G62" s="26"/>
      <c r="H62" s="26"/>
      <c r="I62" s="26"/>
      <c r="J62" s="26"/>
    </row>
    <row r="63" customFormat="false" ht="15" hidden="false" customHeight="false" outlineLevel="0" collapsed="false">
      <c r="A63" s="5" t="n">
        <v>46</v>
      </c>
      <c r="B63" s="6" t="s">
        <v>59</v>
      </c>
      <c r="C63" s="6" t="s">
        <v>8</v>
      </c>
      <c r="D63" s="6" t="s">
        <v>227</v>
      </c>
      <c r="E63" s="27" t="n">
        <f aca="false">Narxlar!$C$61</f>
        <v>0.9</v>
      </c>
      <c r="F63" s="27" t="n">
        <f aca="false">Narxlar!$C$57</f>
        <v>2.5</v>
      </c>
      <c r="G63" s="46" t="n">
        <f aca="false">E63*F63</f>
        <v>2.25</v>
      </c>
      <c r="H63" s="5" t="s">
        <v>148</v>
      </c>
      <c r="I63" s="7" t="n">
        <f aca="false">Narxlar!$C$5</f>
        <v>55</v>
      </c>
      <c r="J63" s="47" t="n">
        <f aca="false">G63*I63</f>
        <v>123.75</v>
      </c>
    </row>
    <row r="64" customFormat="false" ht="15" hidden="false" customHeight="false" outlineLevel="0" collapsed="false">
      <c r="A64" s="5" t="n">
        <v>47</v>
      </c>
      <c r="B64" s="6" t="s">
        <v>59</v>
      </c>
      <c r="C64" s="6" t="s">
        <v>9</v>
      </c>
      <c r="D64" s="6" t="s">
        <v>237</v>
      </c>
      <c r="E64" s="45" t="n">
        <v>2.75</v>
      </c>
      <c r="F64" s="27" t="n">
        <f aca="false">Narxlar!$C$56</f>
        <v>3.5</v>
      </c>
      <c r="G64" s="46" t="n">
        <f aca="false">E64*F64</f>
        <v>9.625</v>
      </c>
      <c r="H64" s="5" t="s">
        <v>148</v>
      </c>
      <c r="I64" s="7" t="n">
        <f aca="false">Narxlar!$C$6</f>
        <v>12</v>
      </c>
      <c r="J64" s="47" t="n">
        <f aca="false">G64*I64</f>
        <v>115.5</v>
      </c>
    </row>
    <row r="65" customFormat="false" ht="15" hidden="false" customHeight="false" outlineLevel="0" collapsed="false">
      <c r="A65" s="5" t="n">
        <v>48</v>
      </c>
      <c r="B65" s="6" t="s">
        <v>59</v>
      </c>
      <c r="C65" s="6" t="s">
        <v>9</v>
      </c>
      <c r="D65" s="6" t="s">
        <v>231</v>
      </c>
      <c r="E65" s="45" t="n">
        <v>0.15</v>
      </c>
      <c r="F65" s="27" t="n">
        <f aca="false">Narxlar!$C$56</f>
        <v>3.5</v>
      </c>
      <c r="G65" s="46" t="n">
        <f aca="false">E65*F65</f>
        <v>0.525</v>
      </c>
      <c r="H65" s="5" t="s">
        <v>148</v>
      </c>
      <c r="I65" s="7" t="n">
        <f aca="false">Narxlar!$C$6</f>
        <v>12</v>
      </c>
      <c r="J65" s="47" t="n">
        <f aca="false">G65*I65</f>
        <v>6.3</v>
      </c>
    </row>
    <row r="66" customFormat="false" ht="15" hidden="false" customHeight="false" outlineLevel="0" collapsed="false">
      <c r="A66" s="5" t="n">
        <v>49</v>
      </c>
      <c r="B66" s="6" t="s">
        <v>59</v>
      </c>
      <c r="C66" s="6" t="s">
        <v>9</v>
      </c>
      <c r="D66" s="6" t="s">
        <v>238</v>
      </c>
      <c r="E66" s="45" t="n">
        <v>4.7</v>
      </c>
      <c r="F66" s="27" t="n">
        <f aca="false">Narxlar!$C$56</f>
        <v>3.5</v>
      </c>
      <c r="G66" s="46" t="n">
        <f aca="false">E66*F66</f>
        <v>16.45</v>
      </c>
      <c r="H66" s="5" t="s">
        <v>148</v>
      </c>
      <c r="I66" s="7" t="n">
        <f aca="false">Narxlar!$C$6</f>
        <v>12</v>
      </c>
      <c r="J66" s="47" t="n">
        <f aca="false">G66*I66</f>
        <v>197.4</v>
      </c>
    </row>
    <row r="67" customFormat="false" ht="15" hidden="false" customHeight="false" outlineLevel="0" collapsed="false">
      <c r="A67" s="5" t="n">
        <v>50</v>
      </c>
      <c r="B67" s="6" t="s">
        <v>59</v>
      </c>
      <c r="C67" s="6" t="s">
        <v>9</v>
      </c>
      <c r="D67" s="6" t="s">
        <v>234</v>
      </c>
      <c r="E67" s="27" t="n">
        <f aca="false">Narxlar!$C$61</f>
        <v>0.9</v>
      </c>
      <c r="F67" s="27" t="n">
        <f aca="false">Narxlar!$C$58</f>
        <v>1</v>
      </c>
      <c r="G67" s="46" t="n">
        <f aca="false">E67*F67</f>
        <v>0.9</v>
      </c>
      <c r="H67" s="5" t="s">
        <v>148</v>
      </c>
      <c r="I67" s="7" t="n">
        <f aca="false">Narxlar!$C$6</f>
        <v>12</v>
      </c>
      <c r="J67" s="47" t="n">
        <f aca="false">G67*I67</f>
        <v>10.8</v>
      </c>
    </row>
    <row r="68" customFormat="false" ht="15" hidden="false" customHeight="false" outlineLevel="0" collapsed="false">
      <c r="A68" s="5" t="n">
        <v>51</v>
      </c>
      <c r="B68" s="6" t="s">
        <v>59</v>
      </c>
      <c r="C68" s="6" t="s">
        <v>10</v>
      </c>
      <c r="D68" s="6" t="s">
        <v>217</v>
      </c>
      <c r="E68" s="45" t="n">
        <v>7.7</v>
      </c>
      <c r="F68" s="27" t="n">
        <f aca="false">Narxlar!$C$62</f>
        <v>3.5</v>
      </c>
      <c r="G68" s="46" t="n">
        <f aca="false">E68*F68</f>
        <v>26.95</v>
      </c>
      <c r="H68" s="5" t="s">
        <v>148</v>
      </c>
      <c r="I68" s="7" t="n">
        <f aca="false">Narxlar!$C$7</f>
        <v>15.5</v>
      </c>
      <c r="J68" s="47" t="n">
        <f aca="false">G68*I68</f>
        <v>417.725</v>
      </c>
    </row>
    <row r="69" customFormat="false" ht="15" hidden="false" customHeight="false" outlineLevel="0" collapsed="false">
      <c r="A69" s="5" t="n">
        <v>52</v>
      </c>
      <c r="B69" s="6" t="s">
        <v>59</v>
      </c>
      <c r="C69" s="6" t="s">
        <v>10</v>
      </c>
      <c r="D69" s="6" t="s">
        <v>218</v>
      </c>
      <c r="E69" s="45" t="n">
        <v>7.7</v>
      </c>
      <c r="F69" s="27" t="n">
        <f aca="false">Narxlar!$C$62</f>
        <v>3.5</v>
      </c>
      <c r="G69" s="46" t="n">
        <f aca="false">E69*F69</f>
        <v>26.95</v>
      </c>
      <c r="H69" s="5" t="s">
        <v>148</v>
      </c>
      <c r="I69" s="7" t="n">
        <f aca="false">Narxlar!$C$7</f>
        <v>15.5</v>
      </c>
      <c r="J69" s="47" t="n">
        <f aca="false">G69*I69</f>
        <v>417.725</v>
      </c>
    </row>
    <row r="70" customFormat="false" ht="15" hidden="false" customHeight="false" outlineLevel="0" collapsed="false">
      <c r="A70" s="5" t="n">
        <v>53</v>
      </c>
      <c r="B70" s="6" t="s">
        <v>59</v>
      </c>
      <c r="C70" s="6" t="s">
        <v>11</v>
      </c>
      <c r="D70" s="6" t="s">
        <v>219</v>
      </c>
      <c r="E70" s="45"/>
      <c r="F70" s="46"/>
      <c r="G70" s="48" t="n">
        <v>1</v>
      </c>
      <c r="H70" s="5" t="s">
        <v>105</v>
      </c>
      <c r="I70" s="7" t="n">
        <f aca="false">Narxlar!$C$8</f>
        <v>1032</v>
      </c>
      <c r="J70" s="47" t="n">
        <f aca="false">G70*I70</f>
        <v>1032</v>
      </c>
    </row>
    <row r="71" customFormat="false" ht="15" hidden="false" customHeight="false" outlineLevel="0" collapsed="false">
      <c r="A71" s="5" t="n">
        <v>54</v>
      </c>
      <c r="B71" s="6" t="s">
        <v>59</v>
      </c>
      <c r="C71" s="6" t="s">
        <v>13</v>
      </c>
      <c r="D71" s="6" t="s">
        <v>220</v>
      </c>
      <c r="E71" s="45"/>
      <c r="F71" s="46"/>
      <c r="G71" s="48" t="n">
        <v>1</v>
      </c>
      <c r="H71" s="5" t="s">
        <v>221</v>
      </c>
      <c r="I71" s="7" t="n">
        <f aca="false">Narxlar!$C$12</f>
        <v>168</v>
      </c>
      <c r="J71" s="47" t="n">
        <f aca="false">G71*I71</f>
        <v>168</v>
      </c>
    </row>
    <row r="72" customFormat="false" ht="15" hidden="false" customHeight="false" outlineLevel="0" collapsed="false">
      <c r="A72" s="49"/>
      <c r="B72" s="49"/>
      <c r="C72" s="49"/>
      <c r="D72" s="11" t="s">
        <v>239</v>
      </c>
      <c r="E72" s="49"/>
      <c r="F72" s="49"/>
      <c r="G72" s="49"/>
      <c r="H72" s="49"/>
      <c r="I72" s="49"/>
      <c r="J72" s="12" t="n">
        <f aca="false">SUM(J63:J71)</f>
        <v>2489.2</v>
      </c>
    </row>
    <row r="74" customFormat="false" ht="15" hidden="false" customHeight="false" outlineLevel="0" collapsed="false">
      <c r="A74" s="25" t="s">
        <v>60</v>
      </c>
      <c r="B74" s="26"/>
      <c r="C74" s="26"/>
      <c r="D74" s="26"/>
      <c r="E74" s="26"/>
      <c r="F74" s="26"/>
      <c r="G74" s="26"/>
      <c r="H74" s="26"/>
      <c r="I74" s="26"/>
      <c r="J74" s="26"/>
    </row>
    <row r="75" customFormat="false" ht="15" hidden="false" customHeight="false" outlineLevel="0" collapsed="false">
      <c r="A75" s="5" t="n">
        <v>55</v>
      </c>
      <c r="B75" s="6" t="s">
        <v>60</v>
      </c>
      <c r="C75" s="6" t="s">
        <v>8</v>
      </c>
      <c r="D75" s="6" t="s">
        <v>226</v>
      </c>
      <c r="E75" s="45" t="n">
        <v>4.7</v>
      </c>
      <c r="F75" s="27" t="n">
        <f aca="false">Narxlar!$C$57</f>
        <v>2.5</v>
      </c>
      <c r="G75" s="46" t="n">
        <f aca="false">E75*F75</f>
        <v>11.75</v>
      </c>
      <c r="H75" s="5" t="s">
        <v>148</v>
      </c>
      <c r="I75" s="7" t="n">
        <f aca="false">Narxlar!$C$5</f>
        <v>55</v>
      </c>
      <c r="J75" s="47" t="n">
        <f aca="false">G75*I75</f>
        <v>646.25</v>
      </c>
    </row>
    <row r="76" customFormat="false" ht="15" hidden="false" customHeight="false" outlineLevel="0" collapsed="false">
      <c r="A76" s="5" t="n">
        <v>56</v>
      </c>
      <c r="B76" s="6" t="s">
        <v>60</v>
      </c>
      <c r="C76" s="6" t="s">
        <v>8</v>
      </c>
      <c r="D76" s="6" t="s">
        <v>227</v>
      </c>
      <c r="E76" s="27" t="n">
        <f aca="false">Narxlar!$C$61</f>
        <v>0.9</v>
      </c>
      <c r="F76" s="27" t="n">
        <f aca="false">Narxlar!$C$57</f>
        <v>2.5</v>
      </c>
      <c r="G76" s="46" t="n">
        <f aca="false">E76*F76</f>
        <v>2.25</v>
      </c>
      <c r="H76" s="5" t="s">
        <v>148</v>
      </c>
      <c r="I76" s="7" t="n">
        <f aca="false">Narxlar!$C$5</f>
        <v>55</v>
      </c>
      <c r="J76" s="47" t="n">
        <f aca="false">G76*I76</f>
        <v>123.75</v>
      </c>
    </row>
    <row r="77" customFormat="false" ht="15" hidden="false" customHeight="false" outlineLevel="0" collapsed="false">
      <c r="A77" s="5" t="n">
        <v>57</v>
      </c>
      <c r="B77" s="6" t="s">
        <v>60</v>
      </c>
      <c r="C77" s="6" t="s">
        <v>9</v>
      </c>
      <c r="D77" s="6" t="s">
        <v>240</v>
      </c>
      <c r="E77" s="45" t="n">
        <v>2.75</v>
      </c>
      <c r="F77" s="27" t="n">
        <f aca="false">Narxlar!$C$56</f>
        <v>3.5</v>
      </c>
      <c r="G77" s="46" t="n">
        <f aca="false">E77*F77</f>
        <v>9.625</v>
      </c>
      <c r="H77" s="5" t="s">
        <v>148</v>
      </c>
      <c r="I77" s="7" t="n">
        <f aca="false">Narxlar!$C$6</f>
        <v>12</v>
      </c>
      <c r="J77" s="47" t="n">
        <f aca="false">G77*I77</f>
        <v>115.5</v>
      </c>
    </row>
    <row r="78" customFormat="false" ht="15" hidden="false" customHeight="false" outlineLevel="0" collapsed="false">
      <c r="A78" s="5" t="n">
        <v>58</v>
      </c>
      <c r="B78" s="6" t="s">
        <v>60</v>
      </c>
      <c r="C78" s="6" t="s">
        <v>9</v>
      </c>
      <c r="D78" s="6" t="s">
        <v>241</v>
      </c>
      <c r="E78" s="45" t="n">
        <v>2.75</v>
      </c>
      <c r="F78" s="27" t="n">
        <f aca="false">Narxlar!$C$56</f>
        <v>3.5</v>
      </c>
      <c r="G78" s="46" t="n">
        <f aca="false">E78*F78</f>
        <v>9.625</v>
      </c>
      <c r="H78" s="5" t="s">
        <v>148</v>
      </c>
      <c r="I78" s="7" t="n">
        <f aca="false">Narxlar!$C$6</f>
        <v>12</v>
      </c>
      <c r="J78" s="47" t="n">
        <f aca="false">G78*I78</f>
        <v>115.5</v>
      </c>
    </row>
    <row r="79" customFormat="false" ht="15" hidden="false" customHeight="false" outlineLevel="0" collapsed="false">
      <c r="A79" s="5" t="n">
        <v>59</v>
      </c>
      <c r="B79" s="6" t="s">
        <v>60</v>
      </c>
      <c r="C79" s="6" t="s">
        <v>9</v>
      </c>
      <c r="D79" s="6" t="s">
        <v>231</v>
      </c>
      <c r="E79" s="45" t="n">
        <v>0.2</v>
      </c>
      <c r="F79" s="27" t="n">
        <f aca="false">Narxlar!$C$56</f>
        <v>3.5</v>
      </c>
      <c r="G79" s="46" t="n">
        <f aca="false">E79*F79</f>
        <v>0.7</v>
      </c>
      <c r="H79" s="5" t="s">
        <v>148</v>
      </c>
      <c r="I79" s="7" t="n">
        <f aca="false">Narxlar!$C$6</f>
        <v>12</v>
      </c>
      <c r="J79" s="47" t="n">
        <f aca="false">G79*I79</f>
        <v>8.4</v>
      </c>
    </row>
    <row r="80" customFormat="false" ht="15" hidden="false" customHeight="false" outlineLevel="0" collapsed="false">
      <c r="A80" s="5" t="n">
        <v>60</v>
      </c>
      <c r="B80" s="6" t="s">
        <v>60</v>
      </c>
      <c r="C80" s="6" t="s">
        <v>9</v>
      </c>
      <c r="D80" s="6" t="s">
        <v>232</v>
      </c>
      <c r="E80" s="45" t="n">
        <v>4.7</v>
      </c>
      <c r="F80" s="27" t="n">
        <f aca="false">Narxlar!$C$58</f>
        <v>1</v>
      </c>
      <c r="G80" s="46" t="n">
        <f aca="false">E80*F80</f>
        <v>4.7</v>
      </c>
      <c r="H80" s="5" t="s">
        <v>148</v>
      </c>
      <c r="I80" s="7" t="n">
        <f aca="false">Narxlar!$C$6</f>
        <v>12</v>
      </c>
      <c r="J80" s="47" t="n">
        <f aca="false">G80*I80</f>
        <v>56.4</v>
      </c>
    </row>
    <row r="81" customFormat="false" ht="15" hidden="false" customHeight="false" outlineLevel="0" collapsed="false">
      <c r="A81" s="5" t="n">
        <v>61</v>
      </c>
      <c r="B81" s="6" t="s">
        <v>60</v>
      </c>
      <c r="C81" s="6" t="s">
        <v>9</v>
      </c>
      <c r="D81" s="6" t="s">
        <v>234</v>
      </c>
      <c r="E81" s="27" t="n">
        <f aca="false">Narxlar!$C$61</f>
        <v>0.9</v>
      </c>
      <c r="F81" s="27" t="n">
        <f aca="false">Narxlar!$C$58</f>
        <v>1</v>
      </c>
      <c r="G81" s="46" t="n">
        <f aca="false">E81*F81</f>
        <v>0.9</v>
      </c>
      <c r="H81" s="5" t="s">
        <v>148</v>
      </c>
      <c r="I81" s="7" t="n">
        <f aca="false">Narxlar!$C$6</f>
        <v>12</v>
      </c>
      <c r="J81" s="47" t="n">
        <f aca="false">G81*I81</f>
        <v>10.8</v>
      </c>
    </row>
    <row r="82" customFormat="false" ht="15" hidden="false" customHeight="false" outlineLevel="0" collapsed="false">
      <c r="A82" s="5" t="n">
        <v>62</v>
      </c>
      <c r="B82" s="6" t="s">
        <v>60</v>
      </c>
      <c r="C82" s="6" t="s">
        <v>10</v>
      </c>
      <c r="D82" s="6" t="s">
        <v>217</v>
      </c>
      <c r="E82" s="45" t="n">
        <v>7.7</v>
      </c>
      <c r="F82" s="27" t="n">
        <f aca="false">Narxlar!$C$62</f>
        <v>3.5</v>
      </c>
      <c r="G82" s="46" t="n">
        <f aca="false">E82*F82</f>
        <v>26.95</v>
      </c>
      <c r="H82" s="5" t="s">
        <v>148</v>
      </c>
      <c r="I82" s="7" t="n">
        <f aca="false">Narxlar!$C$7</f>
        <v>15.5</v>
      </c>
      <c r="J82" s="47" t="n">
        <f aca="false">G82*I82</f>
        <v>417.725</v>
      </c>
    </row>
    <row r="83" customFormat="false" ht="15" hidden="false" customHeight="false" outlineLevel="0" collapsed="false">
      <c r="A83" s="5" t="n">
        <v>63</v>
      </c>
      <c r="B83" s="6" t="s">
        <v>60</v>
      </c>
      <c r="C83" s="6" t="s">
        <v>10</v>
      </c>
      <c r="D83" s="6" t="s">
        <v>218</v>
      </c>
      <c r="E83" s="45" t="n">
        <v>7.7</v>
      </c>
      <c r="F83" s="27" t="n">
        <f aca="false">Narxlar!$C$62</f>
        <v>3.5</v>
      </c>
      <c r="G83" s="46" t="n">
        <f aca="false">E83*F83</f>
        <v>26.95</v>
      </c>
      <c r="H83" s="5" t="s">
        <v>148</v>
      </c>
      <c r="I83" s="7" t="n">
        <f aca="false">Narxlar!$C$7</f>
        <v>15.5</v>
      </c>
      <c r="J83" s="47" t="n">
        <f aca="false">G83*I83</f>
        <v>417.725</v>
      </c>
    </row>
    <row r="84" customFormat="false" ht="15" hidden="false" customHeight="false" outlineLevel="0" collapsed="false">
      <c r="A84" s="5" t="n">
        <v>64</v>
      </c>
      <c r="B84" s="6" t="s">
        <v>60</v>
      </c>
      <c r="C84" s="6" t="s">
        <v>11</v>
      </c>
      <c r="D84" s="6" t="s">
        <v>219</v>
      </c>
      <c r="E84" s="45"/>
      <c r="F84" s="46"/>
      <c r="G84" s="48" t="n">
        <v>1</v>
      </c>
      <c r="H84" s="5" t="s">
        <v>105</v>
      </c>
      <c r="I84" s="7" t="n">
        <f aca="false">Narxlar!$C$8</f>
        <v>1032</v>
      </c>
      <c r="J84" s="47" t="n">
        <f aca="false">G84*I84</f>
        <v>1032</v>
      </c>
    </row>
    <row r="85" customFormat="false" ht="15" hidden="false" customHeight="false" outlineLevel="0" collapsed="false">
      <c r="A85" s="5" t="n">
        <v>65</v>
      </c>
      <c r="B85" s="6" t="s">
        <v>60</v>
      </c>
      <c r="C85" s="6" t="s">
        <v>13</v>
      </c>
      <c r="D85" s="6" t="s">
        <v>220</v>
      </c>
      <c r="E85" s="45"/>
      <c r="F85" s="46"/>
      <c r="G85" s="48" t="n">
        <v>1</v>
      </c>
      <c r="H85" s="5" t="s">
        <v>221</v>
      </c>
      <c r="I85" s="7" t="n">
        <f aca="false">Narxlar!$C$12</f>
        <v>168</v>
      </c>
      <c r="J85" s="47" t="n">
        <f aca="false">G85*I85</f>
        <v>168</v>
      </c>
    </row>
    <row r="86" customFormat="false" ht="15" hidden="false" customHeight="false" outlineLevel="0" collapsed="false">
      <c r="A86" s="49"/>
      <c r="B86" s="49"/>
      <c r="C86" s="49"/>
      <c r="D86" s="11" t="s">
        <v>242</v>
      </c>
      <c r="E86" s="49"/>
      <c r="F86" s="49"/>
      <c r="G86" s="49"/>
      <c r="H86" s="49"/>
      <c r="I86" s="49"/>
      <c r="J86" s="12" t="n">
        <f aca="false">SUM(J75:J85)</f>
        <v>3112.05</v>
      </c>
    </row>
    <row r="88" customFormat="false" ht="15" hidden="false" customHeight="false" outlineLevel="0" collapsed="false">
      <c r="A88" s="25" t="s">
        <v>61</v>
      </c>
      <c r="B88" s="26"/>
      <c r="C88" s="26"/>
      <c r="D88" s="26"/>
      <c r="E88" s="26"/>
      <c r="F88" s="26"/>
      <c r="G88" s="26"/>
      <c r="H88" s="26"/>
      <c r="I88" s="26"/>
      <c r="J88" s="26"/>
    </row>
    <row r="89" customFormat="false" ht="15" hidden="false" customHeight="false" outlineLevel="0" collapsed="false">
      <c r="A89" s="5" t="n">
        <v>66</v>
      </c>
      <c r="B89" s="6" t="s">
        <v>61</v>
      </c>
      <c r="C89" s="6" t="s">
        <v>8</v>
      </c>
      <c r="D89" s="6" t="s">
        <v>226</v>
      </c>
      <c r="E89" s="45" t="n">
        <v>4.7</v>
      </c>
      <c r="F89" s="27" t="n">
        <f aca="false">Narxlar!$C$57</f>
        <v>2.5</v>
      </c>
      <c r="G89" s="46" t="n">
        <f aca="false">E89*F89</f>
        <v>11.75</v>
      </c>
      <c r="H89" s="5" t="s">
        <v>148</v>
      </c>
      <c r="I89" s="7" t="n">
        <f aca="false">Narxlar!$C$5</f>
        <v>55</v>
      </c>
      <c r="J89" s="47" t="n">
        <f aca="false">G89*I89</f>
        <v>646.25</v>
      </c>
    </row>
    <row r="90" customFormat="false" ht="15" hidden="false" customHeight="false" outlineLevel="0" collapsed="false">
      <c r="A90" s="5" t="n">
        <v>67</v>
      </c>
      <c r="B90" s="6" t="s">
        <v>61</v>
      </c>
      <c r="C90" s="6" t="s">
        <v>8</v>
      </c>
      <c r="D90" s="6" t="s">
        <v>227</v>
      </c>
      <c r="E90" s="27" t="n">
        <f aca="false">Narxlar!$C$61</f>
        <v>0.9</v>
      </c>
      <c r="F90" s="27" t="n">
        <f aca="false">Narxlar!$C$57</f>
        <v>2.5</v>
      </c>
      <c r="G90" s="46" t="n">
        <f aca="false">E90*F90</f>
        <v>2.25</v>
      </c>
      <c r="H90" s="5" t="s">
        <v>148</v>
      </c>
      <c r="I90" s="7" t="n">
        <f aca="false">Narxlar!$C$5</f>
        <v>55</v>
      </c>
      <c r="J90" s="47" t="n">
        <f aca="false">G90*I90</f>
        <v>123.75</v>
      </c>
    </row>
    <row r="91" customFormat="false" ht="15" hidden="false" customHeight="false" outlineLevel="0" collapsed="false">
      <c r="A91" s="5" t="n">
        <v>68</v>
      </c>
      <c r="B91" s="6" t="s">
        <v>61</v>
      </c>
      <c r="C91" s="6" t="s">
        <v>9</v>
      </c>
      <c r="D91" s="6" t="s">
        <v>213</v>
      </c>
      <c r="E91" s="45" t="n">
        <v>1.55</v>
      </c>
      <c r="F91" s="27" t="n">
        <f aca="false">Narxlar!$C$56</f>
        <v>3.5</v>
      </c>
      <c r="G91" s="46" t="n">
        <f aca="false">E91*F91</f>
        <v>5.425</v>
      </c>
      <c r="H91" s="5" t="s">
        <v>148</v>
      </c>
      <c r="I91" s="7" t="n">
        <f aca="false">Narxlar!$C$6</f>
        <v>12</v>
      </c>
      <c r="J91" s="47" t="n">
        <f aca="false">G91*I91</f>
        <v>65.1</v>
      </c>
    </row>
    <row r="92" customFormat="false" ht="15" hidden="false" customHeight="false" outlineLevel="0" collapsed="false">
      <c r="A92" s="5" t="n">
        <v>69</v>
      </c>
      <c r="B92" s="6" t="s">
        <v>61</v>
      </c>
      <c r="C92" s="6" t="s">
        <v>9</v>
      </c>
      <c r="D92" s="6" t="s">
        <v>243</v>
      </c>
      <c r="E92" s="45" t="n">
        <v>2.6</v>
      </c>
      <c r="F92" s="27" t="n">
        <f aca="false">Narxlar!$C$56</f>
        <v>3.5</v>
      </c>
      <c r="G92" s="46" t="n">
        <f aca="false">E92*F92</f>
        <v>9.1</v>
      </c>
      <c r="H92" s="5" t="s">
        <v>148</v>
      </c>
      <c r="I92" s="7" t="n">
        <f aca="false">Narxlar!$C$6</f>
        <v>12</v>
      </c>
      <c r="J92" s="47" t="n">
        <f aca="false">G92*I92</f>
        <v>109.2</v>
      </c>
    </row>
    <row r="93" customFormat="false" ht="15" hidden="false" customHeight="false" outlineLevel="0" collapsed="false">
      <c r="A93" s="5" t="n">
        <v>70</v>
      </c>
      <c r="B93" s="6" t="s">
        <v>61</v>
      </c>
      <c r="C93" s="6" t="s">
        <v>9</v>
      </c>
      <c r="D93" s="6" t="s">
        <v>237</v>
      </c>
      <c r="E93" s="45" t="n">
        <v>2.75</v>
      </c>
      <c r="F93" s="27" t="n">
        <f aca="false">Narxlar!$C$56</f>
        <v>3.5</v>
      </c>
      <c r="G93" s="46" t="n">
        <f aca="false">E93*F93</f>
        <v>9.625</v>
      </c>
      <c r="H93" s="5" t="s">
        <v>148</v>
      </c>
      <c r="I93" s="7" t="n">
        <f aca="false">Narxlar!$C$6</f>
        <v>12</v>
      </c>
      <c r="J93" s="47" t="n">
        <f aca="false">G93*I93</f>
        <v>115.5</v>
      </c>
    </row>
    <row r="94" customFormat="false" ht="15" hidden="false" customHeight="false" outlineLevel="0" collapsed="false">
      <c r="A94" s="5" t="n">
        <v>71</v>
      </c>
      <c r="B94" s="6" t="s">
        <v>61</v>
      </c>
      <c r="C94" s="6" t="s">
        <v>9</v>
      </c>
      <c r="D94" s="6" t="s">
        <v>231</v>
      </c>
      <c r="E94" s="45" t="n">
        <v>0.2</v>
      </c>
      <c r="F94" s="27" t="n">
        <f aca="false">Narxlar!$C$56</f>
        <v>3.5</v>
      </c>
      <c r="G94" s="46" t="n">
        <f aca="false">E94*F94</f>
        <v>0.7</v>
      </c>
      <c r="H94" s="5" t="s">
        <v>148</v>
      </c>
      <c r="I94" s="7" t="n">
        <f aca="false">Narxlar!$C$6</f>
        <v>12</v>
      </c>
      <c r="J94" s="47" t="n">
        <f aca="false">G94*I94</f>
        <v>8.4</v>
      </c>
    </row>
    <row r="95" customFormat="false" ht="15" hidden="false" customHeight="false" outlineLevel="0" collapsed="false">
      <c r="A95" s="5" t="n">
        <v>72</v>
      </c>
      <c r="B95" s="6" t="s">
        <v>61</v>
      </c>
      <c r="C95" s="6" t="s">
        <v>9</v>
      </c>
      <c r="D95" s="6" t="s">
        <v>232</v>
      </c>
      <c r="E95" s="45" t="n">
        <v>4.7</v>
      </c>
      <c r="F95" s="27" t="n">
        <f aca="false">Narxlar!$C$58</f>
        <v>1</v>
      </c>
      <c r="G95" s="46" t="n">
        <f aca="false">E95*F95</f>
        <v>4.7</v>
      </c>
      <c r="H95" s="5" t="s">
        <v>148</v>
      </c>
      <c r="I95" s="7" t="n">
        <f aca="false">Narxlar!$C$6</f>
        <v>12</v>
      </c>
      <c r="J95" s="47" t="n">
        <f aca="false">G95*I95</f>
        <v>56.4</v>
      </c>
    </row>
    <row r="96" customFormat="false" ht="15" hidden="false" customHeight="false" outlineLevel="0" collapsed="false">
      <c r="A96" s="5" t="n">
        <v>73</v>
      </c>
      <c r="B96" s="6" t="s">
        <v>61</v>
      </c>
      <c r="C96" s="6" t="s">
        <v>9</v>
      </c>
      <c r="D96" s="6" t="s">
        <v>234</v>
      </c>
      <c r="E96" s="27" t="n">
        <f aca="false">Narxlar!$C$61</f>
        <v>0.9</v>
      </c>
      <c r="F96" s="27" t="n">
        <f aca="false">Narxlar!$C$58</f>
        <v>1</v>
      </c>
      <c r="G96" s="46" t="n">
        <f aca="false">E96*F96</f>
        <v>0.9</v>
      </c>
      <c r="H96" s="5" t="s">
        <v>148</v>
      </c>
      <c r="I96" s="7" t="n">
        <f aca="false">Narxlar!$C$6</f>
        <v>12</v>
      </c>
      <c r="J96" s="47" t="n">
        <f aca="false">G96*I96</f>
        <v>10.8</v>
      </c>
    </row>
    <row r="97" customFormat="false" ht="15" hidden="false" customHeight="false" outlineLevel="0" collapsed="false">
      <c r="A97" s="5" t="n">
        <v>74</v>
      </c>
      <c r="B97" s="6" t="s">
        <v>61</v>
      </c>
      <c r="C97" s="6" t="s">
        <v>10</v>
      </c>
      <c r="D97" s="6" t="s">
        <v>217</v>
      </c>
      <c r="E97" s="45" t="n">
        <v>7.7</v>
      </c>
      <c r="F97" s="27" t="n">
        <f aca="false">Narxlar!$C$62</f>
        <v>3.5</v>
      </c>
      <c r="G97" s="46" t="n">
        <f aca="false">E97*F97</f>
        <v>26.95</v>
      </c>
      <c r="H97" s="5" t="s">
        <v>148</v>
      </c>
      <c r="I97" s="7" t="n">
        <f aca="false">Narxlar!$C$7</f>
        <v>15.5</v>
      </c>
      <c r="J97" s="47" t="n">
        <f aca="false">G97*I97</f>
        <v>417.725</v>
      </c>
    </row>
    <row r="98" customFormat="false" ht="15" hidden="false" customHeight="false" outlineLevel="0" collapsed="false">
      <c r="A98" s="5" t="n">
        <v>75</v>
      </c>
      <c r="B98" s="6" t="s">
        <v>61</v>
      </c>
      <c r="C98" s="6" t="s">
        <v>10</v>
      </c>
      <c r="D98" s="6" t="s">
        <v>218</v>
      </c>
      <c r="E98" s="45" t="n">
        <v>7.7</v>
      </c>
      <c r="F98" s="27" t="n">
        <f aca="false">Narxlar!$C$62</f>
        <v>3.5</v>
      </c>
      <c r="G98" s="46" t="n">
        <f aca="false">E98*F98</f>
        <v>26.95</v>
      </c>
      <c r="H98" s="5" t="s">
        <v>148</v>
      </c>
      <c r="I98" s="7" t="n">
        <f aca="false">Narxlar!$C$7</f>
        <v>15.5</v>
      </c>
      <c r="J98" s="47" t="n">
        <f aca="false">G98*I98</f>
        <v>417.725</v>
      </c>
    </row>
    <row r="99" customFormat="false" ht="15" hidden="false" customHeight="false" outlineLevel="0" collapsed="false">
      <c r="A99" s="5" t="n">
        <v>76</v>
      </c>
      <c r="B99" s="6" t="s">
        <v>61</v>
      </c>
      <c r="C99" s="6" t="s">
        <v>11</v>
      </c>
      <c r="D99" s="6" t="s">
        <v>219</v>
      </c>
      <c r="E99" s="45"/>
      <c r="F99" s="46"/>
      <c r="G99" s="48" t="n">
        <v>1</v>
      </c>
      <c r="H99" s="5" t="s">
        <v>105</v>
      </c>
      <c r="I99" s="7" t="n">
        <f aca="false">Narxlar!$C$8</f>
        <v>1032</v>
      </c>
      <c r="J99" s="47" t="n">
        <f aca="false">G99*I99</f>
        <v>1032</v>
      </c>
    </row>
    <row r="100" customFormat="false" ht="15" hidden="false" customHeight="false" outlineLevel="0" collapsed="false">
      <c r="A100" s="5" t="n">
        <v>77</v>
      </c>
      <c r="B100" s="6" t="s">
        <v>61</v>
      </c>
      <c r="C100" s="6" t="s">
        <v>13</v>
      </c>
      <c r="D100" s="6" t="s">
        <v>220</v>
      </c>
      <c r="E100" s="45"/>
      <c r="F100" s="46"/>
      <c r="G100" s="48" t="n">
        <v>1</v>
      </c>
      <c r="H100" s="5" t="s">
        <v>221</v>
      </c>
      <c r="I100" s="7" t="n">
        <f aca="false">Narxlar!$C$12</f>
        <v>168</v>
      </c>
      <c r="J100" s="47" t="n">
        <f aca="false">G100*I100</f>
        <v>168</v>
      </c>
    </row>
    <row r="101" customFormat="false" ht="15" hidden="false" customHeight="false" outlineLevel="0" collapsed="false">
      <c r="A101" s="49"/>
      <c r="B101" s="49"/>
      <c r="C101" s="49"/>
      <c r="D101" s="11" t="s">
        <v>244</v>
      </c>
      <c r="E101" s="49"/>
      <c r="F101" s="49"/>
      <c r="G101" s="49"/>
      <c r="H101" s="49"/>
      <c r="I101" s="49"/>
      <c r="J101" s="12" t="n">
        <f aca="false">SUM(J89:J100)</f>
        <v>3170.85</v>
      </c>
    </row>
    <row r="103" customFormat="false" ht="15" hidden="false" customHeight="false" outlineLevel="0" collapsed="false">
      <c r="A103" s="25" t="s">
        <v>63</v>
      </c>
      <c r="B103" s="26"/>
      <c r="C103" s="26"/>
      <c r="D103" s="26"/>
      <c r="E103" s="26"/>
      <c r="F103" s="26"/>
      <c r="G103" s="26"/>
      <c r="H103" s="26"/>
      <c r="I103" s="26"/>
      <c r="J103" s="26"/>
    </row>
    <row r="104" customFormat="false" ht="15" hidden="false" customHeight="false" outlineLevel="0" collapsed="false">
      <c r="A104" s="5" t="n">
        <v>78</v>
      </c>
      <c r="B104" s="6" t="s">
        <v>63</v>
      </c>
      <c r="C104" s="6" t="s">
        <v>8</v>
      </c>
      <c r="D104" s="6" t="s">
        <v>226</v>
      </c>
      <c r="E104" s="45" t="n">
        <v>0.15</v>
      </c>
      <c r="F104" s="27" t="n">
        <f aca="false">Narxlar!$C$57</f>
        <v>2.5</v>
      </c>
      <c r="G104" s="46" t="n">
        <f aca="false">E104*F104</f>
        <v>0.375</v>
      </c>
      <c r="H104" s="5" t="s">
        <v>148</v>
      </c>
      <c r="I104" s="7" t="n">
        <f aca="false">Narxlar!$C$5</f>
        <v>55</v>
      </c>
      <c r="J104" s="47" t="n">
        <f aca="false">G104*I104</f>
        <v>20.625</v>
      </c>
    </row>
    <row r="105" customFormat="false" ht="15" hidden="false" customHeight="false" outlineLevel="0" collapsed="false">
      <c r="A105" s="5" t="n">
        <v>79</v>
      </c>
      <c r="B105" s="6" t="s">
        <v>63</v>
      </c>
      <c r="C105" s="6" t="s">
        <v>8</v>
      </c>
      <c r="D105" s="6" t="s">
        <v>226</v>
      </c>
      <c r="E105" s="45" t="n">
        <v>1.75</v>
      </c>
      <c r="F105" s="27" t="n">
        <f aca="false">Narxlar!$C$57</f>
        <v>2.5</v>
      </c>
      <c r="G105" s="46" t="n">
        <f aca="false">E105*F105</f>
        <v>4.375</v>
      </c>
      <c r="H105" s="5" t="s">
        <v>148</v>
      </c>
      <c r="I105" s="7" t="n">
        <f aca="false">Narxlar!$C$5</f>
        <v>55</v>
      </c>
      <c r="J105" s="47" t="n">
        <f aca="false">G105*I105</f>
        <v>240.625</v>
      </c>
    </row>
    <row r="106" customFormat="false" ht="15" hidden="false" customHeight="false" outlineLevel="0" collapsed="false">
      <c r="A106" s="5" t="n">
        <v>80</v>
      </c>
      <c r="B106" s="6" t="s">
        <v>63</v>
      </c>
      <c r="C106" s="6" t="s">
        <v>8</v>
      </c>
      <c r="D106" s="6" t="s">
        <v>227</v>
      </c>
      <c r="E106" s="27" t="n">
        <f aca="false">Narxlar!$C$61</f>
        <v>0.9</v>
      </c>
      <c r="F106" s="27" t="n">
        <f aca="false">Narxlar!$C$57</f>
        <v>2.5</v>
      </c>
      <c r="G106" s="46" t="n">
        <f aca="false">E106*F106</f>
        <v>2.25</v>
      </c>
      <c r="H106" s="5" t="s">
        <v>148</v>
      </c>
      <c r="I106" s="7" t="n">
        <f aca="false">Narxlar!$C$5</f>
        <v>55</v>
      </c>
      <c r="J106" s="47" t="n">
        <f aca="false">G106*I106</f>
        <v>123.75</v>
      </c>
    </row>
    <row r="107" customFormat="false" ht="15" hidden="false" customHeight="false" outlineLevel="0" collapsed="false">
      <c r="A107" s="5" t="n">
        <v>81</v>
      </c>
      <c r="B107" s="6" t="s">
        <v>63</v>
      </c>
      <c r="C107" s="6" t="s">
        <v>9</v>
      </c>
      <c r="D107" s="6" t="s">
        <v>213</v>
      </c>
      <c r="E107" s="45" t="n">
        <v>0.6</v>
      </c>
      <c r="F107" s="27" t="n">
        <f aca="false">Narxlar!$C$56</f>
        <v>3.5</v>
      </c>
      <c r="G107" s="46" t="n">
        <f aca="false">E107*F107</f>
        <v>2.1</v>
      </c>
      <c r="H107" s="5" t="s">
        <v>148</v>
      </c>
      <c r="I107" s="7" t="n">
        <f aca="false">Narxlar!$C$6</f>
        <v>12</v>
      </c>
      <c r="J107" s="47" t="n">
        <f aca="false">G107*I107</f>
        <v>25.2</v>
      </c>
    </row>
    <row r="108" customFormat="false" ht="15" hidden="false" customHeight="false" outlineLevel="0" collapsed="false">
      <c r="A108" s="5" t="n">
        <v>82</v>
      </c>
      <c r="B108" s="6" t="s">
        <v>63</v>
      </c>
      <c r="C108" s="6" t="s">
        <v>9</v>
      </c>
      <c r="D108" s="6" t="s">
        <v>245</v>
      </c>
      <c r="E108" s="45" t="n">
        <v>2.8</v>
      </c>
      <c r="F108" s="27" t="n">
        <f aca="false">Narxlar!$C$56</f>
        <v>3.5</v>
      </c>
      <c r="G108" s="46" t="n">
        <f aca="false">E108*F108</f>
        <v>9.8</v>
      </c>
      <c r="H108" s="5" t="s">
        <v>148</v>
      </c>
      <c r="I108" s="7" t="n">
        <f aca="false">Narxlar!$C$6</f>
        <v>12</v>
      </c>
      <c r="J108" s="47" t="n">
        <f aca="false">G108*I108</f>
        <v>117.6</v>
      </c>
    </row>
    <row r="109" customFormat="false" ht="15" hidden="false" customHeight="false" outlineLevel="0" collapsed="false">
      <c r="A109" s="5" t="n">
        <v>83</v>
      </c>
      <c r="B109" s="6" t="s">
        <v>63</v>
      </c>
      <c r="C109" s="6" t="s">
        <v>9</v>
      </c>
      <c r="D109" s="6" t="s">
        <v>246</v>
      </c>
      <c r="E109" s="45" t="n">
        <v>5.6</v>
      </c>
      <c r="F109" s="27" t="n">
        <f aca="false">Narxlar!$C$56</f>
        <v>3.5</v>
      </c>
      <c r="G109" s="46" t="n">
        <f aca="false">E109*F109</f>
        <v>19.6</v>
      </c>
      <c r="H109" s="5" t="s">
        <v>148</v>
      </c>
      <c r="I109" s="7" t="n">
        <f aca="false">Narxlar!$C$6</f>
        <v>12</v>
      </c>
      <c r="J109" s="47" t="n">
        <f aca="false">G109*I109</f>
        <v>235.2</v>
      </c>
    </row>
    <row r="110" customFormat="false" ht="15" hidden="false" customHeight="false" outlineLevel="0" collapsed="false">
      <c r="A110" s="5" t="n">
        <v>84</v>
      </c>
      <c r="B110" s="6" t="s">
        <v>63</v>
      </c>
      <c r="C110" s="6" t="s">
        <v>9</v>
      </c>
      <c r="D110" s="6" t="s">
        <v>232</v>
      </c>
      <c r="E110" s="45" t="n">
        <v>0.15</v>
      </c>
      <c r="F110" s="27" t="n">
        <f aca="false">Narxlar!$C$58</f>
        <v>1</v>
      </c>
      <c r="G110" s="46" t="n">
        <f aca="false">E110*F110</f>
        <v>0.15</v>
      </c>
      <c r="H110" s="5" t="s">
        <v>148</v>
      </c>
      <c r="I110" s="7" t="n">
        <f aca="false">Narxlar!$C$6</f>
        <v>12</v>
      </c>
      <c r="J110" s="47" t="n">
        <f aca="false">G110*I110</f>
        <v>1.8</v>
      </c>
    </row>
    <row r="111" customFormat="false" ht="15" hidden="false" customHeight="false" outlineLevel="0" collapsed="false">
      <c r="A111" s="5" t="n">
        <v>85</v>
      </c>
      <c r="B111" s="6" t="s">
        <v>63</v>
      </c>
      <c r="C111" s="6" t="s">
        <v>9</v>
      </c>
      <c r="D111" s="6" t="s">
        <v>232</v>
      </c>
      <c r="E111" s="45" t="n">
        <v>1.75</v>
      </c>
      <c r="F111" s="27" t="n">
        <f aca="false">Narxlar!$C$58</f>
        <v>1</v>
      </c>
      <c r="G111" s="46" t="n">
        <f aca="false">E111*F111</f>
        <v>1.75</v>
      </c>
      <c r="H111" s="5" t="s">
        <v>148</v>
      </c>
      <c r="I111" s="7" t="n">
        <f aca="false">Narxlar!$C$6</f>
        <v>12</v>
      </c>
      <c r="J111" s="47" t="n">
        <f aca="false">G111*I111</f>
        <v>21</v>
      </c>
    </row>
    <row r="112" customFormat="false" ht="15" hidden="false" customHeight="false" outlineLevel="0" collapsed="false">
      <c r="A112" s="5" t="n">
        <v>86</v>
      </c>
      <c r="B112" s="6" t="s">
        <v>63</v>
      </c>
      <c r="C112" s="6" t="s">
        <v>9</v>
      </c>
      <c r="D112" s="6" t="s">
        <v>234</v>
      </c>
      <c r="E112" s="27" t="n">
        <f aca="false">Narxlar!$C$61</f>
        <v>0.9</v>
      </c>
      <c r="F112" s="27" t="n">
        <f aca="false">Narxlar!$C$58</f>
        <v>1</v>
      </c>
      <c r="G112" s="46" t="n">
        <f aca="false">E112*F112</f>
        <v>0.9</v>
      </c>
      <c r="H112" s="5" t="s">
        <v>148</v>
      </c>
      <c r="I112" s="7" t="n">
        <f aca="false">Narxlar!$C$6</f>
        <v>12</v>
      </c>
      <c r="J112" s="47" t="n">
        <f aca="false">G112*I112</f>
        <v>10.8</v>
      </c>
    </row>
    <row r="113" customFormat="false" ht="15" hidden="false" customHeight="false" outlineLevel="0" collapsed="false">
      <c r="A113" s="5" t="n">
        <v>87</v>
      </c>
      <c r="B113" s="6" t="s">
        <v>63</v>
      </c>
      <c r="C113" s="6" t="s">
        <v>10</v>
      </c>
      <c r="D113" s="6" t="s">
        <v>247</v>
      </c>
      <c r="E113" s="45" t="n">
        <v>5.6</v>
      </c>
      <c r="F113" s="27" t="n">
        <f aca="false">Narxlar!$C$62</f>
        <v>3.5</v>
      </c>
      <c r="G113" s="46" t="n">
        <f aca="false">E113*F113</f>
        <v>19.6</v>
      </c>
      <c r="H113" s="5" t="s">
        <v>148</v>
      </c>
      <c r="I113" s="7" t="n">
        <f aca="false">Narxlar!$C$7</f>
        <v>15.5</v>
      </c>
      <c r="J113" s="47" t="n">
        <f aca="false">G113*I113</f>
        <v>303.8</v>
      </c>
    </row>
    <row r="114" customFormat="false" ht="15" hidden="false" customHeight="false" outlineLevel="0" collapsed="false">
      <c r="A114" s="5" t="n">
        <v>88</v>
      </c>
      <c r="B114" s="6" t="s">
        <v>63</v>
      </c>
      <c r="C114" s="6" t="s">
        <v>10</v>
      </c>
      <c r="D114" s="6" t="s">
        <v>246</v>
      </c>
      <c r="E114" s="45" t="n">
        <v>5.6</v>
      </c>
      <c r="F114" s="27" t="n">
        <f aca="false">Narxlar!$C$62</f>
        <v>3.5</v>
      </c>
      <c r="G114" s="46" t="n">
        <f aca="false">E114*F114</f>
        <v>19.6</v>
      </c>
      <c r="H114" s="5" t="s">
        <v>148</v>
      </c>
      <c r="I114" s="7" t="n">
        <f aca="false">Narxlar!$C$7</f>
        <v>15.5</v>
      </c>
      <c r="J114" s="47" t="n">
        <f aca="false">G114*I114</f>
        <v>303.8</v>
      </c>
    </row>
    <row r="115" customFormat="false" ht="15" hidden="false" customHeight="false" outlineLevel="0" collapsed="false">
      <c r="A115" s="5" t="n">
        <v>89</v>
      </c>
      <c r="B115" s="6" t="s">
        <v>63</v>
      </c>
      <c r="C115" s="6" t="s">
        <v>13</v>
      </c>
      <c r="D115" s="6" t="s">
        <v>220</v>
      </c>
      <c r="E115" s="45"/>
      <c r="F115" s="46"/>
      <c r="G115" s="48" t="n">
        <v>1</v>
      </c>
      <c r="H115" s="5" t="s">
        <v>221</v>
      </c>
      <c r="I115" s="7" t="n">
        <f aca="false">Narxlar!$C$12</f>
        <v>168</v>
      </c>
      <c r="J115" s="47" t="n">
        <f aca="false">G115*I115</f>
        <v>168</v>
      </c>
    </row>
    <row r="116" customFormat="false" ht="15" hidden="false" customHeight="false" outlineLevel="0" collapsed="false">
      <c r="A116" s="49"/>
      <c r="B116" s="49"/>
      <c r="C116" s="49"/>
      <c r="D116" s="11" t="s">
        <v>248</v>
      </c>
      <c r="E116" s="49"/>
      <c r="F116" s="49"/>
      <c r="G116" s="49"/>
      <c r="H116" s="49"/>
      <c r="I116" s="49"/>
      <c r="J116" s="12" t="n">
        <f aca="false">SUM(J104:J115)</f>
        <v>1572.2</v>
      </c>
    </row>
    <row r="118" customFormat="false" ht="15" hidden="false" customHeight="false" outlineLevel="0" collapsed="false">
      <c r="A118" s="25" t="s">
        <v>64</v>
      </c>
      <c r="B118" s="26"/>
      <c r="C118" s="26"/>
      <c r="D118" s="26"/>
      <c r="E118" s="26"/>
      <c r="F118" s="26"/>
      <c r="G118" s="26"/>
      <c r="H118" s="26"/>
      <c r="I118" s="26"/>
      <c r="J118" s="26"/>
    </row>
    <row r="119" customFormat="false" ht="15" hidden="false" customHeight="false" outlineLevel="0" collapsed="false">
      <c r="A119" s="5" t="n">
        <v>90</v>
      </c>
      <c r="B119" s="6" t="s">
        <v>64</v>
      </c>
      <c r="C119" s="6" t="s">
        <v>8</v>
      </c>
      <c r="D119" s="6" t="s">
        <v>226</v>
      </c>
      <c r="E119" s="45" t="n">
        <v>0.15</v>
      </c>
      <c r="F119" s="27" t="n">
        <f aca="false">Narxlar!$C$57</f>
        <v>2.5</v>
      </c>
      <c r="G119" s="46" t="n">
        <f aca="false">E119*F119</f>
        <v>0.375</v>
      </c>
      <c r="H119" s="5" t="s">
        <v>148</v>
      </c>
      <c r="I119" s="7" t="n">
        <f aca="false">Narxlar!$C$5</f>
        <v>55</v>
      </c>
      <c r="J119" s="47" t="n">
        <f aca="false">G119*I119</f>
        <v>20.625</v>
      </c>
    </row>
    <row r="120" customFormat="false" ht="15" hidden="false" customHeight="false" outlineLevel="0" collapsed="false">
      <c r="A120" s="5" t="n">
        <v>91</v>
      </c>
      <c r="B120" s="6" t="s">
        <v>64</v>
      </c>
      <c r="C120" s="6" t="s">
        <v>8</v>
      </c>
      <c r="D120" s="6" t="s">
        <v>226</v>
      </c>
      <c r="E120" s="45" t="n">
        <v>1.75</v>
      </c>
      <c r="F120" s="27" t="n">
        <f aca="false">Narxlar!$C$57</f>
        <v>2.5</v>
      </c>
      <c r="G120" s="46" t="n">
        <f aca="false">E120*F120</f>
        <v>4.375</v>
      </c>
      <c r="H120" s="5" t="s">
        <v>148</v>
      </c>
      <c r="I120" s="7" t="n">
        <f aca="false">Narxlar!$C$5</f>
        <v>55</v>
      </c>
      <c r="J120" s="47" t="n">
        <f aca="false">G120*I120</f>
        <v>240.625</v>
      </c>
    </row>
    <row r="121" customFormat="false" ht="15" hidden="false" customHeight="false" outlineLevel="0" collapsed="false">
      <c r="A121" s="5" t="n">
        <v>92</v>
      </c>
      <c r="B121" s="6" t="s">
        <v>64</v>
      </c>
      <c r="C121" s="6" t="s">
        <v>8</v>
      </c>
      <c r="D121" s="6" t="s">
        <v>227</v>
      </c>
      <c r="E121" s="27" t="n">
        <f aca="false">Narxlar!$C$61</f>
        <v>0.9</v>
      </c>
      <c r="F121" s="27" t="n">
        <f aca="false">Narxlar!$C$57</f>
        <v>2.5</v>
      </c>
      <c r="G121" s="46" t="n">
        <f aca="false">E121*F121</f>
        <v>2.25</v>
      </c>
      <c r="H121" s="5" t="s">
        <v>148</v>
      </c>
      <c r="I121" s="7" t="n">
        <f aca="false">Narxlar!$C$5</f>
        <v>55</v>
      </c>
      <c r="J121" s="47" t="n">
        <f aca="false">G121*I121</f>
        <v>123.75</v>
      </c>
    </row>
    <row r="122" customFormat="false" ht="15" hidden="false" customHeight="false" outlineLevel="0" collapsed="false">
      <c r="A122" s="5" t="n">
        <v>93</v>
      </c>
      <c r="B122" s="6" t="s">
        <v>64</v>
      </c>
      <c r="C122" s="6" t="s">
        <v>9</v>
      </c>
      <c r="D122" s="6" t="s">
        <v>249</v>
      </c>
      <c r="E122" s="45" t="n">
        <v>0.9</v>
      </c>
      <c r="F122" s="27" t="n">
        <f aca="false">Narxlar!$C$56</f>
        <v>3.5</v>
      </c>
      <c r="G122" s="46" t="n">
        <f aca="false">E122*F122</f>
        <v>3.15</v>
      </c>
      <c r="H122" s="5" t="s">
        <v>148</v>
      </c>
      <c r="I122" s="7" t="n">
        <f aca="false">Narxlar!$C$6</f>
        <v>12</v>
      </c>
      <c r="J122" s="47" t="n">
        <f aca="false">G122*I122</f>
        <v>37.8</v>
      </c>
    </row>
    <row r="123" customFormat="false" ht="15" hidden="false" customHeight="false" outlineLevel="0" collapsed="false">
      <c r="A123" s="5" t="n">
        <v>94</v>
      </c>
      <c r="B123" s="6" t="s">
        <v>64</v>
      </c>
      <c r="C123" s="6" t="s">
        <v>9</v>
      </c>
      <c r="D123" s="6" t="s">
        <v>245</v>
      </c>
      <c r="E123" s="45" t="n">
        <v>2.8</v>
      </c>
      <c r="F123" s="27" t="n">
        <f aca="false">Narxlar!$C$56</f>
        <v>3.5</v>
      </c>
      <c r="G123" s="46" t="n">
        <f aca="false">E123*F123</f>
        <v>9.8</v>
      </c>
      <c r="H123" s="5" t="s">
        <v>148</v>
      </c>
      <c r="I123" s="7" t="n">
        <f aca="false">Narxlar!$C$6</f>
        <v>12</v>
      </c>
      <c r="J123" s="47" t="n">
        <f aca="false">G123*I123</f>
        <v>117.6</v>
      </c>
    </row>
    <row r="124" customFormat="false" ht="15" hidden="false" customHeight="false" outlineLevel="0" collapsed="false">
      <c r="A124" s="5" t="n">
        <v>95</v>
      </c>
      <c r="B124" s="6" t="s">
        <v>64</v>
      </c>
      <c r="C124" s="6" t="s">
        <v>9</v>
      </c>
      <c r="D124" s="6" t="s">
        <v>250</v>
      </c>
      <c r="E124" s="45" t="n">
        <v>5.6</v>
      </c>
      <c r="F124" s="27" t="n">
        <f aca="false">Narxlar!$C$56</f>
        <v>3.5</v>
      </c>
      <c r="G124" s="46" t="n">
        <f aca="false">E124*F124</f>
        <v>19.6</v>
      </c>
      <c r="H124" s="5" t="s">
        <v>148</v>
      </c>
      <c r="I124" s="7" t="n">
        <f aca="false">Narxlar!$C$6</f>
        <v>12</v>
      </c>
      <c r="J124" s="47" t="n">
        <f aca="false">G124*I124</f>
        <v>235.2</v>
      </c>
    </row>
    <row r="125" customFormat="false" ht="15" hidden="false" customHeight="false" outlineLevel="0" collapsed="false">
      <c r="A125" s="5" t="n">
        <v>96</v>
      </c>
      <c r="B125" s="6" t="s">
        <v>64</v>
      </c>
      <c r="C125" s="6" t="s">
        <v>9</v>
      </c>
      <c r="D125" s="6" t="s">
        <v>232</v>
      </c>
      <c r="E125" s="45" t="n">
        <v>0.15</v>
      </c>
      <c r="F125" s="27" t="n">
        <f aca="false">Narxlar!$C$58</f>
        <v>1</v>
      </c>
      <c r="G125" s="46" t="n">
        <f aca="false">E125*F125</f>
        <v>0.15</v>
      </c>
      <c r="H125" s="5" t="s">
        <v>148</v>
      </c>
      <c r="I125" s="7" t="n">
        <f aca="false">Narxlar!$C$6</f>
        <v>12</v>
      </c>
      <c r="J125" s="47" t="n">
        <f aca="false">G125*I125</f>
        <v>1.8</v>
      </c>
    </row>
    <row r="126" customFormat="false" ht="15" hidden="false" customHeight="false" outlineLevel="0" collapsed="false">
      <c r="A126" s="5" t="n">
        <v>97</v>
      </c>
      <c r="B126" s="6" t="s">
        <v>64</v>
      </c>
      <c r="C126" s="6" t="s">
        <v>9</v>
      </c>
      <c r="D126" s="6" t="s">
        <v>232</v>
      </c>
      <c r="E126" s="45" t="n">
        <v>1.75</v>
      </c>
      <c r="F126" s="27" t="n">
        <f aca="false">Narxlar!$C$58</f>
        <v>1</v>
      </c>
      <c r="G126" s="46" t="n">
        <f aca="false">E126*F126</f>
        <v>1.75</v>
      </c>
      <c r="H126" s="5" t="s">
        <v>148</v>
      </c>
      <c r="I126" s="7" t="n">
        <f aca="false">Narxlar!$C$6</f>
        <v>12</v>
      </c>
      <c r="J126" s="47" t="n">
        <f aca="false">G126*I126</f>
        <v>21</v>
      </c>
    </row>
    <row r="127" customFormat="false" ht="15" hidden="false" customHeight="false" outlineLevel="0" collapsed="false">
      <c r="A127" s="5" t="n">
        <v>98</v>
      </c>
      <c r="B127" s="6" t="s">
        <v>64</v>
      </c>
      <c r="C127" s="6" t="s">
        <v>9</v>
      </c>
      <c r="D127" s="6" t="s">
        <v>234</v>
      </c>
      <c r="E127" s="27" t="n">
        <f aca="false">Narxlar!$C$61</f>
        <v>0.9</v>
      </c>
      <c r="F127" s="27" t="n">
        <f aca="false">Narxlar!$C$58</f>
        <v>1</v>
      </c>
      <c r="G127" s="46" t="n">
        <f aca="false">E127*F127</f>
        <v>0.9</v>
      </c>
      <c r="H127" s="5" t="s">
        <v>148</v>
      </c>
      <c r="I127" s="7" t="n">
        <f aca="false">Narxlar!$C$6</f>
        <v>12</v>
      </c>
      <c r="J127" s="47" t="n">
        <f aca="false">G127*I127</f>
        <v>10.8</v>
      </c>
    </row>
    <row r="128" customFormat="false" ht="15" hidden="false" customHeight="false" outlineLevel="0" collapsed="false">
      <c r="A128" s="5" t="n">
        <v>99</v>
      </c>
      <c r="B128" s="6" t="s">
        <v>64</v>
      </c>
      <c r="C128" s="6" t="s">
        <v>10</v>
      </c>
      <c r="D128" s="6" t="s">
        <v>250</v>
      </c>
      <c r="E128" s="45" t="n">
        <v>5.6</v>
      </c>
      <c r="F128" s="27" t="n">
        <f aca="false">Narxlar!$C$62</f>
        <v>3.5</v>
      </c>
      <c r="G128" s="46" t="n">
        <f aca="false">E128*F128</f>
        <v>19.6</v>
      </c>
      <c r="H128" s="5" t="s">
        <v>148</v>
      </c>
      <c r="I128" s="7" t="n">
        <f aca="false">Narxlar!$C$7</f>
        <v>15.5</v>
      </c>
      <c r="J128" s="47" t="n">
        <f aca="false">G128*I128</f>
        <v>303.8</v>
      </c>
    </row>
    <row r="129" customFormat="false" ht="15" hidden="false" customHeight="false" outlineLevel="0" collapsed="false">
      <c r="A129" s="5" t="n">
        <v>100</v>
      </c>
      <c r="B129" s="6" t="s">
        <v>64</v>
      </c>
      <c r="C129" s="6" t="s">
        <v>10</v>
      </c>
      <c r="D129" s="6" t="s">
        <v>251</v>
      </c>
      <c r="E129" s="45" t="n">
        <v>5.6</v>
      </c>
      <c r="F129" s="27" t="n">
        <f aca="false">Narxlar!$C$62</f>
        <v>3.5</v>
      </c>
      <c r="G129" s="46" t="n">
        <f aca="false">E129*F129</f>
        <v>19.6</v>
      </c>
      <c r="H129" s="5" t="s">
        <v>148</v>
      </c>
      <c r="I129" s="7" t="n">
        <f aca="false">Narxlar!$C$7</f>
        <v>15.5</v>
      </c>
      <c r="J129" s="47" t="n">
        <f aca="false">G129*I129</f>
        <v>303.8</v>
      </c>
    </row>
    <row r="130" customFormat="false" ht="15" hidden="false" customHeight="false" outlineLevel="0" collapsed="false">
      <c r="A130" s="5" t="n">
        <v>101</v>
      </c>
      <c r="B130" s="6" t="s">
        <v>64</v>
      </c>
      <c r="C130" s="6" t="s">
        <v>13</v>
      </c>
      <c r="D130" s="6" t="s">
        <v>220</v>
      </c>
      <c r="E130" s="45"/>
      <c r="F130" s="46"/>
      <c r="G130" s="48" t="n">
        <v>1</v>
      </c>
      <c r="H130" s="5" t="s">
        <v>221</v>
      </c>
      <c r="I130" s="7" t="n">
        <f aca="false">Narxlar!$C$12</f>
        <v>168</v>
      </c>
      <c r="J130" s="47" t="n">
        <f aca="false">G130*I130</f>
        <v>168</v>
      </c>
    </row>
    <row r="131" customFormat="false" ht="15" hidden="false" customHeight="false" outlineLevel="0" collapsed="false">
      <c r="A131" s="49"/>
      <c r="B131" s="49"/>
      <c r="C131" s="49"/>
      <c r="D131" s="11" t="s">
        <v>252</v>
      </c>
      <c r="E131" s="49"/>
      <c r="F131" s="49"/>
      <c r="G131" s="49"/>
      <c r="H131" s="49"/>
      <c r="I131" s="49"/>
      <c r="J131" s="12" t="n">
        <f aca="false">SUM(J119:J130)</f>
        <v>1584.8</v>
      </c>
    </row>
    <row r="133" customFormat="false" ht="15" hidden="false" customHeight="false" outlineLevel="0" collapsed="false">
      <c r="A133" s="25" t="s">
        <v>65</v>
      </c>
      <c r="B133" s="26"/>
      <c r="C133" s="26"/>
      <c r="D133" s="26"/>
      <c r="E133" s="26"/>
      <c r="F133" s="26"/>
      <c r="G133" s="26"/>
      <c r="H133" s="26"/>
      <c r="I133" s="26"/>
      <c r="J133" s="26"/>
    </row>
    <row r="134" customFormat="false" ht="15" hidden="false" customHeight="false" outlineLevel="0" collapsed="false">
      <c r="A134" s="5" t="n">
        <v>102</v>
      </c>
      <c r="B134" s="6" t="s">
        <v>65</v>
      </c>
      <c r="C134" s="6" t="s">
        <v>8</v>
      </c>
      <c r="D134" s="6" t="s">
        <v>211</v>
      </c>
      <c r="E134" s="45" t="n">
        <v>0.15</v>
      </c>
      <c r="F134" s="27" t="n">
        <f aca="false">Narxlar!$C$57</f>
        <v>2.5</v>
      </c>
      <c r="G134" s="46" t="n">
        <f aca="false">E134*F134</f>
        <v>0.375</v>
      </c>
      <c r="H134" s="5" t="s">
        <v>148</v>
      </c>
      <c r="I134" s="7" t="n">
        <f aca="false">Narxlar!$C$5</f>
        <v>55</v>
      </c>
      <c r="J134" s="47" t="n">
        <f aca="false">G134*I134</f>
        <v>20.625</v>
      </c>
    </row>
    <row r="135" customFormat="false" ht="15" hidden="false" customHeight="false" outlineLevel="0" collapsed="false">
      <c r="A135" s="5" t="n">
        <v>103</v>
      </c>
      <c r="B135" s="6" t="s">
        <v>65</v>
      </c>
      <c r="C135" s="6" t="s">
        <v>8</v>
      </c>
      <c r="D135" s="6" t="s">
        <v>211</v>
      </c>
      <c r="E135" s="45" t="n">
        <v>1.8</v>
      </c>
      <c r="F135" s="27" t="n">
        <f aca="false">Narxlar!$C$57</f>
        <v>2.5</v>
      </c>
      <c r="G135" s="46" t="n">
        <f aca="false">E135*F135</f>
        <v>4.5</v>
      </c>
      <c r="H135" s="5" t="s">
        <v>148</v>
      </c>
      <c r="I135" s="7" t="n">
        <f aca="false">Narxlar!$C$5</f>
        <v>55</v>
      </c>
      <c r="J135" s="47" t="n">
        <f aca="false">G135*I135</f>
        <v>247.5</v>
      </c>
    </row>
    <row r="136" customFormat="false" ht="15" hidden="false" customHeight="false" outlineLevel="0" collapsed="false">
      <c r="A136" s="5" t="n">
        <v>104</v>
      </c>
      <c r="B136" s="6" t="s">
        <v>65</v>
      </c>
      <c r="C136" s="6" t="s">
        <v>8</v>
      </c>
      <c r="D136" s="6" t="s">
        <v>212</v>
      </c>
      <c r="E136" s="27" t="n">
        <f aca="false">Narxlar!$C$61</f>
        <v>0.9</v>
      </c>
      <c r="F136" s="27" t="n">
        <f aca="false">Narxlar!$C$57</f>
        <v>2.5</v>
      </c>
      <c r="G136" s="46" t="n">
        <f aca="false">E136*F136</f>
        <v>2.25</v>
      </c>
      <c r="H136" s="5" t="s">
        <v>148</v>
      </c>
      <c r="I136" s="7" t="n">
        <f aca="false">Narxlar!$C$5</f>
        <v>55</v>
      </c>
      <c r="J136" s="47" t="n">
        <f aca="false">G136*I136</f>
        <v>123.75</v>
      </c>
    </row>
    <row r="137" customFormat="false" ht="15" hidden="false" customHeight="false" outlineLevel="0" collapsed="false">
      <c r="A137" s="5" t="n">
        <v>105</v>
      </c>
      <c r="B137" s="6" t="s">
        <v>65</v>
      </c>
      <c r="C137" s="6" t="s">
        <v>9</v>
      </c>
      <c r="D137" s="6" t="s">
        <v>253</v>
      </c>
      <c r="E137" s="45" t="n">
        <v>0.9</v>
      </c>
      <c r="F137" s="27" t="n">
        <f aca="false">Narxlar!$C$56</f>
        <v>3.5</v>
      </c>
      <c r="G137" s="46" t="n">
        <f aca="false">E137*F137</f>
        <v>3.15</v>
      </c>
      <c r="H137" s="5" t="s">
        <v>148</v>
      </c>
      <c r="I137" s="7" t="n">
        <f aca="false">Narxlar!$C$6</f>
        <v>12</v>
      </c>
      <c r="J137" s="47" t="n">
        <f aca="false">G137*I137</f>
        <v>37.8</v>
      </c>
    </row>
    <row r="138" customFormat="false" ht="15" hidden="false" customHeight="false" outlineLevel="0" collapsed="false">
      <c r="A138" s="5" t="n">
        <v>106</v>
      </c>
      <c r="B138" s="6" t="s">
        <v>65</v>
      </c>
      <c r="C138" s="6" t="s">
        <v>9</v>
      </c>
      <c r="D138" s="6" t="s">
        <v>214</v>
      </c>
      <c r="E138" s="45" t="n">
        <v>0.15</v>
      </c>
      <c r="F138" s="27" t="n">
        <f aca="false">Narxlar!$C$58</f>
        <v>1</v>
      </c>
      <c r="G138" s="46" t="n">
        <f aca="false">E138*F138</f>
        <v>0.15</v>
      </c>
      <c r="H138" s="5" t="s">
        <v>148</v>
      </c>
      <c r="I138" s="7" t="n">
        <f aca="false">Narxlar!$C$6</f>
        <v>12</v>
      </c>
      <c r="J138" s="47" t="n">
        <f aca="false">G138*I138</f>
        <v>1.8</v>
      </c>
    </row>
    <row r="139" customFormat="false" ht="15" hidden="false" customHeight="false" outlineLevel="0" collapsed="false">
      <c r="A139" s="5" t="n">
        <v>107</v>
      </c>
      <c r="B139" s="6" t="s">
        <v>65</v>
      </c>
      <c r="C139" s="6" t="s">
        <v>9</v>
      </c>
      <c r="D139" s="6" t="s">
        <v>214</v>
      </c>
      <c r="E139" s="45" t="n">
        <v>1.8</v>
      </c>
      <c r="F139" s="27" t="n">
        <f aca="false">Narxlar!$C$58</f>
        <v>1</v>
      </c>
      <c r="G139" s="46" t="n">
        <f aca="false">E139*F139</f>
        <v>1.8</v>
      </c>
      <c r="H139" s="5" t="s">
        <v>148</v>
      </c>
      <c r="I139" s="7" t="n">
        <f aca="false">Narxlar!$C$6</f>
        <v>12</v>
      </c>
      <c r="J139" s="47" t="n">
        <f aca="false">G139*I139</f>
        <v>21.6</v>
      </c>
    </row>
    <row r="140" customFormat="false" ht="15" hidden="false" customHeight="false" outlineLevel="0" collapsed="false">
      <c r="A140" s="5" t="n">
        <v>108</v>
      </c>
      <c r="B140" s="6" t="s">
        <v>65</v>
      </c>
      <c r="C140" s="6" t="s">
        <v>9</v>
      </c>
      <c r="D140" s="6" t="s">
        <v>254</v>
      </c>
      <c r="E140" s="45" t="n">
        <v>5.6</v>
      </c>
      <c r="F140" s="27" t="n">
        <f aca="false">Narxlar!$C$56</f>
        <v>3.5</v>
      </c>
      <c r="G140" s="46" t="n">
        <f aca="false">E140*F140</f>
        <v>19.6</v>
      </c>
      <c r="H140" s="5" t="s">
        <v>148</v>
      </c>
      <c r="I140" s="7" t="n">
        <f aca="false">Narxlar!$C$6</f>
        <v>12</v>
      </c>
      <c r="J140" s="47" t="n">
        <f aca="false">G140*I140</f>
        <v>235.2</v>
      </c>
    </row>
    <row r="141" customFormat="false" ht="15" hidden="false" customHeight="false" outlineLevel="0" collapsed="false">
      <c r="A141" s="5" t="n">
        <v>109</v>
      </c>
      <c r="B141" s="6" t="s">
        <v>65</v>
      </c>
      <c r="C141" s="6" t="s">
        <v>9</v>
      </c>
      <c r="D141" s="6" t="s">
        <v>255</v>
      </c>
      <c r="E141" s="45" t="n">
        <v>2.85</v>
      </c>
      <c r="F141" s="27" t="n">
        <f aca="false">Narxlar!$C$56</f>
        <v>3.5</v>
      </c>
      <c r="G141" s="46" t="n">
        <f aca="false">E141*F141</f>
        <v>9.975</v>
      </c>
      <c r="H141" s="5" t="s">
        <v>148</v>
      </c>
      <c r="I141" s="7" t="n">
        <f aca="false">Narxlar!$C$6</f>
        <v>12</v>
      </c>
      <c r="J141" s="47" t="n">
        <f aca="false">G141*I141</f>
        <v>119.7</v>
      </c>
    </row>
    <row r="142" customFormat="false" ht="15" hidden="false" customHeight="false" outlineLevel="0" collapsed="false">
      <c r="A142" s="5" t="n">
        <v>110</v>
      </c>
      <c r="B142" s="6" t="s">
        <v>65</v>
      </c>
      <c r="C142" s="6" t="s">
        <v>9</v>
      </c>
      <c r="D142" s="6" t="s">
        <v>216</v>
      </c>
      <c r="E142" s="27" t="n">
        <f aca="false">Narxlar!$C$61</f>
        <v>0.9</v>
      </c>
      <c r="F142" s="27" t="n">
        <f aca="false">Narxlar!$C$58</f>
        <v>1</v>
      </c>
      <c r="G142" s="46" t="n">
        <f aca="false">E142*F142</f>
        <v>0.9</v>
      </c>
      <c r="H142" s="5" t="s">
        <v>148</v>
      </c>
      <c r="I142" s="7" t="n">
        <f aca="false">Narxlar!$C$6</f>
        <v>12</v>
      </c>
      <c r="J142" s="47" t="n">
        <f aca="false">G142*I142</f>
        <v>10.8</v>
      </c>
    </row>
    <row r="143" customFormat="false" ht="15" hidden="false" customHeight="false" outlineLevel="0" collapsed="false">
      <c r="A143" s="5" t="n">
        <v>111</v>
      </c>
      <c r="B143" s="6" t="s">
        <v>65</v>
      </c>
      <c r="C143" s="6" t="s">
        <v>10</v>
      </c>
      <c r="D143" s="6" t="s">
        <v>246</v>
      </c>
      <c r="E143" s="45" t="n">
        <v>5.6</v>
      </c>
      <c r="F143" s="27" t="n">
        <f aca="false">Narxlar!$C$62</f>
        <v>3.5</v>
      </c>
      <c r="G143" s="46" t="n">
        <f aca="false">E143*F143</f>
        <v>19.6</v>
      </c>
      <c r="H143" s="5" t="s">
        <v>148</v>
      </c>
      <c r="I143" s="7" t="n">
        <f aca="false">Narxlar!$C$7</f>
        <v>15.5</v>
      </c>
      <c r="J143" s="47" t="n">
        <f aca="false">G143*I143</f>
        <v>303.8</v>
      </c>
    </row>
    <row r="144" customFormat="false" ht="15" hidden="false" customHeight="false" outlineLevel="0" collapsed="false">
      <c r="A144" s="5" t="n">
        <v>112</v>
      </c>
      <c r="B144" s="6" t="s">
        <v>65</v>
      </c>
      <c r="C144" s="6" t="s">
        <v>10</v>
      </c>
      <c r="D144" s="6" t="s">
        <v>254</v>
      </c>
      <c r="E144" s="45" t="n">
        <v>5.6</v>
      </c>
      <c r="F144" s="27" t="n">
        <f aca="false">Narxlar!$C$62</f>
        <v>3.5</v>
      </c>
      <c r="G144" s="46" t="n">
        <f aca="false">E144*F144</f>
        <v>19.6</v>
      </c>
      <c r="H144" s="5" t="s">
        <v>148</v>
      </c>
      <c r="I144" s="7" t="n">
        <f aca="false">Narxlar!$C$7</f>
        <v>15.5</v>
      </c>
      <c r="J144" s="47" t="n">
        <f aca="false">G144*I144</f>
        <v>303.8</v>
      </c>
    </row>
    <row r="145" customFormat="false" ht="15" hidden="false" customHeight="false" outlineLevel="0" collapsed="false">
      <c r="A145" s="5" t="n">
        <v>113</v>
      </c>
      <c r="B145" s="6" t="s">
        <v>65</v>
      </c>
      <c r="C145" s="6" t="s">
        <v>13</v>
      </c>
      <c r="D145" s="6" t="s">
        <v>220</v>
      </c>
      <c r="E145" s="45"/>
      <c r="F145" s="46"/>
      <c r="G145" s="48" t="n">
        <v>1</v>
      </c>
      <c r="H145" s="5" t="s">
        <v>221</v>
      </c>
      <c r="I145" s="7" t="n">
        <f aca="false">Narxlar!$C$12</f>
        <v>168</v>
      </c>
      <c r="J145" s="47" t="n">
        <f aca="false">G145*I145</f>
        <v>168</v>
      </c>
    </row>
    <row r="146" customFormat="false" ht="15" hidden="false" customHeight="false" outlineLevel="0" collapsed="false">
      <c r="A146" s="49"/>
      <c r="B146" s="49"/>
      <c r="C146" s="49"/>
      <c r="D146" s="11" t="s">
        <v>256</v>
      </c>
      <c r="E146" s="49"/>
      <c r="F146" s="49"/>
      <c r="G146" s="49"/>
      <c r="H146" s="49"/>
      <c r="I146" s="49"/>
      <c r="J146" s="12" t="n">
        <f aca="false">SUM(J134:J145)</f>
        <v>1594.375</v>
      </c>
    </row>
    <row r="148" customFormat="false" ht="15" hidden="false" customHeight="false" outlineLevel="0" collapsed="false">
      <c r="A148" s="25" t="s">
        <v>66</v>
      </c>
      <c r="B148" s="26"/>
      <c r="C148" s="26"/>
      <c r="D148" s="26"/>
      <c r="E148" s="26"/>
      <c r="F148" s="26"/>
      <c r="G148" s="26"/>
      <c r="H148" s="26"/>
      <c r="I148" s="26"/>
      <c r="J148" s="26"/>
    </row>
    <row r="149" customFormat="false" ht="15" hidden="false" customHeight="false" outlineLevel="0" collapsed="false">
      <c r="A149" s="5" t="n">
        <v>114</v>
      </c>
      <c r="B149" s="6" t="s">
        <v>66</v>
      </c>
      <c r="C149" s="6" t="s">
        <v>8</v>
      </c>
      <c r="D149" s="6" t="s">
        <v>211</v>
      </c>
      <c r="E149" s="45" t="n">
        <v>0.15</v>
      </c>
      <c r="F149" s="27" t="n">
        <f aca="false">Narxlar!$C$57</f>
        <v>2.5</v>
      </c>
      <c r="G149" s="46" t="n">
        <f aca="false">E149*F149</f>
        <v>0.375</v>
      </c>
      <c r="H149" s="5" t="s">
        <v>148</v>
      </c>
      <c r="I149" s="7" t="n">
        <f aca="false">Narxlar!$C$5</f>
        <v>55</v>
      </c>
      <c r="J149" s="47" t="n">
        <f aca="false">G149*I149</f>
        <v>20.625</v>
      </c>
    </row>
    <row r="150" customFormat="false" ht="15" hidden="false" customHeight="false" outlineLevel="0" collapsed="false">
      <c r="A150" s="5" t="n">
        <v>115</v>
      </c>
      <c r="B150" s="6" t="s">
        <v>66</v>
      </c>
      <c r="C150" s="6" t="s">
        <v>8</v>
      </c>
      <c r="D150" s="6" t="s">
        <v>211</v>
      </c>
      <c r="E150" s="45" t="n">
        <v>1.8</v>
      </c>
      <c r="F150" s="27" t="n">
        <f aca="false">Narxlar!$C$57</f>
        <v>2.5</v>
      </c>
      <c r="G150" s="46" t="n">
        <f aca="false">E150*F150</f>
        <v>4.5</v>
      </c>
      <c r="H150" s="5" t="s">
        <v>148</v>
      </c>
      <c r="I150" s="7" t="n">
        <f aca="false">Narxlar!$C$5</f>
        <v>55</v>
      </c>
      <c r="J150" s="47" t="n">
        <f aca="false">G150*I150</f>
        <v>247.5</v>
      </c>
    </row>
    <row r="151" customFormat="false" ht="15" hidden="false" customHeight="false" outlineLevel="0" collapsed="false">
      <c r="A151" s="5" t="n">
        <v>116</v>
      </c>
      <c r="B151" s="6" t="s">
        <v>66</v>
      </c>
      <c r="C151" s="6" t="s">
        <v>8</v>
      </c>
      <c r="D151" s="6" t="s">
        <v>212</v>
      </c>
      <c r="E151" s="27" t="n">
        <f aca="false">Narxlar!$C$61</f>
        <v>0.9</v>
      </c>
      <c r="F151" s="27" t="n">
        <f aca="false">Narxlar!$C$57</f>
        <v>2.5</v>
      </c>
      <c r="G151" s="46" t="n">
        <f aca="false">E151*F151</f>
        <v>2.25</v>
      </c>
      <c r="H151" s="5" t="s">
        <v>148</v>
      </c>
      <c r="I151" s="7" t="n">
        <f aca="false">Narxlar!$C$5</f>
        <v>55</v>
      </c>
      <c r="J151" s="47" t="n">
        <f aca="false">G151*I151</f>
        <v>123.75</v>
      </c>
    </row>
    <row r="152" customFormat="false" ht="15" hidden="false" customHeight="false" outlineLevel="0" collapsed="false">
      <c r="A152" s="5" t="n">
        <v>117</v>
      </c>
      <c r="B152" s="6" t="s">
        <v>66</v>
      </c>
      <c r="C152" s="6" t="s">
        <v>9</v>
      </c>
      <c r="D152" s="6" t="s">
        <v>257</v>
      </c>
      <c r="E152" s="45" t="n">
        <v>1</v>
      </c>
      <c r="F152" s="27" t="n">
        <f aca="false">Narxlar!$C$56</f>
        <v>3.5</v>
      </c>
      <c r="G152" s="46" t="n">
        <f aca="false">E152*F152</f>
        <v>3.5</v>
      </c>
      <c r="H152" s="5" t="s">
        <v>148</v>
      </c>
      <c r="I152" s="7" t="n">
        <f aca="false">Narxlar!$C$6</f>
        <v>12</v>
      </c>
      <c r="J152" s="47" t="n">
        <f aca="false">G152*I152</f>
        <v>42</v>
      </c>
    </row>
    <row r="153" customFormat="false" ht="15" hidden="false" customHeight="false" outlineLevel="0" collapsed="false">
      <c r="A153" s="5" t="n">
        <v>118</v>
      </c>
      <c r="B153" s="6" t="s">
        <v>66</v>
      </c>
      <c r="C153" s="6" t="s">
        <v>9</v>
      </c>
      <c r="D153" s="6" t="s">
        <v>214</v>
      </c>
      <c r="E153" s="45" t="n">
        <v>0.15</v>
      </c>
      <c r="F153" s="27" t="n">
        <f aca="false">Narxlar!$C$58</f>
        <v>1</v>
      </c>
      <c r="G153" s="46" t="n">
        <f aca="false">E153*F153</f>
        <v>0.15</v>
      </c>
      <c r="H153" s="5" t="s">
        <v>148</v>
      </c>
      <c r="I153" s="7" t="n">
        <f aca="false">Narxlar!$C$6</f>
        <v>12</v>
      </c>
      <c r="J153" s="47" t="n">
        <f aca="false">G153*I153</f>
        <v>1.8</v>
      </c>
    </row>
    <row r="154" customFormat="false" ht="15" hidden="false" customHeight="false" outlineLevel="0" collapsed="false">
      <c r="A154" s="5" t="n">
        <v>119</v>
      </c>
      <c r="B154" s="6" t="s">
        <v>66</v>
      </c>
      <c r="C154" s="6" t="s">
        <v>9</v>
      </c>
      <c r="D154" s="6" t="s">
        <v>214</v>
      </c>
      <c r="E154" s="45" t="n">
        <v>1.8</v>
      </c>
      <c r="F154" s="27" t="n">
        <f aca="false">Narxlar!$C$58</f>
        <v>1</v>
      </c>
      <c r="G154" s="46" t="n">
        <f aca="false">E154*F154</f>
        <v>1.8</v>
      </c>
      <c r="H154" s="5" t="s">
        <v>148</v>
      </c>
      <c r="I154" s="7" t="n">
        <f aca="false">Narxlar!$C$6</f>
        <v>12</v>
      </c>
      <c r="J154" s="47" t="n">
        <f aca="false">G154*I154</f>
        <v>21.6</v>
      </c>
    </row>
    <row r="155" customFormat="false" ht="15" hidden="false" customHeight="false" outlineLevel="0" collapsed="false">
      <c r="A155" s="5" t="n">
        <v>120</v>
      </c>
      <c r="B155" s="6" t="s">
        <v>66</v>
      </c>
      <c r="C155" s="6" t="s">
        <v>9</v>
      </c>
      <c r="D155" s="6" t="s">
        <v>251</v>
      </c>
      <c r="E155" s="45" t="n">
        <v>5.6</v>
      </c>
      <c r="F155" s="27" t="n">
        <f aca="false">Narxlar!$C$56</f>
        <v>3.5</v>
      </c>
      <c r="G155" s="46" t="n">
        <f aca="false">E155*F155</f>
        <v>19.6</v>
      </c>
      <c r="H155" s="5" t="s">
        <v>148</v>
      </c>
      <c r="I155" s="7" t="n">
        <f aca="false">Narxlar!$C$6</f>
        <v>12</v>
      </c>
      <c r="J155" s="47" t="n">
        <f aca="false">G155*I155</f>
        <v>235.2</v>
      </c>
    </row>
    <row r="156" customFormat="false" ht="15" hidden="false" customHeight="false" outlineLevel="0" collapsed="false">
      <c r="A156" s="5" t="n">
        <v>121</v>
      </c>
      <c r="B156" s="6" t="s">
        <v>66</v>
      </c>
      <c r="C156" s="6" t="s">
        <v>9</v>
      </c>
      <c r="D156" s="6" t="s">
        <v>255</v>
      </c>
      <c r="E156" s="45" t="n">
        <v>2.85</v>
      </c>
      <c r="F156" s="27" t="n">
        <f aca="false">Narxlar!$C$56</f>
        <v>3.5</v>
      </c>
      <c r="G156" s="46" t="n">
        <f aca="false">E156*F156</f>
        <v>9.975</v>
      </c>
      <c r="H156" s="5" t="s">
        <v>148</v>
      </c>
      <c r="I156" s="7" t="n">
        <f aca="false">Narxlar!$C$6</f>
        <v>12</v>
      </c>
      <c r="J156" s="47" t="n">
        <f aca="false">G156*I156</f>
        <v>119.7</v>
      </c>
    </row>
    <row r="157" customFormat="false" ht="15" hidden="false" customHeight="false" outlineLevel="0" collapsed="false">
      <c r="A157" s="5" t="n">
        <v>122</v>
      </c>
      <c r="B157" s="6" t="s">
        <v>66</v>
      </c>
      <c r="C157" s="6" t="s">
        <v>9</v>
      </c>
      <c r="D157" s="6" t="s">
        <v>216</v>
      </c>
      <c r="E157" s="27" t="n">
        <f aca="false">Narxlar!$C$61</f>
        <v>0.9</v>
      </c>
      <c r="F157" s="27" t="n">
        <f aca="false">Narxlar!$C$58</f>
        <v>1</v>
      </c>
      <c r="G157" s="46" t="n">
        <f aca="false">E157*F157</f>
        <v>0.9</v>
      </c>
      <c r="H157" s="5" t="s">
        <v>148</v>
      </c>
      <c r="I157" s="7" t="n">
        <f aca="false">Narxlar!$C$6</f>
        <v>12</v>
      </c>
      <c r="J157" s="47" t="n">
        <f aca="false">G157*I157</f>
        <v>10.8</v>
      </c>
    </row>
    <row r="158" customFormat="false" ht="15" hidden="false" customHeight="false" outlineLevel="0" collapsed="false">
      <c r="A158" s="5" t="n">
        <v>123</v>
      </c>
      <c r="B158" s="6" t="s">
        <v>66</v>
      </c>
      <c r="C158" s="6" t="s">
        <v>10</v>
      </c>
      <c r="D158" s="6" t="s">
        <v>251</v>
      </c>
      <c r="E158" s="45" t="n">
        <v>5.6</v>
      </c>
      <c r="F158" s="27" t="n">
        <f aca="false">Narxlar!$C$62</f>
        <v>3.5</v>
      </c>
      <c r="G158" s="46" t="n">
        <f aca="false">E158*F158</f>
        <v>19.6</v>
      </c>
      <c r="H158" s="5" t="s">
        <v>148</v>
      </c>
      <c r="I158" s="7" t="n">
        <f aca="false">Narxlar!$C$7</f>
        <v>15.5</v>
      </c>
      <c r="J158" s="47" t="n">
        <f aca="false">G158*I158</f>
        <v>303.8</v>
      </c>
    </row>
    <row r="159" customFormat="false" ht="15" hidden="false" customHeight="false" outlineLevel="0" collapsed="false">
      <c r="A159" s="5" t="n">
        <v>124</v>
      </c>
      <c r="B159" s="6" t="s">
        <v>66</v>
      </c>
      <c r="C159" s="6" t="s">
        <v>10</v>
      </c>
      <c r="D159" s="6" t="s">
        <v>258</v>
      </c>
      <c r="E159" s="45" t="n">
        <v>5.6</v>
      </c>
      <c r="F159" s="27" t="n">
        <f aca="false">Narxlar!$C$62</f>
        <v>3.5</v>
      </c>
      <c r="G159" s="46" t="n">
        <f aca="false">E159*F159</f>
        <v>19.6</v>
      </c>
      <c r="H159" s="5" t="s">
        <v>148</v>
      </c>
      <c r="I159" s="7" t="n">
        <f aca="false">Narxlar!$C$7</f>
        <v>15.5</v>
      </c>
      <c r="J159" s="47" t="n">
        <f aca="false">G159*I159</f>
        <v>303.8</v>
      </c>
    </row>
    <row r="160" customFormat="false" ht="15" hidden="false" customHeight="false" outlineLevel="0" collapsed="false">
      <c r="A160" s="5" t="n">
        <v>125</v>
      </c>
      <c r="B160" s="6" t="s">
        <v>66</v>
      </c>
      <c r="C160" s="6" t="s">
        <v>13</v>
      </c>
      <c r="D160" s="6" t="s">
        <v>220</v>
      </c>
      <c r="E160" s="45"/>
      <c r="F160" s="46"/>
      <c r="G160" s="48" t="n">
        <v>1</v>
      </c>
      <c r="H160" s="5" t="s">
        <v>221</v>
      </c>
      <c r="I160" s="7" t="n">
        <f aca="false">Narxlar!$C$12</f>
        <v>168</v>
      </c>
      <c r="J160" s="47" t="n">
        <f aca="false">G160*I160</f>
        <v>168</v>
      </c>
    </row>
    <row r="161" customFormat="false" ht="15" hidden="false" customHeight="false" outlineLevel="0" collapsed="false">
      <c r="A161" s="49"/>
      <c r="B161" s="49"/>
      <c r="C161" s="49"/>
      <c r="D161" s="11" t="s">
        <v>259</v>
      </c>
      <c r="E161" s="49"/>
      <c r="F161" s="49"/>
      <c r="G161" s="49"/>
      <c r="H161" s="49"/>
      <c r="I161" s="49"/>
      <c r="J161" s="12" t="n">
        <f aca="false">SUM(J149:J160)</f>
        <v>1598.575</v>
      </c>
    </row>
    <row r="163" customFormat="false" ht="15" hidden="false" customHeight="false" outlineLevel="0" collapsed="false">
      <c r="A163" s="25" t="s">
        <v>67</v>
      </c>
      <c r="B163" s="26"/>
      <c r="C163" s="26"/>
      <c r="D163" s="26"/>
      <c r="E163" s="26"/>
      <c r="F163" s="26"/>
      <c r="G163" s="26"/>
      <c r="H163" s="26"/>
      <c r="I163" s="26"/>
      <c r="J163" s="26"/>
    </row>
    <row r="164" customFormat="false" ht="15" hidden="false" customHeight="false" outlineLevel="0" collapsed="false">
      <c r="A164" s="5" t="n">
        <v>126</v>
      </c>
      <c r="B164" s="6" t="s">
        <v>67</v>
      </c>
      <c r="C164" s="6" t="s">
        <v>10</v>
      </c>
      <c r="D164" s="6" t="s">
        <v>260</v>
      </c>
      <c r="E164" s="45" t="n">
        <v>5.95</v>
      </c>
      <c r="F164" s="27" t="n">
        <f aca="false">Narxlar!$C$62</f>
        <v>3.5</v>
      </c>
      <c r="G164" s="46" t="n">
        <f aca="false">E164*F164</f>
        <v>20.825</v>
      </c>
      <c r="H164" s="5" t="s">
        <v>148</v>
      </c>
      <c r="I164" s="7" t="n">
        <f aca="false">Narxlar!$C$7</f>
        <v>15.5</v>
      </c>
      <c r="J164" s="47" t="n">
        <f aca="false">G164*I164</f>
        <v>322.7875</v>
      </c>
    </row>
    <row r="165" customFormat="false" ht="15" hidden="false" customHeight="false" outlineLevel="0" collapsed="false">
      <c r="A165" s="5" t="n">
        <v>127</v>
      </c>
      <c r="B165" s="6" t="s">
        <v>67</v>
      </c>
      <c r="C165" s="6" t="s">
        <v>10</v>
      </c>
      <c r="D165" s="6" t="s">
        <v>261</v>
      </c>
      <c r="E165" s="27" t="n">
        <f aca="false">Narxlar!$C$61</f>
        <v>0.9</v>
      </c>
      <c r="F165" s="27" t="n">
        <f aca="false">Narxlar!$C$59</f>
        <v>2.1</v>
      </c>
      <c r="G165" s="46" t="n">
        <f aca="false">-E165*F165</f>
        <v>-1.89</v>
      </c>
      <c r="H165" s="5" t="s">
        <v>148</v>
      </c>
      <c r="I165" s="7" t="n">
        <f aca="false">Narxlar!$C$7</f>
        <v>15.5</v>
      </c>
      <c r="J165" s="47" t="n">
        <f aca="false">G165*I165</f>
        <v>-29.295</v>
      </c>
    </row>
    <row r="166" customFormat="false" ht="15" hidden="false" customHeight="false" outlineLevel="0" collapsed="false">
      <c r="A166" s="5" t="n">
        <v>128</v>
      </c>
      <c r="B166" s="6" t="s">
        <v>67</v>
      </c>
      <c r="C166" s="6" t="s">
        <v>10</v>
      </c>
      <c r="D166" s="6" t="s">
        <v>262</v>
      </c>
      <c r="E166" s="45" t="n">
        <v>2.95</v>
      </c>
      <c r="F166" s="27" t="n">
        <f aca="false">Narxlar!$C$62</f>
        <v>3.5</v>
      </c>
      <c r="G166" s="46" t="n">
        <f aca="false">E166*F166</f>
        <v>10.325</v>
      </c>
      <c r="H166" s="5" t="s">
        <v>148</v>
      </c>
      <c r="I166" s="7" t="n">
        <f aca="false">Narxlar!$C$7</f>
        <v>15.5</v>
      </c>
      <c r="J166" s="47" t="n">
        <f aca="false">G166*I166</f>
        <v>160.0375</v>
      </c>
    </row>
    <row r="167" customFormat="false" ht="15" hidden="false" customHeight="false" outlineLevel="0" collapsed="false">
      <c r="A167" s="5" t="n">
        <v>129</v>
      </c>
      <c r="B167" s="6" t="s">
        <v>67</v>
      </c>
      <c r="C167" s="6" t="s">
        <v>13</v>
      </c>
      <c r="D167" s="6" t="s">
        <v>220</v>
      </c>
      <c r="E167" s="45"/>
      <c r="F167" s="46"/>
      <c r="G167" s="48" t="n">
        <v>1</v>
      </c>
      <c r="H167" s="5" t="s">
        <v>221</v>
      </c>
      <c r="I167" s="7" t="n">
        <f aca="false">Narxlar!$C$12</f>
        <v>168</v>
      </c>
      <c r="J167" s="47" t="n">
        <f aca="false">G167*I167</f>
        <v>168</v>
      </c>
    </row>
    <row r="168" customFormat="false" ht="15" hidden="false" customHeight="false" outlineLevel="0" collapsed="false">
      <c r="A168" s="49"/>
      <c r="B168" s="49"/>
      <c r="C168" s="49"/>
      <c r="D168" s="11" t="s">
        <v>263</v>
      </c>
      <c r="E168" s="49"/>
      <c r="F168" s="49"/>
      <c r="G168" s="49"/>
      <c r="H168" s="49"/>
      <c r="I168" s="49"/>
      <c r="J168" s="12" t="n">
        <f aca="false">SUM(J164:J167)</f>
        <v>621.53</v>
      </c>
    </row>
    <row r="170" customFormat="false" ht="15" hidden="false" customHeight="false" outlineLevel="0" collapsed="false">
      <c r="A170" s="25" t="s">
        <v>69</v>
      </c>
      <c r="B170" s="26"/>
      <c r="C170" s="26"/>
      <c r="D170" s="26"/>
      <c r="E170" s="26"/>
      <c r="F170" s="26"/>
      <c r="G170" s="26"/>
      <c r="H170" s="26"/>
      <c r="I170" s="26"/>
      <c r="J170" s="26"/>
    </row>
    <row r="171" customFormat="false" ht="15" hidden="false" customHeight="false" outlineLevel="0" collapsed="false">
      <c r="A171" s="5" t="n">
        <v>130</v>
      </c>
      <c r="B171" s="6" t="s">
        <v>69</v>
      </c>
      <c r="C171" s="6" t="s">
        <v>9</v>
      </c>
      <c r="D171" s="6" t="s">
        <v>264</v>
      </c>
      <c r="E171" s="45" t="n">
        <v>4.6</v>
      </c>
      <c r="F171" s="27" t="n">
        <f aca="false">Narxlar!$C$58</f>
        <v>1</v>
      </c>
      <c r="G171" s="46" t="n">
        <f aca="false">E171*F171</f>
        <v>4.6</v>
      </c>
      <c r="H171" s="5" t="s">
        <v>148</v>
      </c>
      <c r="I171" s="7" t="n">
        <f aca="false">Narxlar!$C$6</f>
        <v>12</v>
      </c>
      <c r="J171" s="47" t="n">
        <f aca="false">G171*I171</f>
        <v>55.2</v>
      </c>
    </row>
    <row r="172" customFormat="false" ht="15" hidden="false" customHeight="false" outlineLevel="0" collapsed="false">
      <c r="A172" s="5" t="n">
        <v>131</v>
      </c>
      <c r="B172" s="6" t="s">
        <v>69</v>
      </c>
      <c r="C172" s="6" t="s">
        <v>9</v>
      </c>
      <c r="D172" s="6" t="s">
        <v>265</v>
      </c>
      <c r="E172" s="45" t="n">
        <v>0.4</v>
      </c>
      <c r="F172" s="27" t="n">
        <f aca="false">Narxlar!$C$56</f>
        <v>3.5</v>
      </c>
      <c r="G172" s="46" t="n">
        <f aca="false">E172*F172</f>
        <v>1.4</v>
      </c>
      <c r="H172" s="5" t="s">
        <v>148</v>
      </c>
      <c r="I172" s="7" t="n">
        <f aca="false">Narxlar!$C$6</f>
        <v>12</v>
      </c>
      <c r="J172" s="47" t="n">
        <f aca="false">G172*I172</f>
        <v>16.8</v>
      </c>
    </row>
    <row r="173" customFormat="false" ht="15" hidden="false" customHeight="false" outlineLevel="0" collapsed="false">
      <c r="A173" s="5" t="n">
        <v>132</v>
      </c>
      <c r="B173" s="6" t="s">
        <v>69</v>
      </c>
      <c r="C173" s="6" t="s">
        <v>9</v>
      </c>
      <c r="D173" s="6" t="s">
        <v>266</v>
      </c>
      <c r="E173" s="45" t="n">
        <v>4.7</v>
      </c>
      <c r="F173" s="27" t="n">
        <f aca="false">Narxlar!$C$58</f>
        <v>1</v>
      </c>
      <c r="G173" s="46" t="n">
        <f aca="false">E173*F173</f>
        <v>4.7</v>
      </c>
      <c r="H173" s="5" t="s">
        <v>148</v>
      </c>
      <c r="I173" s="7" t="n">
        <f aca="false">Narxlar!$C$6</f>
        <v>12</v>
      </c>
      <c r="J173" s="47" t="n">
        <f aca="false">G173*I173</f>
        <v>56.4</v>
      </c>
    </row>
    <row r="174" customFormat="false" ht="15" hidden="false" customHeight="false" outlineLevel="0" collapsed="false">
      <c r="A174" s="5" t="n">
        <v>133</v>
      </c>
      <c r="B174" s="6" t="s">
        <v>69</v>
      </c>
      <c r="C174" s="6" t="s">
        <v>9</v>
      </c>
      <c r="D174" s="6" t="s">
        <v>267</v>
      </c>
      <c r="E174" s="45" t="n">
        <v>0.55</v>
      </c>
      <c r="F174" s="27" t="n">
        <f aca="false">Narxlar!$C$56</f>
        <v>3.5</v>
      </c>
      <c r="G174" s="46" t="n">
        <f aca="false">E174*F174</f>
        <v>1.925</v>
      </c>
      <c r="H174" s="5" t="s">
        <v>148</v>
      </c>
      <c r="I174" s="7" t="n">
        <f aca="false">Narxlar!$C$6</f>
        <v>12</v>
      </c>
      <c r="J174" s="47" t="n">
        <f aca="false">G174*I174</f>
        <v>23.1</v>
      </c>
    </row>
    <row r="175" customFormat="false" ht="15" hidden="false" customHeight="false" outlineLevel="0" collapsed="false">
      <c r="A175" s="5" t="n">
        <v>134</v>
      </c>
      <c r="B175" s="6" t="s">
        <v>69</v>
      </c>
      <c r="C175" s="6" t="s">
        <v>9</v>
      </c>
      <c r="D175" s="6" t="s">
        <v>268</v>
      </c>
      <c r="E175" s="45" t="n">
        <v>0.1</v>
      </c>
      <c r="F175" s="27" t="n">
        <f aca="false">Narxlar!$C$56</f>
        <v>3.5</v>
      </c>
      <c r="G175" s="46" t="n">
        <f aca="false">E175*F175</f>
        <v>0.35</v>
      </c>
      <c r="H175" s="5" t="s">
        <v>148</v>
      </c>
      <c r="I175" s="7" t="n">
        <f aca="false">Narxlar!$C$6</f>
        <v>12</v>
      </c>
      <c r="J175" s="47" t="n">
        <f aca="false">G175*I175</f>
        <v>4.2</v>
      </c>
    </row>
    <row r="176" customFormat="false" ht="15" hidden="false" customHeight="false" outlineLevel="0" collapsed="false">
      <c r="A176" s="5" t="n">
        <v>135</v>
      </c>
      <c r="B176" s="6" t="s">
        <v>69</v>
      </c>
      <c r="C176" s="6" t="s">
        <v>9</v>
      </c>
      <c r="D176" s="6" t="s">
        <v>269</v>
      </c>
      <c r="E176" s="45" t="n">
        <v>1.5</v>
      </c>
      <c r="F176" s="27" t="n">
        <f aca="false">Narxlar!$C$58</f>
        <v>1</v>
      </c>
      <c r="G176" s="46" t="n">
        <f aca="false">E176*F176</f>
        <v>1.5</v>
      </c>
      <c r="H176" s="5" t="s">
        <v>148</v>
      </c>
      <c r="I176" s="7" t="n">
        <f aca="false">Narxlar!$C$6</f>
        <v>12</v>
      </c>
      <c r="J176" s="47" t="n">
        <f aca="false">G176*I176</f>
        <v>18</v>
      </c>
    </row>
    <row r="177" customFormat="false" ht="15" hidden="false" customHeight="false" outlineLevel="0" collapsed="false">
      <c r="A177" s="5" t="n">
        <v>136</v>
      </c>
      <c r="B177" s="6" t="s">
        <v>69</v>
      </c>
      <c r="C177" s="6" t="s">
        <v>9</v>
      </c>
      <c r="D177" s="6" t="s">
        <v>270</v>
      </c>
      <c r="E177" s="45" t="n">
        <v>5.9</v>
      </c>
      <c r="F177" s="27" t="n">
        <f aca="false">Narxlar!$C$56</f>
        <v>3.5</v>
      </c>
      <c r="G177" s="46" t="n">
        <f aca="false">E177*F177</f>
        <v>20.65</v>
      </c>
      <c r="H177" s="5" t="s">
        <v>148</v>
      </c>
      <c r="I177" s="7" t="n">
        <f aca="false">Narxlar!$C$6</f>
        <v>12</v>
      </c>
      <c r="J177" s="47" t="n">
        <f aca="false">G177*I177</f>
        <v>247.8</v>
      </c>
    </row>
    <row r="178" customFormat="false" ht="15" hidden="false" customHeight="false" outlineLevel="0" collapsed="false">
      <c r="A178" s="5" t="n">
        <v>137</v>
      </c>
      <c r="B178" s="6" t="s">
        <v>69</v>
      </c>
      <c r="C178" s="6" t="s">
        <v>9</v>
      </c>
      <c r="D178" s="6" t="s">
        <v>271</v>
      </c>
      <c r="E178" s="45" t="n">
        <v>0.15</v>
      </c>
      <c r="F178" s="27" t="n">
        <f aca="false">Narxlar!$C$58</f>
        <v>1</v>
      </c>
      <c r="G178" s="46" t="n">
        <f aca="false">E178*F178</f>
        <v>0.15</v>
      </c>
      <c r="H178" s="5" t="s">
        <v>148</v>
      </c>
      <c r="I178" s="7" t="n">
        <f aca="false">Narxlar!$C$6</f>
        <v>12</v>
      </c>
      <c r="J178" s="47" t="n">
        <f aca="false">G178*I178</f>
        <v>1.8</v>
      </c>
    </row>
    <row r="179" customFormat="false" ht="15" hidden="false" customHeight="false" outlineLevel="0" collapsed="false">
      <c r="A179" s="5" t="n">
        <v>138</v>
      </c>
      <c r="B179" s="6" t="s">
        <v>69</v>
      </c>
      <c r="C179" s="6" t="s">
        <v>9</v>
      </c>
      <c r="D179" s="6" t="s">
        <v>271</v>
      </c>
      <c r="E179" s="45" t="n">
        <v>1.8</v>
      </c>
      <c r="F179" s="27" t="n">
        <f aca="false">Narxlar!$C$58</f>
        <v>1</v>
      </c>
      <c r="G179" s="46" t="n">
        <f aca="false">E179*F179</f>
        <v>1.8</v>
      </c>
      <c r="H179" s="5" t="s">
        <v>148</v>
      </c>
      <c r="I179" s="7" t="n">
        <f aca="false">Narxlar!$C$6</f>
        <v>12</v>
      </c>
      <c r="J179" s="47" t="n">
        <f aca="false">G179*I179</f>
        <v>21.6</v>
      </c>
    </row>
    <row r="180" customFormat="false" ht="15" hidden="false" customHeight="false" outlineLevel="0" collapsed="false">
      <c r="A180" s="5" t="n">
        <v>139</v>
      </c>
      <c r="B180" s="6" t="s">
        <v>69</v>
      </c>
      <c r="C180" s="6" t="s">
        <v>9</v>
      </c>
      <c r="D180" s="6" t="s">
        <v>272</v>
      </c>
      <c r="E180" s="45" t="n">
        <v>0.15</v>
      </c>
      <c r="F180" s="27" t="n">
        <f aca="false">Narxlar!$C$58</f>
        <v>1</v>
      </c>
      <c r="G180" s="46" t="n">
        <f aca="false">E180*F180</f>
        <v>0.15</v>
      </c>
      <c r="H180" s="5" t="s">
        <v>148</v>
      </c>
      <c r="I180" s="7" t="n">
        <f aca="false">Narxlar!$C$6</f>
        <v>12</v>
      </c>
      <c r="J180" s="47" t="n">
        <f aca="false">G180*I180</f>
        <v>1.8</v>
      </c>
    </row>
    <row r="181" customFormat="false" ht="15" hidden="false" customHeight="false" outlineLevel="0" collapsed="false">
      <c r="A181" s="5" t="n">
        <v>140</v>
      </c>
      <c r="B181" s="6" t="s">
        <v>69</v>
      </c>
      <c r="C181" s="6" t="s">
        <v>9</v>
      </c>
      <c r="D181" s="6" t="s">
        <v>272</v>
      </c>
      <c r="E181" s="45" t="n">
        <v>1.8</v>
      </c>
      <c r="F181" s="27" t="n">
        <f aca="false">Narxlar!$C$58</f>
        <v>1</v>
      </c>
      <c r="G181" s="46" t="n">
        <f aca="false">E181*F181</f>
        <v>1.8</v>
      </c>
      <c r="H181" s="5" t="s">
        <v>148</v>
      </c>
      <c r="I181" s="7" t="n">
        <f aca="false">Narxlar!$C$6</f>
        <v>12</v>
      </c>
      <c r="J181" s="47" t="n">
        <f aca="false">G181*I181</f>
        <v>21.6</v>
      </c>
    </row>
    <row r="182" customFormat="false" ht="15" hidden="false" customHeight="false" outlineLevel="0" collapsed="false">
      <c r="A182" s="5" t="n">
        <v>141</v>
      </c>
      <c r="B182" s="6" t="s">
        <v>69</v>
      </c>
      <c r="C182" s="6" t="s">
        <v>9</v>
      </c>
      <c r="D182" s="6" t="s">
        <v>230</v>
      </c>
      <c r="E182" s="45" t="n">
        <v>0.2</v>
      </c>
      <c r="F182" s="27" t="n">
        <f aca="false">Narxlar!$C$56</f>
        <v>3.5</v>
      </c>
      <c r="G182" s="46" t="n">
        <f aca="false">E182*F182</f>
        <v>0.7</v>
      </c>
      <c r="H182" s="5" t="s">
        <v>148</v>
      </c>
      <c r="I182" s="7" t="n">
        <f aca="false">Narxlar!$C$6</f>
        <v>12</v>
      </c>
      <c r="J182" s="47" t="n">
        <f aca="false">G182*I182</f>
        <v>8.4</v>
      </c>
    </row>
    <row r="183" customFormat="false" ht="15" hidden="false" customHeight="false" outlineLevel="0" collapsed="false">
      <c r="A183" s="5" t="n">
        <v>142</v>
      </c>
      <c r="B183" s="6" t="s">
        <v>69</v>
      </c>
      <c r="C183" s="6" t="s">
        <v>9</v>
      </c>
      <c r="D183" s="6" t="s">
        <v>269</v>
      </c>
      <c r="E183" s="45" t="n">
        <v>1.15</v>
      </c>
      <c r="F183" s="27" t="n">
        <f aca="false">Narxlar!$C$58</f>
        <v>1</v>
      </c>
      <c r="G183" s="46" t="n">
        <f aca="false">E183*F183</f>
        <v>1.15</v>
      </c>
      <c r="H183" s="5" t="s">
        <v>148</v>
      </c>
      <c r="I183" s="7" t="n">
        <f aca="false">Narxlar!$C$6</f>
        <v>12</v>
      </c>
      <c r="J183" s="47" t="n">
        <f aca="false">G183*I183</f>
        <v>13.8</v>
      </c>
    </row>
    <row r="184" customFormat="false" ht="15" hidden="false" customHeight="false" outlineLevel="0" collapsed="false">
      <c r="A184" s="5" t="n">
        <v>143</v>
      </c>
      <c r="B184" s="6" t="s">
        <v>69</v>
      </c>
      <c r="C184" s="6" t="s">
        <v>9</v>
      </c>
      <c r="D184" s="6" t="s">
        <v>273</v>
      </c>
      <c r="E184" s="27" t="n">
        <f aca="false">Narxlar!$C$61</f>
        <v>0.9</v>
      </c>
      <c r="F184" s="27" t="n">
        <f aca="false">Narxlar!$C$58</f>
        <v>1</v>
      </c>
      <c r="G184" s="46" t="n">
        <f aca="false">E184*F184</f>
        <v>0.9</v>
      </c>
      <c r="H184" s="5" t="s">
        <v>148</v>
      </c>
      <c r="I184" s="7" t="n">
        <f aca="false">Narxlar!$C$6</f>
        <v>12</v>
      </c>
      <c r="J184" s="47" t="n">
        <f aca="false">G184*I184</f>
        <v>10.8</v>
      </c>
    </row>
    <row r="185" customFormat="false" ht="15" hidden="false" customHeight="false" outlineLevel="0" collapsed="false">
      <c r="A185" s="5" t="n">
        <v>144</v>
      </c>
      <c r="B185" s="6" t="s">
        <v>69</v>
      </c>
      <c r="C185" s="6" t="s">
        <v>9</v>
      </c>
      <c r="D185" s="6" t="s">
        <v>274</v>
      </c>
      <c r="E185" s="27" t="n">
        <f aca="false">Narxlar!$C$61</f>
        <v>0.9</v>
      </c>
      <c r="F185" s="27" t="n">
        <f aca="false">Narxlar!$C$58</f>
        <v>1</v>
      </c>
      <c r="G185" s="46" t="n">
        <f aca="false">E185*F185</f>
        <v>0.9</v>
      </c>
      <c r="H185" s="5" t="s">
        <v>148</v>
      </c>
      <c r="I185" s="7" t="n">
        <f aca="false">Narxlar!$C$6</f>
        <v>12</v>
      </c>
      <c r="J185" s="47" t="n">
        <f aca="false">G185*I185</f>
        <v>10.8</v>
      </c>
    </row>
    <row r="186" customFormat="false" ht="15" hidden="false" customHeight="false" outlineLevel="0" collapsed="false">
      <c r="A186" s="5" t="n">
        <v>145</v>
      </c>
      <c r="B186" s="6" t="s">
        <v>69</v>
      </c>
      <c r="C186" s="6" t="s">
        <v>9</v>
      </c>
      <c r="D186" s="6" t="s">
        <v>275</v>
      </c>
      <c r="E186" s="27" t="n">
        <f aca="false">Narxlar!$C$61</f>
        <v>0.9</v>
      </c>
      <c r="F186" s="27" t="n">
        <f aca="false">Narxlar!$C$58</f>
        <v>1</v>
      </c>
      <c r="G186" s="46" t="n">
        <f aca="false">E186*F186</f>
        <v>0.9</v>
      </c>
      <c r="H186" s="5" t="s">
        <v>148</v>
      </c>
      <c r="I186" s="7" t="n">
        <f aca="false">Narxlar!$C$6</f>
        <v>12</v>
      </c>
      <c r="J186" s="47" t="n">
        <f aca="false">G186*I186</f>
        <v>10.8</v>
      </c>
    </row>
    <row r="187" customFormat="false" ht="15" hidden="false" customHeight="false" outlineLevel="0" collapsed="false">
      <c r="A187" s="5" t="n">
        <v>146</v>
      </c>
      <c r="B187" s="6" t="s">
        <v>69</v>
      </c>
      <c r="C187" s="6" t="s">
        <v>9</v>
      </c>
      <c r="D187" s="6" t="s">
        <v>276</v>
      </c>
      <c r="E187" s="27" t="n">
        <f aca="false">Narxlar!$C$61</f>
        <v>0.9</v>
      </c>
      <c r="F187" s="27" t="n">
        <f aca="false">Narxlar!$C$58</f>
        <v>1</v>
      </c>
      <c r="G187" s="46" t="n">
        <f aca="false">E187*F187</f>
        <v>0.9</v>
      </c>
      <c r="H187" s="5" t="s">
        <v>148</v>
      </c>
      <c r="I187" s="7" t="n">
        <f aca="false">Narxlar!$C$6</f>
        <v>12</v>
      </c>
      <c r="J187" s="47" t="n">
        <f aca="false">G187*I187</f>
        <v>10.8</v>
      </c>
    </row>
    <row r="188" customFormat="false" ht="15" hidden="false" customHeight="false" outlineLevel="0" collapsed="false">
      <c r="A188" s="5" t="n">
        <v>147</v>
      </c>
      <c r="B188" s="6" t="s">
        <v>69</v>
      </c>
      <c r="C188" s="6" t="s">
        <v>9</v>
      </c>
      <c r="D188" s="6" t="s">
        <v>277</v>
      </c>
      <c r="E188" s="27" t="n">
        <f aca="false">Narxlar!$C$61</f>
        <v>0.9</v>
      </c>
      <c r="F188" s="27" t="n">
        <f aca="false">Narxlar!$C$58</f>
        <v>1</v>
      </c>
      <c r="G188" s="46" t="n">
        <f aca="false">E188*F188</f>
        <v>0.9</v>
      </c>
      <c r="H188" s="5" t="s">
        <v>148</v>
      </c>
      <c r="I188" s="7" t="n">
        <f aca="false">Narxlar!$C$6</f>
        <v>12</v>
      </c>
      <c r="J188" s="47" t="n">
        <f aca="false">G188*I188</f>
        <v>10.8</v>
      </c>
    </row>
    <row r="189" customFormat="false" ht="15" hidden="false" customHeight="false" outlineLevel="0" collapsed="false">
      <c r="A189" s="5" t="n">
        <v>148</v>
      </c>
      <c r="B189" s="6" t="s">
        <v>69</v>
      </c>
      <c r="C189" s="6" t="s">
        <v>13</v>
      </c>
      <c r="D189" s="6" t="s">
        <v>278</v>
      </c>
      <c r="E189" s="45"/>
      <c r="F189" s="46"/>
      <c r="G189" s="48" t="n">
        <v>1</v>
      </c>
      <c r="H189" s="5" t="s">
        <v>221</v>
      </c>
      <c r="I189" s="7" t="n">
        <f aca="false">Narxlar!$C$11</f>
        <v>336</v>
      </c>
      <c r="J189" s="47" t="n">
        <f aca="false">G189*I189</f>
        <v>336</v>
      </c>
    </row>
    <row r="190" customFormat="false" ht="15" hidden="false" customHeight="false" outlineLevel="0" collapsed="false">
      <c r="A190" s="49"/>
      <c r="B190" s="49"/>
      <c r="C190" s="49"/>
      <c r="D190" s="11" t="s">
        <v>279</v>
      </c>
      <c r="E190" s="49"/>
      <c r="F190" s="49"/>
      <c r="G190" s="49"/>
      <c r="H190" s="49"/>
      <c r="I190" s="49"/>
      <c r="J190" s="12" t="n">
        <f aca="false">SUM(J171:J189)</f>
        <v>880.5</v>
      </c>
    </row>
    <row r="192" customFormat="false" ht="15" hidden="false" customHeight="false" outlineLevel="0" collapsed="false">
      <c r="A192" s="25" t="s">
        <v>70</v>
      </c>
      <c r="B192" s="26"/>
      <c r="C192" s="26"/>
      <c r="D192" s="26"/>
      <c r="E192" s="26"/>
      <c r="F192" s="26"/>
      <c r="G192" s="26"/>
      <c r="H192" s="26"/>
      <c r="I192" s="26"/>
      <c r="J192" s="26"/>
    </row>
    <row r="193" customFormat="false" ht="15" hidden="false" customHeight="false" outlineLevel="0" collapsed="false">
      <c r="A193" s="5" t="n">
        <v>149</v>
      </c>
      <c r="B193" s="6" t="s">
        <v>70</v>
      </c>
      <c r="C193" s="6" t="s">
        <v>9</v>
      </c>
      <c r="D193" s="6" t="s">
        <v>280</v>
      </c>
      <c r="E193" s="45" t="n">
        <v>0.15</v>
      </c>
      <c r="F193" s="27" t="n">
        <f aca="false">Narxlar!$C$58</f>
        <v>1</v>
      </c>
      <c r="G193" s="46" t="n">
        <f aca="false">E193*F193</f>
        <v>0.15</v>
      </c>
      <c r="H193" s="5" t="s">
        <v>148</v>
      </c>
      <c r="I193" s="7" t="n">
        <f aca="false">Narxlar!$C$6</f>
        <v>12</v>
      </c>
      <c r="J193" s="47" t="n">
        <f aca="false">G193*I193</f>
        <v>1.8</v>
      </c>
    </row>
    <row r="194" customFormat="false" ht="15" hidden="false" customHeight="false" outlineLevel="0" collapsed="false">
      <c r="A194" s="5" t="n">
        <v>150</v>
      </c>
      <c r="B194" s="6" t="s">
        <v>70</v>
      </c>
      <c r="C194" s="6" t="s">
        <v>9</v>
      </c>
      <c r="D194" s="6" t="s">
        <v>280</v>
      </c>
      <c r="E194" s="45" t="n">
        <v>1.75</v>
      </c>
      <c r="F194" s="27" t="n">
        <f aca="false">Narxlar!$C$58</f>
        <v>1</v>
      </c>
      <c r="G194" s="46" t="n">
        <f aca="false">E194*F194</f>
        <v>1.75</v>
      </c>
      <c r="H194" s="5" t="s">
        <v>148</v>
      </c>
      <c r="I194" s="7" t="n">
        <f aca="false">Narxlar!$C$6</f>
        <v>12</v>
      </c>
      <c r="J194" s="47" t="n">
        <f aca="false">G194*I194</f>
        <v>21</v>
      </c>
    </row>
    <row r="195" customFormat="false" ht="15" hidden="false" customHeight="false" outlineLevel="0" collapsed="false">
      <c r="A195" s="5" t="n">
        <v>151</v>
      </c>
      <c r="B195" s="6" t="s">
        <v>70</v>
      </c>
      <c r="C195" s="6" t="s">
        <v>9</v>
      </c>
      <c r="D195" s="6" t="s">
        <v>281</v>
      </c>
      <c r="E195" s="45" t="n">
        <v>0.15</v>
      </c>
      <c r="F195" s="27" t="n">
        <f aca="false">Narxlar!$C$58</f>
        <v>1</v>
      </c>
      <c r="G195" s="46" t="n">
        <f aca="false">E195*F195</f>
        <v>0.15</v>
      </c>
      <c r="H195" s="5" t="s">
        <v>148</v>
      </c>
      <c r="I195" s="7" t="n">
        <f aca="false">Narxlar!$C$6</f>
        <v>12</v>
      </c>
      <c r="J195" s="47" t="n">
        <f aca="false">G195*I195</f>
        <v>1.8</v>
      </c>
    </row>
    <row r="196" customFormat="false" ht="15" hidden="false" customHeight="false" outlineLevel="0" collapsed="false">
      <c r="A196" s="5" t="n">
        <v>152</v>
      </c>
      <c r="B196" s="6" t="s">
        <v>70</v>
      </c>
      <c r="C196" s="6" t="s">
        <v>9</v>
      </c>
      <c r="D196" s="6" t="s">
        <v>281</v>
      </c>
      <c r="E196" s="45" t="n">
        <v>1.75</v>
      </c>
      <c r="F196" s="27" t="n">
        <f aca="false">Narxlar!$C$58</f>
        <v>1</v>
      </c>
      <c r="G196" s="46" t="n">
        <f aca="false">E196*F196</f>
        <v>1.75</v>
      </c>
      <c r="H196" s="5" t="s">
        <v>148</v>
      </c>
      <c r="I196" s="7" t="n">
        <f aca="false">Narxlar!$C$6</f>
        <v>12</v>
      </c>
      <c r="J196" s="47" t="n">
        <f aca="false">G196*I196</f>
        <v>21</v>
      </c>
    </row>
    <row r="197" customFormat="false" ht="15" hidden="false" customHeight="false" outlineLevel="0" collapsed="false">
      <c r="A197" s="5" t="n">
        <v>153</v>
      </c>
      <c r="B197" s="6" t="s">
        <v>70</v>
      </c>
      <c r="C197" s="6" t="s">
        <v>9</v>
      </c>
      <c r="D197" s="6" t="s">
        <v>282</v>
      </c>
      <c r="E197" s="45" t="n">
        <v>6.3</v>
      </c>
      <c r="F197" s="27" t="n">
        <f aca="false">Narxlar!$C$56</f>
        <v>3.5</v>
      </c>
      <c r="G197" s="46" t="n">
        <f aca="false">E197*F197</f>
        <v>22.05</v>
      </c>
      <c r="H197" s="5" t="s">
        <v>148</v>
      </c>
      <c r="I197" s="7" t="n">
        <f aca="false">Narxlar!$C$6</f>
        <v>12</v>
      </c>
      <c r="J197" s="47" t="n">
        <f aca="false">G197*I197</f>
        <v>264.6</v>
      </c>
    </row>
    <row r="198" customFormat="false" ht="15" hidden="false" customHeight="false" outlineLevel="0" collapsed="false">
      <c r="A198" s="5" t="n">
        <v>154</v>
      </c>
      <c r="B198" s="6" t="s">
        <v>70</v>
      </c>
      <c r="C198" s="6" t="s">
        <v>9</v>
      </c>
      <c r="D198" s="6" t="s">
        <v>283</v>
      </c>
      <c r="E198" s="45" t="n">
        <v>0.15</v>
      </c>
      <c r="F198" s="27" t="n">
        <f aca="false">Narxlar!$C$56</f>
        <v>3.5</v>
      </c>
      <c r="G198" s="46" t="n">
        <f aca="false">E198*F198</f>
        <v>0.525</v>
      </c>
      <c r="H198" s="5" t="s">
        <v>148</v>
      </c>
      <c r="I198" s="7" t="n">
        <f aca="false">Narxlar!$C$6</f>
        <v>12</v>
      </c>
      <c r="J198" s="47" t="n">
        <f aca="false">G198*I198</f>
        <v>6.3</v>
      </c>
    </row>
    <row r="199" customFormat="false" ht="15" hidden="false" customHeight="false" outlineLevel="0" collapsed="false">
      <c r="A199" s="5" t="n">
        <v>155</v>
      </c>
      <c r="B199" s="6" t="s">
        <v>70</v>
      </c>
      <c r="C199" s="6" t="s">
        <v>9</v>
      </c>
      <c r="D199" s="6" t="s">
        <v>269</v>
      </c>
      <c r="E199" s="45" t="n">
        <v>1.5</v>
      </c>
      <c r="F199" s="27" t="n">
        <f aca="false">Narxlar!$C$58</f>
        <v>1</v>
      </c>
      <c r="G199" s="46" t="n">
        <f aca="false">E199*F199</f>
        <v>1.5</v>
      </c>
      <c r="H199" s="5" t="s">
        <v>148</v>
      </c>
      <c r="I199" s="7" t="n">
        <f aca="false">Narxlar!$C$6</f>
        <v>12</v>
      </c>
      <c r="J199" s="47" t="n">
        <f aca="false">G199*I199</f>
        <v>18</v>
      </c>
    </row>
    <row r="200" customFormat="false" ht="15" hidden="false" customHeight="false" outlineLevel="0" collapsed="false">
      <c r="A200" s="5" t="n">
        <v>156</v>
      </c>
      <c r="B200" s="6" t="s">
        <v>70</v>
      </c>
      <c r="C200" s="6" t="s">
        <v>9</v>
      </c>
      <c r="D200" s="6" t="s">
        <v>284</v>
      </c>
      <c r="E200" s="45" t="n">
        <v>0.2</v>
      </c>
      <c r="F200" s="27" t="n">
        <f aca="false">Narxlar!$C$56</f>
        <v>3.5</v>
      </c>
      <c r="G200" s="46" t="n">
        <f aca="false">E200*F200</f>
        <v>0.7</v>
      </c>
      <c r="H200" s="5" t="s">
        <v>148</v>
      </c>
      <c r="I200" s="7" t="n">
        <f aca="false">Narxlar!$C$6</f>
        <v>12</v>
      </c>
      <c r="J200" s="47" t="n">
        <f aca="false">G200*I200</f>
        <v>8.4</v>
      </c>
    </row>
    <row r="201" customFormat="false" ht="15" hidden="false" customHeight="false" outlineLevel="0" collapsed="false">
      <c r="A201" s="5" t="n">
        <v>157</v>
      </c>
      <c r="B201" s="6" t="s">
        <v>70</v>
      </c>
      <c r="C201" s="6" t="s">
        <v>9</v>
      </c>
      <c r="D201" s="6" t="s">
        <v>285</v>
      </c>
      <c r="E201" s="45" t="n">
        <v>4.7</v>
      </c>
      <c r="F201" s="27" t="n">
        <f aca="false">Narxlar!$C$58</f>
        <v>1</v>
      </c>
      <c r="G201" s="46" t="n">
        <f aca="false">E201*F201</f>
        <v>4.7</v>
      </c>
      <c r="H201" s="5" t="s">
        <v>148</v>
      </c>
      <c r="I201" s="7" t="n">
        <f aca="false">Narxlar!$C$6</f>
        <v>12</v>
      </c>
      <c r="J201" s="47" t="n">
        <f aca="false">G201*I201</f>
        <v>56.4</v>
      </c>
    </row>
    <row r="202" customFormat="false" ht="15" hidden="false" customHeight="false" outlineLevel="0" collapsed="false">
      <c r="A202" s="5" t="n">
        <v>158</v>
      </c>
      <c r="B202" s="6" t="s">
        <v>70</v>
      </c>
      <c r="C202" s="6" t="s">
        <v>9</v>
      </c>
      <c r="D202" s="6" t="s">
        <v>286</v>
      </c>
      <c r="E202" s="45" t="n">
        <v>0.4</v>
      </c>
      <c r="F202" s="27" t="n">
        <f aca="false">Narxlar!$C$56</f>
        <v>3.5</v>
      </c>
      <c r="G202" s="46" t="n">
        <f aca="false">E202*F202</f>
        <v>1.4</v>
      </c>
      <c r="H202" s="5" t="s">
        <v>148</v>
      </c>
      <c r="I202" s="7" t="n">
        <f aca="false">Narxlar!$C$6</f>
        <v>12</v>
      </c>
      <c r="J202" s="47" t="n">
        <f aca="false">G202*I202</f>
        <v>16.8</v>
      </c>
    </row>
    <row r="203" customFormat="false" ht="15" hidden="false" customHeight="false" outlineLevel="0" collapsed="false">
      <c r="A203" s="5" t="n">
        <v>159</v>
      </c>
      <c r="B203" s="6" t="s">
        <v>70</v>
      </c>
      <c r="C203" s="6" t="s">
        <v>9</v>
      </c>
      <c r="D203" s="6" t="s">
        <v>287</v>
      </c>
      <c r="E203" s="45" t="n">
        <v>4.7</v>
      </c>
      <c r="F203" s="27" t="n">
        <f aca="false">Narxlar!$C$58</f>
        <v>1</v>
      </c>
      <c r="G203" s="46" t="n">
        <f aca="false">E203*F203</f>
        <v>4.7</v>
      </c>
      <c r="H203" s="5" t="s">
        <v>148</v>
      </c>
      <c r="I203" s="7" t="n">
        <f aca="false">Narxlar!$C$6</f>
        <v>12</v>
      </c>
      <c r="J203" s="47" t="n">
        <f aca="false">G203*I203</f>
        <v>56.4</v>
      </c>
    </row>
    <row r="204" customFormat="false" ht="15" hidden="false" customHeight="false" outlineLevel="0" collapsed="false">
      <c r="A204" s="5" t="n">
        <v>160</v>
      </c>
      <c r="B204" s="6" t="s">
        <v>70</v>
      </c>
      <c r="C204" s="6" t="s">
        <v>9</v>
      </c>
      <c r="D204" s="6" t="s">
        <v>288</v>
      </c>
      <c r="E204" s="45" t="n">
        <v>0.35</v>
      </c>
      <c r="F204" s="27" t="n">
        <f aca="false">Narxlar!$C$56</f>
        <v>3.5</v>
      </c>
      <c r="G204" s="46" t="n">
        <f aca="false">E204*F204</f>
        <v>1.225</v>
      </c>
      <c r="H204" s="5" t="s">
        <v>148</v>
      </c>
      <c r="I204" s="7" t="n">
        <f aca="false">Narxlar!$C$6</f>
        <v>12</v>
      </c>
      <c r="J204" s="47" t="n">
        <f aca="false">G204*I204</f>
        <v>14.7</v>
      </c>
    </row>
    <row r="205" customFormat="false" ht="15" hidden="false" customHeight="false" outlineLevel="0" collapsed="false">
      <c r="A205" s="5" t="n">
        <v>161</v>
      </c>
      <c r="B205" s="6" t="s">
        <v>70</v>
      </c>
      <c r="C205" s="6" t="s">
        <v>9</v>
      </c>
      <c r="D205" s="6" t="s">
        <v>288</v>
      </c>
      <c r="E205" s="45" t="n">
        <v>0.1</v>
      </c>
      <c r="F205" s="27" t="n">
        <f aca="false">Narxlar!$C$56</f>
        <v>3.5</v>
      </c>
      <c r="G205" s="46" t="n">
        <f aca="false">E205*F205</f>
        <v>0.35</v>
      </c>
      <c r="H205" s="5" t="s">
        <v>148</v>
      </c>
      <c r="I205" s="7" t="n">
        <f aca="false">Narxlar!$C$6</f>
        <v>12</v>
      </c>
      <c r="J205" s="47" t="n">
        <f aca="false">G205*I205</f>
        <v>4.2</v>
      </c>
    </row>
    <row r="206" customFormat="false" ht="15" hidden="false" customHeight="false" outlineLevel="0" collapsed="false">
      <c r="A206" s="5" t="n">
        <v>162</v>
      </c>
      <c r="B206" s="6" t="s">
        <v>70</v>
      </c>
      <c r="C206" s="6" t="s">
        <v>9</v>
      </c>
      <c r="D206" s="6" t="s">
        <v>289</v>
      </c>
      <c r="E206" s="27" t="n">
        <f aca="false">Narxlar!$C$61</f>
        <v>0.9</v>
      </c>
      <c r="F206" s="27" t="n">
        <f aca="false">Narxlar!$C$58</f>
        <v>1</v>
      </c>
      <c r="G206" s="46" t="n">
        <f aca="false">E206*F206</f>
        <v>0.9</v>
      </c>
      <c r="H206" s="5" t="s">
        <v>148</v>
      </c>
      <c r="I206" s="7" t="n">
        <f aca="false">Narxlar!$C$6</f>
        <v>12</v>
      </c>
      <c r="J206" s="47" t="n">
        <f aca="false">G206*I206</f>
        <v>10.8</v>
      </c>
    </row>
    <row r="207" customFormat="false" ht="15" hidden="false" customHeight="false" outlineLevel="0" collapsed="false">
      <c r="A207" s="5" t="n">
        <v>163</v>
      </c>
      <c r="B207" s="6" t="s">
        <v>70</v>
      </c>
      <c r="C207" s="6" t="s">
        <v>9</v>
      </c>
      <c r="D207" s="6" t="s">
        <v>290</v>
      </c>
      <c r="E207" s="27" t="n">
        <f aca="false">Narxlar!$C$61</f>
        <v>0.9</v>
      </c>
      <c r="F207" s="27" t="n">
        <f aca="false">Narxlar!$C$58</f>
        <v>1</v>
      </c>
      <c r="G207" s="46" t="n">
        <f aca="false">E207*F207</f>
        <v>0.9</v>
      </c>
      <c r="H207" s="5" t="s">
        <v>148</v>
      </c>
      <c r="I207" s="7" t="n">
        <f aca="false">Narxlar!$C$6</f>
        <v>12</v>
      </c>
      <c r="J207" s="47" t="n">
        <f aca="false">G207*I207</f>
        <v>10.8</v>
      </c>
    </row>
    <row r="208" customFormat="false" ht="15" hidden="false" customHeight="false" outlineLevel="0" collapsed="false">
      <c r="A208" s="5" t="n">
        <v>164</v>
      </c>
      <c r="B208" s="6" t="s">
        <v>70</v>
      </c>
      <c r="C208" s="6" t="s">
        <v>9</v>
      </c>
      <c r="D208" s="6" t="s">
        <v>291</v>
      </c>
      <c r="E208" s="27" t="n">
        <f aca="false">Narxlar!$C$61</f>
        <v>0.9</v>
      </c>
      <c r="F208" s="27" t="n">
        <f aca="false">Narxlar!$C$58</f>
        <v>1</v>
      </c>
      <c r="G208" s="46" t="n">
        <f aca="false">E208*F208</f>
        <v>0.9</v>
      </c>
      <c r="H208" s="5" t="s">
        <v>148</v>
      </c>
      <c r="I208" s="7" t="n">
        <f aca="false">Narxlar!$C$6</f>
        <v>12</v>
      </c>
      <c r="J208" s="47" t="n">
        <f aca="false">G208*I208</f>
        <v>10.8</v>
      </c>
    </row>
    <row r="209" customFormat="false" ht="15" hidden="false" customHeight="false" outlineLevel="0" collapsed="false">
      <c r="A209" s="5" t="n">
        <v>165</v>
      </c>
      <c r="B209" s="6" t="s">
        <v>70</v>
      </c>
      <c r="C209" s="6" t="s">
        <v>9</v>
      </c>
      <c r="D209" s="6" t="s">
        <v>292</v>
      </c>
      <c r="E209" s="27" t="n">
        <f aca="false">Narxlar!$C$61</f>
        <v>0.9</v>
      </c>
      <c r="F209" s="27" t="n">
        <f aca="false">Narxlar!$C$58</f>
        <v>1</v>
      </c>
      <c r="G209" s="46" t="n">
        <f aca="false">E209*F209</f>
        <v>0.9</v>
      </c>
      <c r="H209" s="5" t="s">
        <v>148</v>
      </c>
      <c r="I209" s="7" t="n">
        <f aca="false">Narxlar!$C$6</f>
        <v>12</v>
      </c>
      <c r="J209" s="47" t="n">
        <f aca="false">G209*I209</f>
        <v>10.8</v>
      </c>
    </row>
    <row r="210" customFormat="false" ht="15" hidden="false" customHeight="false" outlineLevel="0" collapsed="false">
      <c r="A210" s="5" t="n">
        <v>166</v>
      </c>
      <c r="B210" s="6" t="s">
        <v>70</v>
      </c>
      <c r="C210" s="6" t="s">
        <v>9</v>
      </c>
      <c r="D210" s="6" t="s">
        <v>293</v>
      </c>
      <c r="E210" s="27" t="n">
        <f aca="false">Narxlar!$C$61</f>
        <v>0.9</v>
      </c>
      <c r="F210" s="27" t="n">
        <f aca="false">Narxlar!$C$58</f>
        <v>1</v>
      </c>
      <c r="G210" s="46" t="n">
        <f aca="false">E210*F210</f>
        <v>0.9</v>
      </c>
      <c r="H210" s="5" t="s">
        <v>148</v>
      </c>
      <c r="I210" s="7" t="n">
        <f aca="false">Narxlar!$C$6</f>
        <v>12</v>
      </c>
      <c r="J210" s="47" t="n">
        <f aca="false">G210*I210</f>
        <v>10.8</v>
      </c>
    </row>
    <row r="211" customFormat="false" ht="15" hidden="false" customHeight="false" outlineLevel="0" collapsed="false">
      <c r="A211" s="5" t="n">
        <v>167</v>
      </c>
      <c r="B211" s="6" t="s">
        <v>70</v>
      </c>
      <c r="C211" s="6" t="s">
        <v>9</v>
      </c>
      <c r="D211" s="6" t="s">
        <v>294</v>
      </c>
      <c r="E211" s="27" t="n">
        <f aca="false">Narxlar!$C$61</f>
        <v>0.9</v>
      </c>
      <c r="F211" s="27" t="n">
        <f aca="false">Narxlar!$C$58</f>
        <v>1</v>
      </c>
      <c r="G211" s="46" t="n">
        <f aca="false">E211*F211</f>
        <v>0.9</v>
      </c>
      <c r="H211" s="5" t="s">
        <v>148</v>
      </c>
      <c r="I211" s="7" t="n">
        <f aca="false">Narxlar!$C$6</f>
        <v>12</v>
      </c>
      <c r="J211" s="47" t="n">
        <f aca="false">G211*I211</f>
        <v>10.8</v>
      </c>
    </row>
    <row r="212" customFormat="false" ht="15" hidden="false" customHeight="false" outlineLevel="0" collapsed="false">
      <c r="A212" s="5" t="n">
        <v>168</v>
      </c>
      <c r="B212" s="6" t="s">
        <v>70</v>
      </c>
      <c r="C212" s="6" t="s">
        <v>13</v>
      </c>
      <c r="D212" s="6" t="s">
        <v>278</v>
      </c>
      <c r="E212" s="45"/>
      <c r="F212" s="46"/>
      <c r="G212" s="48" t="n">
        <v>1</v>
      </c>
      <c r="H212" s="5" t="s">
        <v>221</v>
      </c>
      <c r="I212" s="7" t="n">
        <f aca="false">Narxlar!$C$11</f>
        <v>336</v>
      </c>
      <c r="J212" s="47" t="n">
        <f aca="false">G212*I212</f>
        <v>336</v>
      </c>
    </row>
    <row r="213" customFormat="false" ht="15" hidden="false" customHeight="false" outlineLevel="0" collapsed="false">
      <c r="A213" s="49"/>
      <c r="B213" s="49"/>
      <c r="C213" s="49"/>
      <c r="D213" s="11" t="s">
        <v>295</v>
      </c>
      <c r="E213" s="49"/>
      <c r="F213" s="49"/>
      <c r="G213" s="49"/>
      <c r="H213" s="49"/>
      <c r="I213" s="49"/>
      <c r="J213" s="12" t="n">
        <f aca="false">SUM(J193:J212)</f>
        <v>892.2</v>
      </c>
    </row>
    <row r="215" customFormat="false" ht="15" hidden="false" customHeight="false" outlineLevel="0" collapsed="false">
      <c r="A215" s="25" t="s">
        <v>71</v>
      </c>
      <c r="B215" s="26"/>
      <c r="C215" s="26"/>
      <c r="D215" s="26"/>
      <c r="E215" s="26"/>
      <c r="F215" s="26"/>
      <c r="G215" s="26"/>
      <c r="H215" s="26"/>
      <c r="I215" s="26"/>
      <c r="J215" s="26"/>
    </row>
    <row r="216" customFormat="false" ht="15" hidden="false" customHeight="false" outlineLevel="0" collapsed="false">
      <c r="A216" s="5" t="n">
        <v>169</v>
      </c>
      <c r="B216" s="6" t="s">
        <v>71</v>
      </c>
      <c r="C216" s="6" t="s">
        <v>9</v>
      </c>
      <c r="D216" s="6" t="s">
        <v>296</v>
      </c>
      <c r="E216" s="45" t="n">
        <v>0.4</v>
      </c>
      <c r="F216" s="27" t="n">
        <f aca="false">Narxlar!$C$56</f>
        <v>3.5</v>
      </c>
      <c r="G216" s="46" t="n">
        <f aca="false">E216*F216</f>
        <v>1.4</v>
      </c>
      <c r="H216" s="5" t="s">
        <v>148</v>
      </c>
      <c r="I216" s="7" t="n">
        <f aca="false">Narxlar!$C$6</f>
        <v>12</v>
      </c>
      <c r="J216" s="47" t="n">
        <f aca="false">G216*I216</f>
        <v>16.8</v>
      </c>
    </row>
    <row r="217" customFormat="false" ht="15" hidden="false" customHeight="false" outlineLevel="0" collapsed="false">
      <c r="A217" s="5" t="n">
        <v>170</v>
      </c>
      <c r="B217" s="6" t="s">
        <v>71</v>
      </c>
      <c r="C217" s="6" t="s">
        <v>9</v>
      </c>
      <c r="D217" s="6" t="s">
        <v>297</v>
      </c>
      <c r="E217" s="45" t="n">
        <v>0.7</v>
      </c>
      <c r="F217" s="27" t="n">
        <f aca="false">Narxlar!$C$56</f>
        <v>3.5</v>
      </c>
      <c r="G217" s="46" t="n">
        <f aca="false">E217*F217</f>
        <v>2.45</v>
      </c>
      <c r="H217" s="5" t="s">
        <v>148</v>
      </c>
      <c r="I217" s="7" t="n">
        <f aca="false">Narxlar!$C$6</f>
        <v>12</v>
      </c>
      <c r="J217" s="47" t="n">
        <f aca="false">G217*I217</f>
        <v>29.4</v>
      </c>
    </row>
    <row r="218" customFormat="false" ht="15" hidden="false" customHeight="false" outlineLevel="0" collapsed="false">
      <c r="A218" s="5" t="n">
        <v>171</v>
      </c>
      <c r="B218" s="6" t="s">
        <v>71</v>
      </c>
      <c r="C218" s="6" t="s">
        <v>9</v>
      </c>
      <c r="D218" s="6" t="s">
        <v>240</v>
      </c>
      <c r="E218" s="45" t="n">
        <v>1.65</v>
      </c>
      <c r="F218" s="27" t="n">
        <f aca="false">Narxlar!$C$56</f>
        <v>3.5</v>
      </c>
      <c r="G218" s="46" t="n">
        <f aca="false">E218*F218</f>
        <v>5.775</v>
      </c>
      <c r="H218" s="5" t="s">
        <v>148</v>
      </c>
      <c r="I218" s="7" t="n">
        <f aca="false">Narxlar!$C$6</f>
        <v>12</v>
      </c>
      <c r="J218" s="47" t="n">
        <f aca="false">G218*I218</f>
        <v>69.3</v>
      </c>
    </row>
    <row r="219" customFormat="false" ht="15" hidden="false" customHeight="false" outlineLevel="0" collapsed="false">
      <c r="A219" s="5" t="n">
        <v>172</v>
      </c>
      <c r="B219" s="6" t="s">
        <v>71</v>
      </c>
      <c r="C219" s="6" t="s">
        <v>13</v>
      </c>
      <c r="D219" s="6" t="s">
        <v>278</v>
      </c>
      <c r="E219" s="45"/>
      <c r="F219" s="46"/>
      <c r="G219" s="48" t="n">
        <v>1</v>
      </c>
      <c r="H219" s="5" t="s">
        <v>221</v>
      </c>
      <c r="I219" s="7" t="n">
        <f aca="false">Narxlar!$C$11</f>
        <v>336</v>
      </c>
      <c r="J219" s="47" t="n">
        <f aca="false">G219*I219</f>
        <v>336</v>
      </c>
    </row>
    <row r="220" customFormat="false" ht="15" hidden="false" customHeight="false" outlineLevel="0" collapsed="false">
      <c r="A220" s="49"/>
      <c r="B220" s="49"/>
      <c r="C220" s="49"/>
      <c r="D220" s="11" t="s">
        <v>298</v>
      </c>
      <c r="E220" s="49"/>
      <c r="F220" s="49"/>
      <c r="G220" s="49"/>
      <c r="H220" s="49"/>
      <c r="I220" s="49"/>
      <c r="J220" s="12" t="n">
        <f aca="false">SUM(J216:J219)</f>
        <v>451.5</v>
      </c>
    </row>
    <row r="222" customFormat="false" ht="15" hidden="false" customHeight="false" outlineLevel="0" collapsed="false">
      <c r="A222" s="25" t="s">
        <v>72</v>
      </c>
      <c r="B222" s="26"/>
      <c r="C222" s="26"/>
      <c r="D222" s="26"/>
      <c r="E222" s="26"/>
      <c r="F222" s="26"/>
      <c r="G222" s="26"/>
      <c r="H222" s="26"/>
      <c r="I222" s="26"/>
      <c r="J222" s="26"/>
    </row>
    <row r="223" customFormat="false" ht="15" hidden="false" customHeight="false" outlineLevel="0" collapsed="false">
      <c r="A223" s="5" t="n">
        <v>173</v>
      </c>
      <c r="B223" s="6" t="s">
        <v>72</v>
      </c>
      <c r="C223" s="6" t="s">
        <v>9</v>
      </c>
      <c r="D223" s="6" t="s">
        <v>240</v>
      </c>
      <c r="E223" s="45" t="n">
        <v>2.6</v>
      </c>
      <c r="F223" s="27" t="n">
        <f aca="false">Narxlar!$C$56</f>
        <v>3.5</v>
      </c>
      <c r="G223" s="46" t="n">
        <f aca="false">E223*F223</f>
        <v>9.1</v>
      </c>
      <c r="H223" s="5" t="s">
        <v>148</v>
      </c>
      <c r="I223" s="7" t="n">
        <f aca="false">Narxlar!$C$6</f>
        <v>12</v>
      </c>
      <c r="J223" s="47" t="n">
        <f aca="false">G223*I223</f>
        <v>109.2</v>
      </c>
    </row>
    <row r="224" customFormat="false" ht="15" hidden="false" customHeight="false" outlineLevel="0" collapsed="false">
      <c r="A224" s="49"/>
      <c r="B224" s="49"/>
      <c r="C224" s="49"/>
      <c r="D224" s="11" t="s">
        <v>299</v>
      </c>
      <c r="E224" s="49"/>
      <c r="F224" s="49"/>
      <c r="G224" s="49"/>
      <c r="H224" s="49"/>
      <c r="I224" s="49"/>
      <c r="J224" s="12" t="n">
        <f aca="false">SUM(J223:J223)</f>
        <v>109.2</v>
      </c>
    </row>
    <row r="226" customFormat="false" ht="15" hidden="false" customHeight="false" outlineLevel="0" collapsed="false">
      <c r="A226" s="25" t="s">
        <v>73</v>
      </c>
      <c r="B226" s="26"/>
      <c r="C226" s="26"/>
      <c r="D226" s="26"/>
      <c r="E226" s="26"/>
      <c r="F226" s="26"/>
      <c r="G226" s="26"/>
      <c r="H226" s="26"/>
      <c r="I226" s="26"/>
      <c r="J226" s="26"/>
    </row>
    <row r="227" customFormat="false" ht="15" hidden="false" customHeight="false" outlineLevel="0" collapsed="false">
      <c r="A227" s="5" t="n">
        <v>174</v>
      </c>
      <c r="B227" s="6" t="s">
        <v>73</v>
      </c>
      <c r="C227" s="6" t="s">
        <v>12</v>
      </c>
      <c r="D227" s="6" t="s">
        <v>300</v>
      </c>
      <c r="E227" s="27" t="n">
        <f aca="false">Narxlar!$C$10</f>
        <v>24</v>
      </c>
      <c r="F227" s="46"/>
      <c r="G227" s="46" t="n">
        <f aca="false">E227</f>
        <v>24</v>
      </c>
      <c r="H227" s="5" t="s">
        <v>96</v>
      </c>
      <c r="I227" s="7" t="n">
        <f aca="false">Narxlar!$C$9</f>
        <v>84</v>
      </c>
      <c r="J227" s="47" t="n">
        <f aca="false">G227*I227</f>
        <v>2016</v>
      </c>
    </row>
    <row r="228" customFormat="false" ht="15" hidden="false" customHeight="false" outlineLevel="0" collapsed="false">
      <c r="A228" s="49"/>
      <c r="B228" s="49"/>
      <c r="C228" s="49"/>
      <c r="D228" s="11" t="s">
        <v>301</v>
      </c>
      <c r="E228" s="49"/>
      <c r="F228" s="49"/>
      <c r="G228" s="49"/>
      <c r="H228" s="49"/>
      <c r="I228" s="49"/>
      <c r="J228" s="12" t="n">
        <f aca="false">SUM(J227:J227)</f>
        <v>2016</v>
      </c>
    </row>
    <row r="230" customFormat="false" ht="15" hidden="false" customHeight="false" outlineLevel="0" collapsed="false">
      <c r="A230" s="25" t="s">
        <v>74</v>
      </c>
      <c r="B230" s="26"/>
      <c r="C230" s="26"/>
      <c r="D230" s="26"/>
      <c r="E230" s="26"/>
      <c r="F230" s="26"/>
      <c r="G230" s="26"/>
      <c r="H230" s="26"/>
      <c r="I230" s="26"/>
      <c r="J230" s="26"/>
    </row>
    <row r="231" customFormat="false" ht="15" hidden="false" customHeight="false" outlineLevel="0" collapsed="false">
      <c r="A231" s="5" t="n">
        <v>175</v>
      </c>
      <c r="B231" s="6" t="s">
        <v>74</v>
      </c>
      <c r="C231" s="6" t="s">
        <v>14</v>
      </c>
      <c r="D231" s="6" t="s">
        <v>103</v>
      </c>
      <c r="E231" s="45"/>
      <c r="F231" s="46"/>
      <c r="G231" s="29" t="n">
        <f aca="false">Narxlar!$C$14</f>
        <v>16</v>
      </c>
      <c r="H231" s="5" t="s">
        <v>105</v>
      </c>
      <c r="I231" s="7" t="n">
        <f aca="false">Narxlar!$C$13</f>
        <v>40</v>
      </c>
      <c r="J231" s="47" t="n">
        <f aca="false">G231*I231</f>
        <v>640</v>
      </c>
    </row>
    <row r="232" customFormat="false" ht="15" hidden="false" customHeight="false" outlineLevel="0" collapsed="false">
      <c r="A232" s="5" t="n">
        <v>176</v>
      </c>
      <c r="B232" s="6" t="s">
        <v>74</v>
      </c>
      <c r="C232" s="6" t="s">
        <v>14</v>
      </c>
      <c r="D232" s="6" t="s">
        <v>302</v>
      </c>
      <c r="E232" s="45"/>
      <c r="F232" s="46"/>
      <c r="G232" s="29" t="n">
        <f aca="false">Narxlar!$C$14</f>
        <v>16</v>
      </c>
      <c r="H232" s="5" t="s">
        <v>105</v>
      </c>
      <c r="I232" s="7" t="n">
        <f aca="false">Narxlar!$C$15</f>
        <v>21</v>
      </c>
      <c r="J232" s="47" t="n">
        <f aca="false">G232*I232</f>
        <v>336</v>
      </c>
    </row>
    <row r="233" customFormat="false" ht="15" hidden="false" customHeight="false" outlineLevel="0" collapsed="false">
      <c r="A233" s="5" t="n">
        <v>177</v>
      </c>
      <c r="B233" s="6" t="s">
        <v>74</v>
      </c>
      <c r="C233" s="6" t="s">
        <v>14</v>
      </c>
      <c r="D233" s="6" t="s">
        <v>107</v>
      </c>
      <c r="E233" s="45"/>
      <c r="F233" s="46"/>
      <c r="G233" s="48" t="n">
        <v>1</v>
      </c>
      <c r="H233" s="5" t="s">
        <v>105</v>
      </c>
      <c r="I233" s="7" t="n">
        <f aca="false">Narxlar!$C$16</f>
        <v>840</v>
      </c>
      <c r="J233" s="47" t="n">
        <f aca="false">G233*I233</f>
        <v>840</v>
      </c>
    </row>
    <row r="234" customFormat="false" ht="15" hidden="false" customHeight="false" outlineLevel="0" collapsed="false">
      <c r="A234" s="5" t="n">
        <v>178</v>
      </c>
      <c r="B234" s="6" t="s">
        <v>74</v>
      </c>
      <c r="C234" s="6" t="s">
        <v>14</v>
      </c>
      <c r="D234" s="6" t="s">
        <v>303</v>
      </c>
      <c r="E234" s="45"/>
      <c r="F234" s="46"/>
      <c r="G234" s="48" t="n">
        <v>1</v>
      </c>
      <c r="H234" s="5" t="s">
        <v>221</v>
      </c>
      <c r="I234" s="7" t="n">
        <f aca="false">Narxlar!$C$17</f>
        <v>303</v>
      </c>
      <c r="J234" s="47" t="n">
        <f aca="false">G234*I234</f>
        <v>303</v>
      </c>
    </row>
    <row r="235" customFormat="false" ht="15" hidden="false" customHeight="false" outlineLevel="0" collapsed="false">
      <c r="A235" s="5" t="n">
        <v>179</v>
      </c>
      <c r="B235" s="6" t="s">
        <v>74</v>
      </c>
      <c r="C235" s="6" t="s">
        <v>15</v>
      </c>
      <c r="D235" s="6" t="s">
        <v>111</v>
      </c>
      <c r="E235" s="45"/>
      <c r="F235" s="46"/>
      <c r="G235" s="48" t="n">
        <v>1</v>
      </c>
      <c r="H235" s="5" t="s">
        <v>221</v>
      </c>
      <c r="I235" s="7" t="n">
        <f aca="false">Narxlar!$C$18</f>
        <v>2500</v>
      </c>
      <c r="J235" s="47" t="n">
        <f aca="false">G235*I235</f>
        <v>2500</v>
      </c>
    </row>
    <row r="236" customFormat="false" ht="15" hidden="false" customHeight="false" outlineLevel="0" collapsed="false">
      <c r="A236" s="5" t="n">
        <v>180</v>
      </c>
      <c r="B236" s="6" t="s">
        <v>74</v>
      </c>
      <c r="C236" s="6" t="s">
        <v>16</v>
      </c>
      <c r="D236" s="6" t="s">
        <v>304</v>
      </c>
      <c r="E236" s="45"/>
      <c r="F236" s="46"/>
      <c r="G236" s="29" t="n">
        <f aca="false">Narxlar!$C$21</f>
        <v>8</v>
      </c>
      <c r="H236" s="5" t="s">
        <v>105</v>
      </c>
      <c r="I236" s="7" t="n">
        <f aca="false">Narxlar!$C$20/Narxlar!$C$19</f>
        <v>67.2268907563025</v>
      </c>
      <c r="J236" s="47" t="n">
        <f aca="false">G236*I236</f>
        <v>537.81512605042</v>
      </c>
    </row>
    <row r="237" customFormat="false" ht="15" hidden="false" customHeight="false" outlineLevel="0" collapsed="false">
      <c r="A237" s="5" t="n">
        <v>181</v>
      </c>
      <c r="B237" s="6" t="s">
        <v>74</v>
      </c>
      <c r="C237" s="6" t="s">
        <v>17</v>
      </c>
      <c r="D237" s="6" t="s">
        <v>305</v>
      </c>
      <c r="E237" s="45"/>
      <c r="F237" s="46"/>
      <c r="G237" s="48" t="n">
        <v>1</v>
      </c>
      <c r="H237" s="5" t="s">
        <v>221</v>
      </c>
      <c r="I237" s="7" t="n">
        <f aca="false">Narxlar!$C$22/Narxlar!$C$19</f>
        <v>1512.60504201681</v>
      </c>
      <c r="J237" s="47" t="n">
        <f aca="false">G237*I237</f>
        <v>1512.60504201681</v>
      </c>
    </row>
    <row r="238" customFormat="false" ht="15" hidden="false" customHeight="false" outlineLevel="0" collapsed="false">
      <c r="A238" s="5" t="n">
        <v>182</v>
      </c>
      <c r="B238" s="6" t="s">
        <v>74</v>
      </c>
      <c r="C238" s="6" t="s">
        <v>18</v>
      </c>
      <c r="D238" s="6" t="s">
        <v>306</v>
      </c>
      <c r="E238" s="45" t="n">
        <v>1.1</v>
      </c>
      <c r="F238" s="27" t="n">
        <f aca="false">Narxlar!$C$56</f>
        <v>3.5</v>
      </c>
      <c r="G238" s="46" t="n">
        <f aca="false">E238*F238</f>
        <v>3.85</v>
      </c>
      <c r="H238" s="5" t="s">
        <v>148</v>
      </c>
      <c r="I238" s="7" t="n">
        <f aca="false">Narxlar!$C$23/Narxlar!$C$19</f>
        <v>4.20168067226891</v>
      </c>
      <c r="J238" s="47" t="n">
        <f aca="false">G238*I238</f>
        <v>16.1764705882353</v>
      </c>
    </row>
    <row r="239" customFormat="false" ht="15" hidden="false" customHeight="false" outlineLevel="0" collapsed="false">
      <c r="A239" s="5" t="n">
        <v>183</v>
      </c>
      <c r="B239" s="6" t="s">
        <v>74</v>
      </c>
      <c r="C239" s="6" t="s">
        <v>18</v>
      </c>
      <c r="D239" s="6" t="s">
        <v>307</v>
      </c>
      <c r="E239" s="45" t="n">
        <v>5.6</v>
      </c>
      <c r="F239" s="27" t="n">
        <f aca="false">Narxlar!$C$56</f>
        <v>3.5</v>
      </c>
      <c r="G239" s="46" t="n">
        <f aca="false">E239*F239</f>
        <v>19.6</v>
      </c>
      <c r="H239" s="5" t="s">
        <v>148</v>
      </c>
      <c r="I239" s="7" t="n">
        <f aca="false">Narxlar!$C$23/Narxlar!$C$19</f>
        <v>4.20168067226891</v>
      </c>
      <c r="J239" s="47" t="n">
        <f aca="false">G239*I239</f>
        <v>82.3529411764706</v>
      </c>
    </row>
    <row r="240" customFormat="false" ht="15" hidden="false" customHeight="false" outlineLevel="0" collapsed="false">
      <c r="A240" s="5" t="n">
        <v>184</v>
      </c>
      <c r="B240" s="6" t="s">
        <v>74</v>
      </c>
      <c r="C240" s="6" t="s">
        <v>18</v>
      </c>
      <c r="D240" s="6" t="s">
        <v>307</v>
      </c>
      <c r="E240" s="45" t="n">
        <v>5.6</v>
      </c>
      <c r="F240" s="27" t="n">
        <f aca="false">Narxlar!$C$56</f>
        <v>3.5</v>
      </c>
      <c r="G240" s="46" t="n">
        <f aca="false">E240*F240</f>
        <v>19.6</v>
      </c>
      <c r="H240" s="5" t="s">
        <v>148</v>
      </c>
      <c r="I240" s="7" t="n">
        <f aca="false">Narxlar!$C$23/Narxlar!$C$19</f>
        <v>4.20168067226891</v>
      </c>
      <c r="J240" s="47" t="n">
        <f aca="false">G240*I240</f>
        <v>82.3529411764706</v>
      </c>
    </row>
    <row r="241" customFormat="false" ht="15" hidden="false" customHeight="false" outlineLevel="0" collapsed="false">
      <c r="A241" s="5" t="n">
        <v>185</v>
      </c>
      <c r="B241" s="6" t="s">
        <v>74</v>
      </c>
      <c r="C241" s="6" t="s">
        <v>18</v>
      </c>
      <c r="D241" s="6" t="s">
        <v>307</v>
      </c>
      <c r="E241" s="45" t="n">
        <v>0.75</v>
      </c>
      <c r="F241" s="27" t="n">
        <f aca="false">Narxlar!$C$56</f>
        <v>3.5</v>
      </c>
      <c r="G241" s="46" t="n">
        <f aca="false">E241*F241</f>
        <v>2.625</v>
      </c>
      <c r="H241" s="5" t="s">
        <v>148</v>
      </c>
      <c r="I241" s="7" t="n">
        <f aca="false">Narxlar!$C$23/Narxlar!$C$19</f>
        <v>4.20168067226891</v>
      </c>
      <c r="J241" s="47" t="n">
        <f aca="false">G241*I241</f>
        <v>11.0294117647059</v>
      </c>
    </row>
    <row r="242" customFormat="false" ht="15" hidden="false" customHeight="false" outlineLevel="0" collapsed="false">
      <c r="A242" s="5" t="n">
        <v>186</v>
      </c>
      <c r="B242" s="6" t="s">
        <v>74</v>
      </c>
      <c r="C242" s="6" t="s">
        <v>18</v>
      </c>
      <c r="D242" s="6" t="s">
        <v>307</v>
      </c>
      <c r="E242" s="45" t="n">
        <v>3.4</v>
      </c>
      <c r="F242" s="27" t="n">
        <f aca="false">Narxlar!$C$56</f>
        <v>3.5</v>
      </c>
      <c r="G242" s="46" t="n">
        <f aca="false">E242*F242</f>
        <v>11.9</v>
      </c>
      <c r="H242" s="5" t="s">
        <v>148</v>
      </c>
      <c r="I242" s="7" t="n">
        <f aca="false">Narxlar!$C$23/Narxlar!$C$19</f>
        <v>4.20168067226891</v>
      </c>
      <c r="J242" s="47" t="n">
        <f aca="false">G242*I242</f>
        <v>50</v>
      </c>
    </row>
    <row r="243" customFormat="false" ht="15" hidden="false" customHeight="false" outlineLevel="0" collapsed="false">
      <c r="A243" s="5" t="n">
        <v>187</v>
      </c>
      <c r="B243" s="6" t="s">
        <v>74</v>
      </c>
      <c r="C243" s="6" t="s">
        <v>18</v>
      </c>
      <c r="D243" s="6" t="s">
        <v>308</v>
      </c>
      <c r="E243" s="45" t="n">
        <v>4.2</v>
      </c>
      <c r="F243" s="27" t="n">
        <f aca="false">Narxlar!$C$56</f>
        <v>3.5</v>
      </c>
      <c r="G243" s="46" t="n">
        <f aca="false">E243*F243</f>
        <v>14.7</v>
      </c>
      <c r="H243" s="5" t="s">
        <v>148</v>
      </c>
      <c r="I243" s="7" t="n">
        <f aca="false">Narxlar!$C$23/Narxlar!$C$19</f>
        <v>4.20168067226891</v>
      </c>
      <c r="J243" s="47" t="n">
        <f aca="false">G243*I243</f>
        <v>61.764705882353</v>
      </c>
    </row>
    <row r="244" customFormat="false" ht="15" hidden="false" customHeight="false" outlineLevel="0" collapsed="false">
      <c r="A244" s="5" t="n">
        <v>188</v>
      </c>
      <c r="B244" s="6" t="s">
        <v>74</v>
      </c>
      <c r="C244" s="6" t="s">
        <v>18</v>
      </c>
      <c r="D244" s="6" t="s">
        <v>306</v>
      </c>
      <c r="E244" s="45" t="n">
        <v>1.5</v>
      </c>
      <c r="F244" s="27" t="n">
        <f aca="false">Narxlar!$C$56</f>
        <v>3.5</v>
      </c>
      <c r="G244" s="46" t="n">
        <f aca="false">E244*F244</f>
        <v>5.25</v>
      </c>
      <c r="H244" s="5" t="s">
        <v>148</v>
      </c>
      <c r="I244" s="7" t="n">
        <f aca="false">Narxlar!$C$23/Narxlar!$C$19</f>
        <v>4.20168067226891</v>
      </c>
      <c r="J244" s="47" t="n">
        <f aca="false">G244*I244</f>
        <v>22.0588235294118</v>
      </c>
    </row>
    <row r="245" customFormat="false" ht="15" hidden="false" customHeight="false" outlineLevel="0" collapsed="false">
      <c r="A245" s="5" t="n">
        <v>189</v>
      </c>
      <c r="B245" s="6" t="s">
        <v>74</v>
      </c>
      <c r="C245" s="6" t="s">
        <v>18</v>
      </c>
      <c r="D245" s="6" t="s">
        <v>309</v>
      </c>
      <c r="E245" s="45" t="n">
        <v>0.2</v>
      </c>
      <c r="F245" s="27" t="n">
        <f aca="false">Narxlar!$C$56</f>
        <v>3.5</v>
      </c>
      <c r="G245" s="46" t="n">
        <f aca="false">E245*F245</f>
        <v>0.7</v>
      </c>
      <c r="H245" s="5" t="s">
        <v>148</v>
      </c>
      <c r="I245" s="7" t="n">
        <f aca="false">Narxlar!$C$23/Narxlar!$C$19</f>
        <v>4.20168067226891</v>
      </c>
      <c r="J245" s="47" t="n">
        <f aca="false">G245*I245</f>
        <v>2.94117647058824</v>
      </c>
    </row>
    <row r="246" customFormat="false" ht="15" hidden="false" customHeight="false" outlineLevel="0" collapsed="false">
      <c r="A246" s="5" t="n">
        <v>190</v>
      </c>
      <c r="B246" s="6" t="s">
        <v>74</v>
      </c>
      <c r="C246" s="6" t="s">
        <v>18</v>
      </c>
      <c r="D246" s="6" t="s">
        <v>306</v>
      </c>
      <c r="E246" s="45" t="n">
        <v>1.5</v>
      </c>
      <c r="F246" s="27" t="n">
        <f aca="false">Narxlar!$C$56</f>
        <v>3.5</v>
      </c>
      <c r="G246" s="46" t="n">
        <f aca="false">E246*F246</f>
        <v>5.25</v>
      </c>
      <c r="H246" s="5" t="s">
        <v>148</v>
      </c>
      <c r="I246" s="7" t="n">
        <f aca="false">Narxlar!$C$23/Narxlar!$C$19</f>
        <v>4.20168067226891</v>
      </c>
      <c r="J246" s="47" t="n">
        <f aca="false">G246*I246</f>
        <v>22.0588235294118</v>
      </c>
    </row>
    <row r="247" customFormat="false" ht="15" hidden="false" customHeight="false" outlineLevel="0" collapsed="false">
      <c r="A247" s="5" t="n">
        <v>191</v>
      </c>
      <c r="B247" s="6" t="s">
        <v>74</v>
      </c>
      <c r="C247" s="6" t="s">
        <v>18</v>
      </c>
      <c r="D247" s="6" t="s">
        <v>310</v>
      </c>
      <c r="E247" s="45"/>
      <c r="F247" s="46"/>
      <c r="G247" s="48" t="n">
        <v>1</v>
      </c>
      <c r="H247" s="5" t="s">
        <v>221</v>
      </c>
      <c r="I247" s="7" t="n">
        <f aca="false">Narxlar!$C$24/Narxlar!$C$19</f>
        <v>100.840336134454</v>
      </c>
      <c r="J247" s="47" t="n">
        <f aca="false">G247*I247</f>
        <v>100.840336134454</v>
      </c>
    </row>
    <row r="248" customFormat="false" ht="15" hidden="false" customHeight="false" outlineLevel="0" collapsed="false">
      <c r="A248" s="5" t="n">
        <v>192</v>
      </c>
      <c r="B248" s="6" t="s">
        <v>74</v>
      </c>
      <c r="C248" s="6" t="s">
        <v>21</v>
      </c>
      <c r="D248" s="6" t="s">
        <v>311</v>
      </c>
      <c r="E248" s="45"/>
      <c r="F248" s="46"/>
      <c r="G248" s="48" t="n">
        <v>1</v>
      </c>
      <c r="H248" s="5" t="s">
        <v>221</v>
      </c>
      <c r="I248" s="7" t="n">
        <f aca="false">Narxlar!$C$52</f>
        <v>7000</v>
      </c>
      <c r="J248" s="47" t="n">
        <f aca="false">G248*I248</f>
        <v>7000</v>
      </c>
    </row>
    <row r="249" customFormat="false" ht="15" hidden="false" customHeight="false" outlineLevel="0" collapsed="false">
      <c r="A249" s="5" t="n">
        <v>193</v>
      </c>
      <c r="B249" s="6" t="s">
        <v>74</v>
      </c>
      <c r="C249" s="6" t="s">
        <v>21</v>
      </c>
      <c r="D249" s="6" t="s">
        <v>312</v>
      </c>
      <c r="E249" s="45"/>
      <c r="F249" s="46"/>
      <c r="G249" s="48" t="n">
        <v>1</v>
      </c>
      <c r="H249" s="5" t="s">
        <v>221</v>
      </c>
      <c r="I249" s="7" t="n">
        <f aca="false">Narxlar!$C$53</f>
        <v>7000</v>
      </c>
      <c r="J249" s="47" t="n">
        <f aca="false">G249*I249</f>
        <v>7000</v>
      </c>
    </row>
    <row r="250" customFormat="false" ht="15" hidden="false" customHeight="false" outlineLevel="0" collapsed="false">
      <c r="A250" s="49"/>
      <c r="B250" s="49"/>
      <c r="C250" s="49"/>
      <c r="D250" s="11" t="s">
        <v>313</v>
      </c>
      <c r="E250" s="49"/>
      <c r="F250" s="49"/>
      <c r="G250" s="49"/>
      <c r="H250" s="49"/>
      <c r="I250" s="49"/>
      <c r="J250" s="12" t="n">
        <f aca="false">SUM(J231:J249)</f>
        <v>21120.9957983193</v>
      </c>
    </row>
    <row r="252" customFormat="false" ht="15" hidden="false" customHeight="false" outlineLevel="0" collapsed="false">
      <c r="A252" s="25" t="s">
        <v>76</v>
      </c>
      <c r="B252" s="26"/>
      <c r="C252" s="26"/>
      <c r="D252" s="26"/>
      <c r="E252" s="26"/>
      <c r="F252" s="26"/>
      <c r="G252" s="26"/>
      <c r="H252" s="26"/>
      <c r="I252" s="26"/>
      <c r="J252" s="26"/>
    </row>
    <row r="253" customFormat="false" ht="15" hidden="false" customHeight="false" outlineLevel="0" collapsed="false">
      <c r="A253" s="5" t="n">
        <v>194</v>
      </c>
      <c r="B253" s="6" t="s">
        <v>76</v>
      </c>
      <c r="C253" s="6" t="s">
        <v>10</v>
      </c>
      <c r="D253" s="6" t="s">
        <v>314</v>
      </c>
      <c r="E253" s="45" t="n">
        <v>5.45</v>
      </c>
      <c r="F253" s="27" t="n">
        <f aca="false">Narxlar!$C$63</f>
        <v>2.5</v>
      </c>
      <c r="G253" s="46" t="n">
        <f aca="false">E253*F253</f>
        <v>13.625</v>
      </c>
      <c r="H253" s="5" t="s">
        <v>148</v>
      </c>
      <c r="I253" s="7" t="n">
        <f aca="false">Narxlar!$C$7</f>
        <v>15.5</v>
      </c>
      <c r="J253" s="47" t="n">
        <f aca="false">G253*I253</f>
        <v>211.1875</v>
      </c>
    </row>
    <row r="254" customFormat="false" ht="15" hidden="false" customHeight="false" outlineLevel="0" collapsed="false">
      <c r="A254" s="5" t="n">
        <v>195</v>
      </c>
      <c r="B254" s="6" t="s">
        <v>76</v>
      </c>
      <c r="C254" s="6" t="s">
        <v>10</v>
      </c>
      <c r="D254" s="6" t="s">
        <v>315</v>
      </c>
      <c r="E254" s="45" t="n">
        <v>5.45</v>
      </c>
      <c r="F254" s="27" t="n">
        <f aca="false">Narxlar!$C$63</f>
        <v>2.5</v>
      </c>
      <c r="G254" s="46" t="n">
        <f aca="false">E254*F254</f>
        <v>13.625</v>
      </c>
      <c r="H254" s="5" t="s">
        <v>148</v>
      </c>
      <c r="I254" s="7" t="n">
        <f aca="false">Narxlar!$C$7</f>
        <v>15.5</v>
      </c>
      <c r="J254" s="47" t="n">
        <f aca="false">G254*I254</f>
        <v>211.1875</v>
      </c>
    </row>
    <row r="255" customFormat="false" ht="15" hidden="false" customHeight="false" outlineLevel="0" collapsed="false">
      <c r="A255" s="5" t="n">
        <v>196</v>
      </c>
      <c r="B255" s="6" t="s">
        <v>76</v>
      </c>
      <c r="C255" s="6" t="s">
        <v>10</v>
      </c>
      <c r="D255" s="6" t="s">
        <v>316</v>
      </c>
      <c r="E255" s="45" t="n">
        <v>8.6</v>
      </c>
      <c r="F255" s="27" t="n">
        <f aca="false">Narxlar!$C$63</f>
        <v>2.5</v>
      </c>
      <c r="G255" s="46" t="n">
        <f aca="false">E255*F255</f>
        <v>21.5</v>
      </c>
      <c r="H255" s="5" t="s">
        <v>148</v>
      </c>
      <c r="I255" s="7" t="n">
        <f aca="false">Narxlar!$C$7</f>
        <v>15.5</v>
      </c>
      <c r="J255" s="47" t="n">
        <f aca="false">G255*I255</f>
        <v>333.25</v>
      </c>
    </row>
    <row r="256" customFormat="false" ht="15" hidden="false" customHeight="false" outlineLevel="0" collapsed="false">
      <c r="A256" s="5" t="n">
        <v>197</v>
      </c>
      <c r="B256" s="6" t="s">
        <v>76</v>
      </c>
      <c r="C256" s="6" t="s">
        <v>10</v>
      </c>
      <c r="D256" s="6" t="s">
        <v>261</v>
      </c>
      <c r="E256" s="27" t="n">
        <f aca="false">Narxlar!$C$61</f>
        <v>0.9</v>
      </c>
      <c r="F256" s="27" t="n">
        <f aca="false">Narxlar!$C$59</f>
        <v>2.1</v>
      </c>
      <c r="G256" s="46" t="n">
        <f aca="false">-E256*F256</f>
        <v>-1.89</v>
      </c>
      <c r="H256" s="5" t="s">
        <v>148</v>
      </c>
      <c r="I256" s="7" t="n">
        <f aca="false">Narxlar!$C$7</f>
        <v>15.5</v>
      </c>
      <c r="J256" s="47" t="n">
        <f aca="false">G256*I256</f>
        <v>-29.295</v>
      </c>
    </row>
    <row r="257" customFormat="false" ht="15" hidden="false" customHeight="false" outlineLevel="0" collapsed="false">
      <c r="A257" s="5" t="n">
        <v>198</v>
      </c>
      <c r="B257" s="6" t="s">
        <v>76</v>
      </c>
      <c r="C257" s="6" t="s">
        <v>11</v>
      </c>
      <c r="D257" s="6" t="s">
        <v>317</v>
      </c>
      <c r="E257" s="45"/>
      <c r="F257" s="46"/>
      <c r="G257" s="48" t="n">
        <v>1</v>
      </c>
      <c r="H257" s="5" t="s">
        <v>105</v>
      </c>
      <c r="I257" s="7" t="n">
        <f aca="false">Narxlar!$C$8</f>
        <v>1032</v>
      </c>
      <c r="J257" s="47" t="n">
        <f aca="false">G257*I257</f>
        <v>1032</v>
      </c>
    </row>
    <row r="258" customFormat="false" ht="15" hidden="false" customHeight="false" outlineLevel="0" collapsed="false">
      <c r="A258" s="5" t="n">
        <v>199</v>
      </c>
      <c r="B258" s="6" t="s">
        <v>76</v>
      </c>
      <c r="C258" s="6" t="s">
        <v>21</v>
      </c>
      <c r="D258" s="6" t="s">
        <v>318</v>
      </c>
      <c r="E258" s="45"/>
      <c r="F258" s="46"/>
      <c r="G258" s="48" t="n">
        <v>1</v>
      </c>
      <c r="H258" s="5" t="s">
        <v>105</v>
      </c>
      <c r="I258" s="7" t="n">
        <f aca="false">Narxlar!$C$54</f>
        <v>1000</v>
      </c>
      <c r="J258" s="47" t="n">
        <f aca="false">G258*I258</f>
        <v>1000</v>
      </c>
    </row>
    <row r="259" customFormat="false" ht="15" hidden="false" customHeight="false" outlineLevel="0" collapsed="false">
      <c r="A259" s="49"/>
      <c r="B259" s="49"/>
      <c r="C259" s="49"/>
      <c r="D259" s="11" t="s">
        <v>319</v>
      </c>
      <c r="E259" s="49"/>
      <c r="F259" s="49"/>
      <c r="G259" s="49"/>
      <c r="H259" s="49"/>
      <c r="I259" s="49"/>
      <c r="J259" s="12" t="n">
        <f aca="false">SUM(J253:J258)</f>
        <v>2758.33</v>
      </c>
    </row>
    <row r="261" customFormat="false" ht="15" hidden="false" customHeight="false" outlineLevel="0" collapsed="false">
      <c r="A261" s="25" t="s">
        <v>77</v>
      </c>
      <c r="B261" s="26"/>
      <c r="C261" s="26"/>
      <c r="D261" s="26"/>
      <c r="E261" s="26"/>
      <c r="F261" s="26"/>
      <c r="G261" s="26"/>
      <c r="H261" s="26"/>
      <c r="I261" s="26"/>
      <c r="J261" s="26"/>
    </row>
    <row r="262" customFormat="false" ht="15" hidden="false" customHeight="false" outlineLevel="0" collapsed="false">
      <c r="A262" s="5" t="n">
        <v>200</v>
      </c>
      <c r="B262" s="6" t="s">
        <v>77</v>
      </c>
      <c r="C262" s="6" t="s">
        <v>19</v>
      </c>
      <c r="D262" s="6" t="s">
        <v>320</v>
      </c>
      <c r="E262" s="45"/>
      <c r="F262" s="46"/>
      <c r="G262" s="29" t="n">
        <f aca="false">Narxlar!$C$26</f>
        <v>4</v>
      </c>
      <c r="H262" s="5" t="s">
        <v>105</v>
      </c>
      <c r="I262" s="7" t="n">
        <f aca="false">Narxlar!$C$25/Narxlar!$C$19</f>
        <v>58.8235294117647</v>
      </c>
      <c r="J262" s="47" t="n">
        <f aca="false">G262*I262</f>
        <v>235.294117647059</v>
      </c>
    </row>
    <row r="263" customFormat="false" ht="15" hidden="false" customHeight="false" outlineLevel="0" collapsed="false">
      <c r="A263" s="5" t="n">
        <v>201</v>
      </c>
      <c r="B263" s="6" t="s">
        <v>77</v>
      </c>
      <c r="C263" s="6" t="s">
        <v>19</v>
      </c>
      <c r="D263" s="6" t="s">
        <v>321</v>
      </c>
      <c r="E263" s="45"/>
      <c r="F263" s="46"/>
      <c r="G263" s="29" t="n">
        <f aca="false">Narxlar!$C$28</f>
        <v>3</v>
      </c>
      <c r="H263" s="5" t="s">
        <v>105</v>
      </c>
      <c r="I263" s="7" t="n">
        <f aca="false">Narxlar!$C$27/Narxlar!$C$19</f>
        <v>100.840336134454</v>
      </c>
      <c r="J263" s="47" t="n">
        <f aca="false">G263*I263</f>
        <v>302.521008403361</v>
      </c>
    </row>
    <row r="264" customFormat="false" ht="15" hidden="false" customHeight="false" outlineLevel="0" collapsed="false">
      <c r="A264" s="5" t="n">
        <v>202</v>
      </c>
      <c r="B264" s="6" t="s">
        <v>77</v>
      </c>
      <c r="C264" s="6" t="s">
        <v>19</v>
      </c>
      <c r="D264" s="6" t="s">
        <v>322</v>
      </c>
      <c r="E264" s="45"/>
      <c r="F264" s="46"/>
      <c r="G264" s="29" t="n">
        <f aca="false">Narxlar!$C$30</f>
        <v>4</v>
      </c>
      <c r="H264" s="5" t="s">
        <v>105</v>
      </c>
      <c r="I264" s="7" t="n">
        <f aca="false">Narxlar!$C$29/Narxlar!$C$19</f>
        <v>54.6218487394958</v>
      </c>
      <c r="J264" s="47" t="n">
        <f aca="false">G264*I264</f>
        <v>218.487394957983</v>
      </c>
    </row>
    <row r="265" customFormat="false" ht="15" hidden="false" customHeight="false" outlineLevel="0" collapsed="false">
      <c r="A265" s="5" t="n">
        <v>203</v>
      </c>
      <c r="B265" s="6" t="s">
        <v>77</v>
      </c>
      <c r="C265" s="6" t="s">
        <v>19</v>
      </c>
      <c r="D265" s="6" t="s">
        <v>323</v>
      </c>
      <c r="E265" s="45"/>
      <c r="F265" s="46"/>
      <c r="G265" s="29" t="n">
        <f aca="false">Narxlar!$C$32</f>
        <v>7</v>
      </c>
      <c r="H265" s="5" t="s">
        <v>105</v>
      </c>
      <c r="I265" s="7" t="n">
        <f aca="false">Narxlar!$C$31/Narxlar!$C$19</f>
        <v>16.8067226890756</v>
      </c>
      <c r="J265" s="47" t="n">
        <f aca="false">G265*I265</f>
        <v>117.647058823529</v>
      </c>
    </row>
    <row r="266" customFormat="false" ht="15" hidden="false" customHeight="false" outlineLevel="0" collapsed="false">
      <c r="A266" s="5" t="n">
        <v>204</v>
      </c>
      <c r="B266" s="6" t="s">
        <v>77</v>
      </c>
      <c r="C266" s="6" t="s">
        <v>19</v>
      </c>
      <c r="D266" s="6" t="s">
        <v>324</v>
      </c>
      <c r="E266" s="45"/>
      <c r="F266" s="46"/>
      <c r="G266" s="29" t="n">
        <f aca="false">Narxlar!$C$34</f>
        <v>4</v>
      </c>
      <c r="H266" s="5" t="s">
        <v>105</v>
      </c>
      <c r="I266" s="7" t="n">
        <f aca="false">Narxlar!$C$33/Narxlar!$C$19</f>
        <v>33.6134453781513</v>
      </c>
      <c r="J266" s="47" t="n">
        <f aca="false">G266*I266</f>
        <v>134.453781512605</v>
      </c>
    </row>
    <row r="267" customFormat="false" ht="15" hidden="false" customHeight="false" outlineLevel="0" collapsed="false">
      <c r="A267" s="5" t="n">
        <v>205</v>
      </c>
      <c r="B267" s="6" t="s">
        <v>77</v>
      </c>
      <c r="C267" s="6" t="s">
        <v>19</v>
      </c>
      <c r="D267" s="6" t="s">
        <v>325</v>
      </c>
      <c r="E267" s="45"/>
      <c r="F267" s="46"/>
      <c r="G267" s="29" t="n">
        <f aca="false">Narxlar!$C$36</f>
        <v>4</v>
      </c>
      <c r="H267" s="5" t="s">
        <v>105</v>
      </c>
      <c r="I267" s="7" t="n">
        <f aca="false">Narxlar!$C$35/Narxlar!$C$19</f>
        <v>33.6134453781513</v>
      </c>
      <c r="J267" s="47" t="n">
        <f aca="false">G267*I267</f>
        <v>134.453781512605</v>
      </c>
    </row>
    <row r="268" customFormat="false" ht="15" hidden="false" customHeight="false" outlineLevel="0" collapsed="false">
      <c r="A268" s="5" t="n">
        <v>206</v>
      </c>
      <c r="B268" s="6" t="s">
        <v>77</v>
      </c>
      <c r="C268" s="6" t="s">
        <v>19</v>
      </c>
      <c r="D268" s="6" t="s">
        <v>326</v>
      </c>
      <c r="E268" s="45"/>
      <c r="F268" s="46"/>
      <c r="G268" s="29" t="n">
        <f aca="false">Narxlar!$C$38</f>
        <v>16</v>
      </c>
      <c r="H268" s="5" t="s">
        <v>144</v>
      </c>
      <c r="I268" s="7" t="n">
        <f aca="false">Narxlar!$C$37/Narxlar!$C$19</f>
        <v>84.0336134453782</v>
      </c>
      <c r="J268" s="47" t="n">
        <f aca="false">G268*I268</f>
        <v>1344.53781512605</v>
      </c>
    </row>
    <row r="269" customFormat="false" ht="15" hidden="false" customHeight="false" outlineLevel="0" collapsed="false">
      <c r="A269" s="5" t="n">
        <v>207</v>
      </c>
      <c r="B269" s="6" t="s">
        <v>77</v>
      </c>
      <c r="C269" s="6" t="s">
        <v>19</v>
      </c>
      <c r="D269" s="6" t="s">
        <v>327</v>
      </c>
      <c r="E269" s="45"/>
      <c r="F269" s="46"/>
      <c r="G269" s="29" t="n">
        <f aca="false">Narxlar!$C$44</f>
        <v>4</v>
      </c>
      <c r="H269" s="5" t="s">
        <v>105</v>
      </c>
      <c r="I269" s="7" t="n">
        <f aca="false">Narxlar!$C$43/Narxlar!$C$19</f>
        <v>100.840336134454</v>
      </c>
      <c r="J269" s="47" t="n">
        <f aca="false">G269*I269</f>
        <v>403.361344537815</v>
      </c>
    </row>
    <row r="270" customFormat="false" ht="15" hidden="false" customHeight="false" outlineLevel="0" collapsed="false">
      <c r="A270" s="5" t="n">
        <v>208</v>
      </c>
      <c r="B270" s="6" t="s">
        <v>77</v>
      </c>
      <c r="C270" s="6" t="s">
        <v>19</v>
      </c>
      <c r="D270" s="6" t="s">
        <v>153</v>
      </c>
      <c r="E270" s="45"/>
      <c r="F270" s="46"/>
      <c r="G270" s="27" t="n">
        <f aca="false">Narxlar!$C$46</f>
        <v>40</v>
      </c>
      <c r="H270" s="5" t="s">
        <v>96</v>
      </c>
      <c r="I270" s="7" t="n">
        <f aca="false">Narxlar!$C$45/Narxlar!$C$19</f>
        <v>2.10084033613445</v>
      </c>
      <c r="J270" s="47" t="n">
        <f aca="false">G270*I270</f>
        <v>84.0336134453782</v>
      </c>
    </row>
    <row r="271" customFormat="false" ht="15" hidden="false" customHeight="false" outlineLevel="0" collapsed="false">
      <c r="A271" s="5" t="n">
        <v>209</v>
      </c>
      <c r="B271" s="6" t="s">
        <v>77</v>
      </c>
      <c r="C271" s="6" t="s">
        <v>19</v>
      </c>
      <c r="D271" s="6" t="s">
        <v>156</v>
      </c>
      <c r="E271" s="45"/>
      <c r="F271" s="46"/>
      <c r="G271" s="27" t="n">
        <f aca="false">Narxlar!$C$48</f>
        <v>40</v>
      </c>
      <c r="H271" s="5" t="s">
        <v>96</v>
      </c>
      <c r="I271" s="7" t="n">
        <f aca="false">Narxlar!$C$47/Narxlar!$C$19</f>
        <v>1.00840336134454</v>
      </c>
      <c r="J271" s="47" t="n">
        <f aca="false">G271*I271</f>
        <v>40.3361344537815</v>
      </c>
    </row>
    <row r="272" customFormat="false" ht="15" hidden="false" customHeight="false" outlineLevel="0" collapsed="false">
      <c r="A272" s="5" t="n">
        <v>210</v>
      </c>
      <c r="B272" s="6" t="s">
        <v>77</v>
      </c>
      <c r="C272" s="6" t="s">
        <v>19</v>
      </c>
      <c r="D272" s="6" t="s">
        <v>159</v>
      </c>
      <c r="E272" s="45"/>
      <c r="F272" s="46"/>
      <c r="G272" s="29" t="n">
        <f aca="false">Narxlar!$C$50</f>
        <v>100</v>
      </c>
      <c r="H272" s="5" t="s">
        <v>105</v>
      </c>
      <c r="I272" s="7" t="n">
        <f aca="false">Narxlar!$C$49/Narxlar!$C$19</f>
        <v>0.420168067226891</v>
      </c>
      <c r="J272" s="47" t="n">
        <f aca="false">G272*I272</f>
        <v>42.0168067226891</v>
      </c>
    </row>
    <row r="273" customFormat="false" ht="15" hidden="false" customHeight="false" outlineLevel="0" collapsed="false">
      <c r="A273" s="5" t="n">
        <v>211</v>
      </c>
      <c r="B273" s="6" t="s">
        <v>77</v>
      </c>
      <c r="C273" s="6" t="s">
        <v>19</v>
      </c>
      <c r="D273" s="6" t="s">
        <v>328</v>
      </c>
      <c r="E273" s="45"/>
      <c r="F273" s="46"/>
      <c r="G273" s="48" t="n">
        <v>1</v>
      </c>
      <c r="H273" s="5" t="s">
        <v>221</v>
      </c>
      <c r="I273" s="7" t="n">
        <f aca="false">Narxlar!$C$51/Narxlar!$C$19</f>
        <v>336.134453781513</v>
      </c>
      <c r="J273" s="47" t="n">
        <f aca="false">G273*I273</f>
        <v>336.134453781513</v>
      </c>
    </row>
    <row r="274" customFormat="false" ht="15" hidden="false" customHeight="false" outlineLevel="0" collapsed="false">
      <c r="A274" s="5" t="n">
        <v>212</v>
      </c>
      <c r="B274" s="6" t="s">
        <v>77</v>
      </c>
      <c r="C274" s="6" t="s">
        <v>20</v>
      </c>
      <c r="D274" s="6" t="s">
        <v>329</v>
      </c>
      <c r="E274" s="45"/>
      <c r="F274" s="46"/>
      <c r="G274" s="27" t="n">
        <f aca="false">Narxlar!$C$41</f>
        <v>58</v>
      </c>
      <c r="H274" s="5" t="s">
        <v>148</v>
      </c>
      <c r="I274" s="7" t="n">
        <f aca="false">Narxlar!$C$39/Narxlar!$C$19</f>
        <v>8.40336134453782</v>
      </c>
      <c r="J274" s="47" t="n">
        <f aca="false">G274*I274</f>
        <v>487.394957983193</v>
      </c>
    </row>
    <row r="275" customFormat="false" ht="15" hidden="false" customHeight="false" outlineLevel="0" collapsed="false">
      <c r="A275" s="5" t="n">
        <v>213</v>
      </c>
      <c r="B275" s="6" t="s">
        <v>77</v>
      </c>
      <c r="C275" s="6" t="s">
        <v>20</v>
      </c>
      <c r="D275" s="6" t="s">
        <v>330</v>
      </c>
      <c r="E275" s="45"/>
      <c r="F275" s="46"/>
      <c r="G275" s="27" t="n">
        <f aca="false">Narxlar!$C$41</f>
        <v>58</v>
      </c>
      <c r="H275" s="5" t="s">
        <v>148</v>
      </c>
      <c r="I275" s="7" t="n">
        <f aca="false">Narxlar!$C$40/Narxlar!$C$19</f>
        <v>8.40336134453782</v>
      </c>
      <c r="J275" s="47" t="n">
        <f aca="false">G275*I275</f>
        <v>487.394957983193</v>
      </c>
    </row>
    <row r="276" customFormat="false" ht="15" hidden="false" customHeight="false" outlineLevel="0" collapsed="false">
      <c r="A276" s="5" t="n">
        <v>214</v>
      </c>
      <c r="B276" s="6" t="s">
        <v>77</v>
      </c>
      <c r="C276" s="6" t="s">
        <v>20</v>
      </c>
      <c r="D276" s="6" t="s">
        <v>331</v>
      </c>
      <c r="E276" s="45"/>
      <c r="F276" s="46"/>
      <c r="G276" s="27" t="n">
        <f aca="false">Narxlar!$C$42</f>
        <v>16</v>
      </c>
      <c r="H276" s="5" t="s">
        <v>148</v>
      </c>
      <c r="I276" s="7" t="n">
        <f aca="false">Narxlar!$C$39/Narxlar!$C$19</f>
        <v>8.40336134453782</v>
      </c>
      <c r="J276" s="47" t="n">
        <f aca="false">G276*I276</f>
        <v>134.453781512605</v>
      </c>
    </row>
    <row r="277" customFormat="false" ht="15" hidden="false" customHeight="false" outlineLevel="0" collapsed="false">
      <c r="A277" s="5" t="n">
        <v>215</v>
      </c>
      <c r="B277" s="6" t="s">
        <v>77</v>
      </c>
      <c r="C277" s="6" t="s">
        <v>20</v>
      </c>
      <c r="D277" s="6" t="s">
        <v>332</v>
      </c>
      <c r="E277" s="45"/>
      <c r="F277" s="46"/>
      <c r="G277" s="27" t="n">
        <f aca="false">Narxlar!$C$42</f>
        <v>16</v>
      </c>
      <c r="H277" s="5" t="s">
        <v>148</v>
      </c>
      <c r="I277" s="7" t="n">
        <f aca="false">Narxlar!$C$40/Narxlar!$C$19</f>
        <v>8.40336134453782</v>
      </c>
      <c r="J277" s="47" t="n">
        <f aca="false">G277*I277</f>
        <v>134.453781512605</v>
      </c>
    </row>
    <row r="278" customFormat="false" ht="15" hidden="false" customHeight="false" outlineLevel="0" collapsed="false">
      <c r="A278" s="49"/>
      <c r="B278" s="49"/>
      <c r="C278" s="49"/>
      <c r="D278" s="11" t="s">
        <v>333</v>
      </c>
      <c r="E278" s="49"/>
      <c r="F278" s="49"/>
      <c r="G278" s="49"/>
      <c r="H278" s="49"/>
      <c r="I278" s="49"/>
      <c r="J278" s="12" t="n">
        <f aca="false">SUM(J262:J277)</f>
        <v>4636.97478991597</v>
      </c>
    </row>
    <row r="280" customFormat="false" ht="15" hidden="false" customHeight="false" outlineLevel="0" collapsed="false">
      <c r="A280" s="49"/>
      <c r="B280" s="49"/>
      <c r="C280" s="49"/>
      <c r="D280" s="11" t="s">
        <v>334</v>
      </c>
      <c r="E280" s="49"/>
      <c r="F280" s="49"/>
      <c r="G280" s="49"/>
      <c r="H280" s="49"/>
      <c r="I280" s="49"/>
      <c r="J280" s="12" t="n">
        <f aca="false">J16+J28+J39+J60+J72+J86+J101+J116+J131+J146+J161+J168+J190+J213+J220+J224+J228+J250+J259+J278</f>
        <v>59917.8055882353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2026-10-04T16:24:06Z</dcterms:created>
  <dc:creator>openpyxl</dc:creator>
  <dc:description/>
  <dc:language>en-US</dc:language>
  <cp:lastModifiedBy/>
  <dcterms:modified xsi:type="dcterms:W3CDTF">2026-10-04T16:24:06Z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
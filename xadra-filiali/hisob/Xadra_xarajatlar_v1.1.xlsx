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akuniy" sheetId="1" state="visible" r:id="rId3"/>
    <sheet name="Xonalar bo'yicha" sheetId="2" state="visible" r:id="rId4"/>
    <sheet name="Narxlar" sheetId="3" state="visible" r:id="rId5"/>
    <sheet name="Hisob (batafsil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<sst xmlns="http://schemas.openxmlformats.org/spreadsheetml/2006/main" count="1342" uniqueCount="389">
  <si>
    <t xml:space="preserve">PDP Academy · Xadra filiali (1, 2 va 3-qavat): jami xarajatlar — yakuniy</t>
  </si>
  <si>
    <t xml:space="preserve">Barcha summalar «Hisob (batafsil)» varag'idan formulalar bilan olinadi; so'm — «Narxlar» varag'idagi kurs bo'yicha.</t>
  </si>
  <si>
    <t xml:space="preserve">1. Xarajat turlari bo'yicha</t>
  </si>
  <si>
    <t xml:space="preserve">№</t>
  </si>
  <si>
    <t xml:space="preserve">Xarajat turi</t>
  </si>
  <si>
    <t xml:space="preserve">Summa, $</t>
  </si>
  <si>
    <t xml:space="preserve">Summa, so'm</t>
  </si>
  <si>
    <t xml:space="preserve">Ulush</t>
  </si>
  <si>
    <t xml:space="preserve">Shisha devor</t>
  </si>
  <si>
    <t xml:space="preserve">Gips karton (GKL)</t>
  </si>
  <si>
    <t xml:space="preserve">Bambuk panel</t>
  </si>
  <si>
    <t xml:space="preserve">Interaktiv doska</t>
  </si>
  <si>
    <t xml:space="preserve">Perila</t>
  </si>
  <si>
    <t xml:space="preserve">Yoritish</t>
  </si>
  <si>
    <t xml:space="preserve">Kamera tizimi</t>
  </si>
  <si>
    <t xml:space="preserve">Logotip</t>
  </si>
  <si>
    <t xml:space="preserve">Matli plyonka</t>
  </si>
  <si>
    <t xml:space="preserve">Yong'in xavfsizligi</t>
  </si>
  <si>
    <t xml:space="preserve">Buzish ishlari</t>
  </si>
  <si>
    <t xml:space="preserve">Santexnika</t>
  </si>
  <si>
    <t xml:space="preserve">Kafel</t>
  </si>
  <si>
    <t xml:space="preserve">Konditsioner va ventilyatsiya</t>
  </si>
  <si>
    <t xml:space="preserve">Mebel va interyer</t>
  </si>
  <si>
    <t xml:space="preserve">E'lon va e'tirof doskalari</t>
  </si>
  <si>
    <t xml:space="preserve">JAMI</t>
  </si>
  <si>
    <t xml:space="preserve">UMUMIY JAMI</t>
  </si>
  <si>
    <t xml:space="preserve">shundan taxminiy narxlar (mebel, interyer, doskalar, 1-qavat logotiplari) — kutilmagan xarajatsiz</t>
  </si>
  <si>
    <t xml:space="preserve">2. Qavat va bo'limlar bo'yicha</t>
  </si>
  <si>
    <t xml:space="preserve">Bo'lim</t>
  </si>
  <si>
    <t xml:space="preserve">1-qavat: kirish zali</t>
  </si>
  <si>
    <t xml:space="preserve">2-qavat: o'quv xonalari</t>
  </si>
  <si>
    <t xml:space="preserve">2-qavat: ofis xonalari</t>
  </si>
  <si>
    <t xml:space="preserve">2-qavat: umumiy joylar</t>
  </si>
  <si>
    <t xml:space="preserve">3-qavat va hojatxonalar</t>
  </si>
  <si>
    <t xml:space="preserve">Tekshiruv: ikki jadval jamisi farqi (0 bo'lishi kerak)</t>
  </si>
  <si>
    <t xml:space="preserve">Dollar kursi (so'm/$) — «Narxlar» varag'idan</t>
  </si>
  <si>
    <t xml:space="preserve">PDP Academy · Xadra filiali (1, 2 va 3-qavat): xarajatlar, xonalar bo'yicha</t>
  </si>
  <si>
    <t xml:space="preserve">Har bir qator «Hisob (batafsil)» varag'idan olinadi (SUMIFS). Narxlarni «Narxlar» varag'ida o'zgartiring.</t>
  </si>
  <si>
    <t xml:space="preserve">Xona</t>
  </si>
  <si>
    <t xml:space="preserve">Shisha (devor va eshik), m²</t>
  </si>
  <si>
    <t xml:space="preserve">Shisha (devor va eshik), $</t>
  </si>
  <si>
    <t xml:space="preserve">Gips karton (GKL), m²</t>
  </si>
  <si>
    <t xml:space="preserve">Gips karton (GKL), $</t>
  </si>
  <si>
    <t xml:space="preserve">Bambuk panel, m²</t>
  </si>
  <si>
    <t xml:space="preserve">Bambuk panel, $</t>
  </si>
  <si>
    <t xml:space="preserve">Interaktiv doska, dona</t>
  </si>
  <si>
    <t xml:space="preserve">Interaktiv doska, $</t>
  </si>
  <si>
    <t xml:space="preserve">Perila, m</t>
  </si>
  <si>
    <t xml:space="preserve">Perila, $</t>
  </si>
  <si>
    <t xml:space="preserve">Yoritish, $</t>
  </si>
  <si>
    <t xml:space="preserve">Kamera tizimi, $</t>
  </si>
  <si>
    <t xml:space="preserve">Logotip, $</t>
  </si>
  <si>
    <t xml:space="preserve">Matli plyonka, $</t>
  </si>
  <si>
    <t xml:space="preserve">Yong'in xavfsizligi, $</t>
  </si>
  <si>
    <t xml:space="preserve">Buzish ishlari, $</t>
  </si>
  <si>
    <t xml:space="preserve">Santexnika, $</t>
  </si>
  <si>
    <t xml:space="preserve">Kafel, $</t>
  </si>
  <si>
    <t xml:space="preserve">Konditsioner va ventilyatsiya, $</t>
  </si>
  <si>
    <t xml:space="preserve">Mebel va interyer (taxmin), $</t>
  </si>
  <si>
    <t xml:space="preserve">E'lon va e'tirof doskalari (taxmin), $</t>
  </si>
  <si>
    <t xml:space="preserve">Jami, $</t>
  </si>
  <si>
    <t xml:space="preserve">1-qavat — kirish zali (resepshn, turniket)</t>
  </si>
  <si>
    <t xml:space="preserve">1-qavat: kirish zali — jami</t>
  </si>
  <si>
    <t xml:space="preserve">1-xona</t>
  </si>
  <si>
    <t xml:space="preserve">2-xona</t>
  </si>
  <si>
    <t xml:space="preserve">3-xona</t>
  </si>
  <si>
    <t xml:space="preserve">4-xona</t>
  </si>
  <si>
    <t xml:space="preserve">5-xona</t>
  </si>
  <si>
    <t xml:space="preserve">6-xona</t>
  </si>
  <si>
    <t xml:space="preserve">7-xona</t>
  </si>
  <si>
    <t xml:space="preserve">2-qavat: o'quv xonalari — jami</t>
  </si>
  <si>
    <t xml:space="preserve">Offline sotuv (XZ1)</t>
  </si>
  <si>
    <t xml:space="preserve">Admin (XZ2)</t>
  </si>
  <si>
    <t xml:space="preserve">Ustozlar xonasi (XZ3)</t>
  </si>
  <si>
    <t xml:space="preserve">Call-markaz (XZ4)</t>
  </si>
  <si>
    <t xml:space="preserve">CEO xonasi (12-xona)</t>
  </si>
  <si>
    <t xml:space="preserve">2-qavat: ofis xonalari — jami</t>
  </si>
  <si>
    <t xml:space="preserve">K1 koridori</t>
  </si>
  <si>
    <t xml:space="preserve">K2 koridori</t>
  </si>
  <si>
    <t xml:space="preserve">Koworking zali</t>
  </si>
  <si>
    <t xml:space="preserve">Kirish zali</t>
  </si>
  <si>
    <t xml:space="preserve">Zinapoya</t>
  </si>
  <si>
    <t xml:space="preserve">Butun qavat (umumiy ishlar)</t>
  </si>
  <si>
    <t xml:space="preserve">2-qavat: umumiy joylar — jami</t>
  </si>
  <si>
    <t xml:space="preserve">3-qavat 5-xona — o'quv xonasi (24 o'rin)</t>
  </si>
  <si>
    <t xml:space="preserve">Hojatxonalar (3-qavat erkaklar, 2-qavat ayollar)</t>
  </si>
  <si>
    <t xml:space="preserve">3-qavat va hojatxonalar — jami</t>
  </si>
  <si>
    <t xml:space="preserve">UMUMIY JAMI (kutilmagan xarajatlar bilan), $</t>
  </si>
  <si>
    <t xml:space="preserve">UMUMIY JAMI, so'm (kurs bo'yicha)</t>
  </si>
  <si>
    <t xml:space="preserve">Tekshiruv: batafsil varaqdagi jami bilan farq (0 bo'lishi kerak)</t>
  </si>
  <si>
    <t xml:space="preserve">PDP Academy · Xadra filiali (1, 2 va 3-qavat): narxlar va o'lchamlar</t>
  </si>
  <si>
    <t xml:space="preserve">Sariq kataklardagi narx va balandliklarni o'zgartirsangiz, «Hisob (batafsil)» va «Xonalar bo'yicha» varaqlari avtomatik qayta hisoblanadi.</t>
  </si>
  <si>
    <t xml:space="preserve">Ko'rsatkich</t>
  </si>
  <si>
    <t xml:space="preserve">Qiymat</t>
  </si>
  <si>
    <t xml:space="preserve">Birlik</t>
  </si>
  <si>
    <t xml:space="preserve">Manba / izoh</t>
  </si>
  <si>
    <t xml:space="preserve">$/m²</t>
  </si>
  <si>
    <t xml:space="preserve">Buyurtmachi</t>
  </si>
  <si>
    <t xml:space="preserve">Gips karton devor (bir tomoni)</t>
  </si>
  <si>
    <t xml:space="preserve">Buyurtmachi; devorning har tomoni alohida hisoblanadi</t>
  </si>
  <si>
    <t xml:space="preserve">$/dona</t>
  </si>
  <si>
    <t xml:space="preserve">Buyurtmachi; 7 ta shu qavat sinflariga + 1 ta yuqori qavatdagi sinfga = 8 ta</t>
  </si>
  <si>
    <t xml:space="preserve">$/m</t>
  </si>
  <si>
    <t xml:space="preserve">Perila uzunligi</t>
  </si>
  <si>
    <t xml:space="preserve">m</t>
  </si>
  <si>
    <t xml:space="preserve">Yoritish — koridor va koworking (har biriga)</t>
  </si>
  <si>
    <t xml:space="preserve">$/joy</t>
  </si>
  <si>
    <t xml:space="preserve">Buyurtmachi: K1, K2 koridorlari va koworking zali</t>
  </si>
  <si>
    <t xml:space="preserve">Yoritish — xona (har biriga)</t>
  </si>
  <si>
    <t xml:space="preserve">$/xona</t>
  </si>
  <si>
    <t xml:space="preserve">Buyurtmachi: 7 ta o'quv xonasi, 4 ta ofis xonasi va CEO xonasi</t>
  </si>
  <si>
    <t xml:space="preserve">Videokamera</t>
  </si>
  <si>
    <t xml:space="preserve">Videokameralar soni</t>
  </si>
  <si>
    <t xml:space="preserve">dona</t>
  </si>
  <si>
    <t xml:space="preserve">Kamera o'rnatish (har biri)</t>
  </si>
  <si>
    <t xml:space="preserve">NVR (videoregistrator)</t>
  </si>
  <si>
    <t xml:space="preserve">Kamera kabellari (jami)</t>
  </si>
  <si>
    <t xml:space="preserve">$/komplekt</t>
  </si>
  <si>
    <t xml:space="preserve">Buyurtmachi: jami summa</t>
  </si>
  <si>
    <t xml:space="preserve">Logotiplar — 2-qavat (jami)</t>
  </si>
  <si>
    <t xml:space="preserve">Buyurtmachi: jami summa. Koridor oxiridagi 2 ta yorituvchi logotip shu summaga kirgan deb olindi — alohida bo'lsa, qo'shing</t>
  </si>
  <si>
    <t xml:space="preserve">Dollar kursi</t>
  </si>
  <si>
    <t xml:space="preserve">so'm/$</t>
  </si>
  <si>
    <t xml:space="preserve">Buyurtmachi; so'mdagi narxlar shu kurs bo'yicha $ ga o'tadi</t>
  </si>
  <si>
    <t xml:space="preserve">Matli plyonka (shisha devorga)</t>
  </si>
  <si>
    <t xml:space="preserve">so'm/dona</t>
  </si>
  <si>
    <t xml:space="preserve">Matli plyonka soni</t>
  </si>
  <si>
    <t xml:space="preserve">Yong'in xavfsizligi (signalizatsiya, o't o'chirgich, belgilar, avariya chiroqlari)</t>
  </si>
  <si>
    <t xml:space="preserve">so'm/komplekt</t>
  </si>
  <si>
    <t xml:space="preserve">Devor buzish</t>
  </si>
  <si>
    <t xml:space="preserve">so'm/m²</t>
  </si>
  <si>
    <t xml:space="preserve">Qurilish chiqindisini olib chiqish</t>
  </si>
  <si>
    <t xml:space="preserve">Chashagen</t>
  </si>
  <si>
    <t xml:space="preserve">Chashagen soni</t>
  </si>
  <si>
    <t xml:space="preserve">Buyurtmachi: 3 ta erkaklar (3-qavat), 1 ta ayollar (2-qavat)</t>
  </si>
  <si>
    <t xml:space="preserve">Unitaz</t>
  </si>
  <si>
    <t xml:space="preserve">Unitaz soni</t>
  </si>
  <si>
    <t xml:space="preserve">Buyurtmachi: 1 ta erkaklar, 2 ta ayollar</t>
  </si>
  <si>
    <t xml:space="preserve">Rakovina</t>
  </si>
  <si>
    <t xml:space="preserve">Rakovina soni</t>
  </si>
  <si>
    <t xml:space="preserve">Buyurtmachi: 2 ta erkaklar hojatxonasida, qolgan 2 tasi ayollarnikida</t>
  </si>
  <si>
    <t xml:space="preserve">Mustahab</t>
  </si>
  <si>
    <t xml:space="preserve">Mustahab soni</t>
  </si>
  <si>
    <t xml:space="preserve">Buyurtmachi: har bir unitaz va chashagenga (4 + 3)</t>
  </si>
  <si>
    <t xml:space="preserve">Taxorat smesiteli</t>
  </si>
  <si>
    <t xml:space="preserve">Taxorat smesiteli soni</t>
  </si>
  <si>
    <t xml:space="preserve">Buyurtmachi: 3 tasi erkaklar taxorat joyida, 1 tasi ayollarnikida</t>
  </si>
  <si>
    <t xml:space="preserve">Rakovina smesiteli</t>
  </si>
  <si>
    <t xml:space="preserve">Rakovina smesiteli soni</t>
  </si>
  <si>
    <t xml:space="preserve">Buyurtmachi: har bir rakovinaga</t>
  </si>
  <si>
    <t xml:space="preserve">Santexnika nuqtasi (usta ishi)</t>
  </si>
  <si>
    <t xml:space="preserve">so'm/nuqta</t>
  </si>
  <si>
    <t xml:space="preserve">Santexnika nuqtalari soni</t>
  </si>
  <si>
    <t xml:space="preserve">nuqta</t>
  </si>
  <si>
    <t xml:space="preserve">Kafel (material)</t>
  </si>
  <si>
    <t xml:space="preserve">Kafel yotqizish (usta)</t>
  </si>
  <si>
    <t xml:space="preserve">Kafel — erkaklar hojatxonasi devori</t>
  </si>
  <si>
    <t xml:space="preserve">m²</t>
  </si>
  <si>
    <t xml:space="preserve">Kafel — erkaklar hojatxonasi poli</t>
  </si>
  <si>
    <t xml:space="preserve">Hojatxona kabinasi</t>
  </si>
  <si>
    <t xml:space="preserve">Hojatxona kabinalari soni</t>
  </si>
  <si>
    <t xml:space="preserve">Buyurtmachi: erkaklar hojatxonasi (3-qavat)</t>
  </si>
  <si>
    <t xml:space="preserve">Issiq suv quvuri</t>
  </si>
  <si>
    <t xml:space="preserve">so'm/m</t>
  </si>
  <si>
    <t xml:space="preserve">Issiq suv quvuri uzunligi</t>
  </si>
  <si>
    <t xml:space="preserve">Sovuq suv quvuri</t>
  </si>
  <si>
    <t xml:space="preserve">Buyurtmachi «12 0000» deb yozgan — 12 000 deb olindi (issiq suv quvuridan arzon); tekshiring</t>
  </si>
  <si>
    <t xml:space="preserve">Sovuq suv quvuri uzunligi</t>
  </si>
  <si>
    <t xml:space="preserve">Quvur aksessuarlari (fitinglar)</t>
  </si>
  <si>
    <t xml:space="preserve">Quvur aksessuarlari soni</t>
  </si>
  <si>
    <t xml:space="preserve">Buyurtmachi: jami 500 000 so'm</t>
  </si>
  <si>
    <t xml:space="preserve">Kanalizatsiya quvuri (40 m) va otvodlar</t>
  </si>
  <si>
    <t xml:space="preserve">Konditsioner — 2-qavat (2 ta, 100 mingtalik, o'rnatish bilan)</t>
  </si>
  <si>
    <t xml:space="preserve">Buyurtmachi: 2 ta uchun jami, o'rnatish bilan</t>
  </si>
  <si>
    <t xml:space="preserve">Havo kanallari (vozduxovod), 200 m²</t>
  </si>
  <si>
    <t xml:space="preserve">Konditsioner — 3-qavat o'quv xonasi</t>
  </si>
  <si>
    <t xml:space="preserve">Ofis stoli 140 × 70 (LDSP, tumba bilan)</t>
  </si>
  <si>
    <t xml:space="preserve">TAXMIN — Toshkent bozori; mebelchi narxi bilan almashtiring</t>
  </si>
  <si>
    <t xml:space="preserve">Ofis kreslosi (to'r suyanchiqli)</t>
  </si>
  <si>
    <t xml:space="preserve">TAXMIN</t>
  </si>
  <si>
    <t xml:space="preserve">Mijoz / mehmon stuli</t>
  </si>
  <si>
    <t xml:space="preserve">Divan, 2–3 o'rinli (kutish joyi)</t>
  </si>
  <si>
    <t xml:space="preserve">Hujjat shkafi / stellaj</t>
  </si>
  <si>
    <t xml:space="preserve">Jurnal stolchasi</t>
  </si>
  <si>
    <t xml:space="preserve">Sotuv xonasi interyeri: brend devor (logotip, plakat), o'simliklar, dekor</t>
  </si>
  <si>
    <t xml:space="preserve">Admin xonasi interyeri: dekor, o'simliklar</t>
  </si>
  <si>
    <t xml:space="preserve">E'lonlar doskasi 1.8 × 1.0 m (probka/magnit, alyuminiy ramka)</t>
  </si>
  <si>
    <t xml:space="preserve">E'tirof doskasi 1.8 × 1.0 m (brend panel, A4 akril cho'ntaklar — faxriylar, oy o'quvchisi nomzodlari)</t>
  </si>
  <si>
    <t xml:space="preserve">Resepshn stoykasi 1.8 m (buyurtma: peshtaxta 1.10 m, zal tomonidagi panelda logotip uchun joy)</t>
  </si>
  <si>
    <t xml:space="preserve">TAXMIN — buyurtma asosida yasaladi</t>
  </si>
  <si>
    <t xml:space="preserve">Resepshn to'siq panellari (past, L shaklida ~3.4 m) va xodim eshikchasi</t>
  </si>
  <si>
    <t xml:space="preserve">1-qavat: devordagi yorituvchi logotip ~1.5 m (to'q panelda)</t>
  </si>
  <si>
    <t xml:space="preserve">1-qavat: resepshn stoykasidagi logotip ~1.0 m (yoritilgan)</t>
  </si>
  <si>
    <t xml:space="preserve">Turniketlar (buyurtmachida mavjud: kirish va chiqish)</t>
  </si>
  <si>
    <t xml:space="preserve">Buyurtmachi: mavjud — narxi hisobga kirmaydi</t>
  </si>
  <si>
    <t xml:space="preserve">Kutilmagan xarajatlar</t>
  </si>
  <si>
    <t xml:space="preserve">ulush</t>
  </si>
  <si>
    <t xml:space="preserve">Buyurtmachi: umumiy summadan 10%</t>
  </si>
  <si>
    <t xml:space="preserve">Devor balandligi (poldan shiftgacha)</t>
  </si>
  <si>
    <t xml:space="preserve">Buyurtmachi: bino balandligi 3.5 m</t>
  </si>
  <si>
    <t xml:space="preserve">Shisha qism balandligi</t>
  </si>
  <si>
    <t xml:space="preserve">Shisha ustidagi GKL</t>
  </si>
  <si>
    <t xml:space="preserve">Hisob: devor balandligi − shisha</t>
  </si>
  <si>
    <t xml:space="preserve">Eshik balandligi</t>
  </si>
  <si>
    <t xml:space="preserve">Taxmin: standart eshik 900 × 2100</t>
  </si>
  <si>
    <t xml:space="preserve">Eshik ustidagi GKL</t>
  </si>
  <si>
    <t xml:space="preserve">Hisob: devor balandligi − eshik</t>
  </si>
  <si>
    <t xml:space="preserve">Eshik eni</t>
  </si>
  <si>
    <t xml:space="preserve">Chizmadan</t>
  </si>
  <si>
    <t xml:space="preserve">Bambuk panel balandligi</t>
  </si>
  <si>
    <t xml:space="preserve">Taxmin: poldan shiftgacha. Pastroq bo'lsa, shu katakka raqam yozing</t>
  </si>
  <si>
    <t xml:space="preserve">Bambuk panel balandligi — yuqori qavat o'quv xonasi</t>
  </si>
  <si>
    <t xml:space="preserve">Hisoblash qoidalari</t>
  </si>
  <si>
    <t xml:space="preserve">• Gips karton (GKL) devor: uzunlik × balandlik. Devorning har bir tomoni o'zi qaragan xonaga yoziladi (xona tomoni — xonaga, koridor tomoni — koridorga).</t>
  </si>
  <si>
    <t xml:space="preserve">• Shisha devor: shisha qism (2.5 m) xonaga yoziladi; ustidagi GKL (1 m) ikki tomonlama — xona va koridor tomoni alohida.</t>
  </si>
  <si>
    <t xml:space="preserve">• Eshiklar shisha: eshik (2.1 m) va ustidagi shisha (0.4 m) — 2.5 m gacha shisha narxida; ustida 1 m GKL ikki tomondan. Eshik furniturasi (ilgak, qulf, tutqich, dovodchik) kirmagan.</t>
  </si>
  <si>
    <t xml:space="preserve">• Bambuk panel, poldan shiftgacha: o'quv xonalarida doska devori va orqa devor (interaktiv doska orqasi ayirilmagan); ofis xonalarida ikkala uzun yon devor; CEO xonasida ikkita ichki kar devor, eshik o'rni ayiriladi. Derazali tashqi va shisha devorlarga qilinmaydi.</t>
  </si>
  <si>
    <t xml:space="preserve">• Yuqori qavat o'quv xonasi (5.45 × 8.60 m, buyurtmachi chizmasi): bambuk panel 3 devorga, 2.5 m balandlikda — doska devori, orqa devor va eshikli uzun devor (eshik o'rni ayiriladi); derazali uzun devorga qilinmaydi.</t>
  </si>
  <si>
    <t xml:space="preserve">• Interaktiv doska: 7 ta shu qavat sinflariga va 1 ta yuqori qavatdagi o'quv xonasiga — jami 8 ta.</t>
  </si>
  <si>
    <t xml:space="preserve">• Perila: buyurtmachi bergan uzunlik (24 m), «Zinapoya» qatorida.</t>
  </si>
  <si>
    <t xml:space="preserve">• Uzunliklar chizma v1.1 dan (mavjud holat chizmasining fotosi asosida) — ish boshlanishidan oldin joyida o'lchanadi.</t>
  </si>
  <si>
    <t xml:space="preserve">• Yoritish: koridorlar (K1, K2) va koworking zaliga 336 $ dan, o'quv xonalari (7), ofis xonalari (4) va CEO xonasiga 168 $ dan. Kirish zali, WC va yuqori qavat xonasi kiritilmagan.</t>
  </si>
  <si>
    <t xml:space="preserve">• Videokuzatuv: 16 ta kamera (40 $) va o'rnatish (21 $ dan), NVR, kabellar jami; logotiplar jami — «Butun qavat» qatorida.</t>
  </si>
  <si>
    <t xml:space="preserve">• So'mdagi narxlar (matli plyonka, yong'in xavfsizligi, devor buzish va chiqindi) «Dollar kursi» katagi bo'yicha (11 900 so'm/$) $ ga o'tkaziladi.</t>
  </si>
  <si>
    <t xml:space="preserve">• Devor buzish: chizmadagi buziladigan devorlar uzunligi × devor balandligi (3.5 m) × 50 000 so'm/m².</t>
  </si>
  <si>
    <t xml:space="preserve">• Kutilmagan xarajatlar: umumiy summadan 10% — «Xonalar bo'yicha» varag'ining oxirida.</t>
  </si>
  <si>
    <t xml:space="preserve">• 3-qavat: 5-xona — o'quv xonasi (24 o'rin, bambuk panel va interaktiv doska); 2-xona — erkaklar hojatxonasi. Santexnika soni ikkala hojatxona uchun jami (2-qavatdagisi — ayollar: 2 unitaz, 1 chashagen); kafel faqat erkaklar hojatxonasi uchun (devor 58 m², pol 16 m²).</t>
  </si>
  <si>
    <t xml:space="preserve">• Konditsioner va ventilyatsiya (buyurtmachi summalari, o'rnatish bilan): 2-qavatga 2 ta 100 mingtalik konditsioner va 200 m² havo kanali — «Butun qavat» qatorida; 3-qavat o'quv xonasiga 1 ta konditsioner.</t>
  </si>
  <si>
    <t xml:space="preserve">• Santexnika: 4 ta kabina, issiq va sovuq suv quvurlari (40 m dan), 100 ta aksessuar, kanalizatsiya quvuri va otvodlar — «Hojatxonalar» qatorida.</t>
  </si>
  <si>
    <t xml:space="preserve">• 2-qavat koridorlari: 4-xonaning koridor oxiridagi devorlari GKL (avval shisha edi), markazida yorituvchi logotip; e'lonlar va e'tirof doskalari — K1 va K2 qatorlarida.</t>
  </si>
  <si>
    <t xml:space="preserve">• TAXMINIY narxlar (to'q sariq fon): sotuv va admin xonalari mebeli va interyeri, koridor doskalari, 1-qavat resepshn stoykasi, mehmonlar mebeli va logotiplari — Toshkent bozori bo'yicha dastlabki baho; mebelchi va reklama ustasi narxi bilan almashtiring. «Yakuniy» varag'ida taxminiy qism alohida ko'rsatilgan.</t>
  </si>
  <si>
    <t xml:space="preserve">• Kirmagan: o'quv xonalari, ustozlar xonasi, call-markaz, CEO va koworking mebeli — mavjud; pol (kafel) va internet — mavjud; turniketlar (2 ta) — mavjud (o'rnatish, to'siq va evakuatsiya darvozasi alohida aniqlanadi); eshik furniturasi; shift va bo'yoq; ish haqi (agar narxga kirmagan bo'lsa).</t>
  </si>
  <si>
    <t xml:space="preserve">Ranglar: ko'k — qo'lda kiritilgan qiymat; yashil — boshqa varaqdan olingan; qora — formula; sariq fon — o'zgartirish mumkin bo'lgan kataklar.</t>
  </si>
  <si>
    <t xml:space="preserve">PDP Academy · Xadra filiali (1, 2 va 3-qavat): xarajatlar hisobi, xonalar bo'yicha batafsil</t>
  </si>
  <si>
    <t xml:space="preserve">Uzunliklar chizmadan (m). Balandlik va narx «Narxlar» varag'idan olinadi (yashil). Miqdor = uzunlik × balandlik; summa = miqdor × narx.</t>
  </si>
  <si>
    <t xml:space="preserve">Ish turi</t>
  </si>
  <si>
    <t xml:space="preserve">Joyi / izoh</t>
  </si>
  <si>
    <t xml:space="preserve">Uzunlik, m</t>
  </si>
  <si>
    <t xml:space="preserve">Balandlik, m</t>
  </si>
  <si>
    <t xml:space="preserve">Miqdor</t>
  </si>
  <si>
    <t xml:space="preserve">Narx, $</t>
  </si>
  <si>
    <t xml:space="preserve">Resepshn orqasidagi o'ng devorda yorituvchi logotip</t>
  </si>
  <si>
    <t xml:space="preserve">Resepshn stoykasining zal tomonidagi panelidagi logotip</t>
  </si>
  <si>
    <t xml:space="preserve">Resepshn stoykasi (buyurtma asosida)</t>
  </si>
  <si>
    <t xml:space="preserve">Resepshn to'siq panellari va xodim eshikchasi (L shaklida)</t>
  </si>
  <si>
    <t xml:space="preserve">komplekt</t>
  </si>
  <si>
    <t xml:space="preserve">Resepshn xodimi kreslosi</t>
  </si>
  <si>
    <t xml:space="preserve">Mehmonlar divani</t>
  </si>
  <si>
    <t xml:space="preserve">Jami: 1-qavat — kirish zali (resepshn, turniket)</t>
  </si>
  <si>
    <t xml:space="preserve">Shisha devor (K1 koridori tomoni)</t>
  </si>
  <si>
    <t xml:space="preserve">Shisha eshik va ustidagi shisha (K1 koridori tomoni)</t>
  </si>
  <si>
    <t xml:space="preserve">Koworking zali bilan orasidagi devor — mavjud devordagi bo'shliqni yopish</t>
  </si>
  <si>
    <t xml:space="preserve">Shisha ustidagi GKL (K1 koridori bilan orasida)</t>
  </si>
  <si>
    <t xml:space="preserve">Eshik yonidagi kesak (K1 koridori tomoni)</t>
  </si>
  <si>
    <t xml:space="preserve">Eshik ustidagi GKL (K1 koridori bilan orasida)</t>
  </si>
  <si>
    <t xml:space="preserve">Doska devori</t>
  </si>
  <si>
    <t xml:space="preserve">Orqa devor</t>
  </si>
  <si>
    <t xml:space="preserve">Doska devoriga</t>
  </si>
  <si>
    <t xml:space="preserve">Lampalar (xona uchun)</t>
  </si>
  <si>
    <t xml:space="preserve">Jami: 1-xona</t>
  </si>
  <si>
    <t xml:space="preserve">Jami: 2-xona</t>
  </si>
  <si>
    <t xml:space="preserve">4-xona, K1 koridori bilan orasidagi devor</t>
  </si>
  <si>
    <t xml:space="preserve">Jami: 3-xona</t>
  </si>
  <si>
    <t xml:space="preserve">Shisha eshik va ustidagi shisha (K2 koridori tomoni)</t>
  </si>
  <si>
    <t xml:space="preserve">Call-markaz (XZ4) bilan orasidagi devor — mavjud devordagi bo'shliqni yopish</t>
  </si>
  <si>
    <t xml:space="preserve">3-xona bilan orasidagi devor</t>
  </si>
  <si>
    <t xml:space="preserve">K1 koridori oxiridagi logotip devori (xona tomoni)</t>
  </si>
  <si>
    <t xml:space="preserve">K1 koridori bilan orasidagi devor</t>
  </si>
  <si>
    <t xml:space="preserve">Koridor uchidagi burchak ustunchasi</t>
  </si>
  <si>
    <t xml:space="preserve">Eshik yonidagi kesak (K2 koridori tomoni)</t>
  </si>
  <si>
    <t xml:space="preserve">K2 koridori oxiridagi logotip devori (xona tomoni)</t>
  </si>
  <si>
    <t xml:space="preserve">5-xona bilan orasidagi devor</t>
  </si>
  <si>
    <t xml:space="preserve">Eshik ustidagi GKL (K2 koridori bilan orasida)</t>
  </si>
  <si>
    <t xml:space="preserve">Orqa devor (L shaklining keng qismi)</t>
  </si>
  <si>
    <t xml:space="preserve">Jami: 4-xona</t>
  </si>
  <si>
    <t xml:space="preserve">6-xona bilan orasidagi devor — mavjud devordagi bo'shliqni yopish</t>
  </si>
  <si>
    <t xml:space="preserve">4-xona, K2 koridori bilan orasidagi devor</t>
  </si>
  <si>
    <t xml:space="preserve">Jami: 5-xona</t>
  </si>
  <si>
    <t xml:space="preserve">Shisha devor (K2 koridori tomoni)</t>
  </si>
  <si>
    <t xml:space="preserve">7-xona bilan orasidagi devor — mavjud devordagi bo'shliqni yopish</t>
  </si>
  <si>
    <t xml:space="preserve">5-xona bilan orasidagi devor — mavjud devordagi bo'shliqni yopish</t>
  </si>
  <si>
    <t xml:space="preserve">Shisha ustidagi GKL (K2 koridori bilan orasida)</t>
  </si>
  <si>
    <t xml:space="preserve">Jami: 6-xona</t>
  </si>
  <si>
    <t xml:space="preserve">Kirish zali bilan orasidagi devor — mavjud devordagi bo'shliqni yopish</t>
  </si>
  <si>
    <t xml:space="preserve">Jami: 7-xona</t>
  </si>
  <si>
    <t xml:space="preserve">Admin (XZ2) bilan orasidagi devor</t>
  </si>
  <si>
    <t xml:space="preserve">Koworking bilan orasidagi devor</t>
  </si>
  <si>
    <t xml:space="preserve">Konsultant stoli</t>
  </si>
  <si>
    <t xml:space="preserve">Konsultant kreslosi</t>
  </si>
  <si>
    <t xml:space="preserve">Mijoz stuli (har konsultantga 2 ta)</t>
  </si>
  <si>
    <t xml:space="preserve">Kutish divani</t>
  </si>
  <si>
    <t xml:space="preserve">Hujjat shkafi</t>
  </si>
  <si>
    <t xml:space="preserve">Interyer: brend devor, o'simliklar, dekor</t>
  </si>
  <si>
    <t xml:space="preserve">Jami: Offline sotuv (XZ1)</t>
  </si>
  <si>
    <t xml:space="preserve">Ustozlar xonasi (XZ3) bilan orasidagi devor — mavjud devordagi bo'shliqni yopish</t>
  </si>
  <si>
    <t xml:space="preserve">Offline sotuv (XZ1) bilan orasidagi devor</t>
  </si>
  <si>
    <t xml:space="preserve">Ustozlar xonasi (XZ3) bilan orasidagi devor</t>
  </si>
  <si>
    <t xml:space="preserve">Ish stoli</t>
  </si>
  <si>
    <t xml:space="preserve">Ofis kreslosi</t>
  </si>
  <si>
    <t xml:space="preserve">Mehmon stuli</t>
  </si>
  <si>
    <t xml:space="preserve">Interyer: dekor, o'simliklar</t>
  </si>
  <si>
    <t xml:space="preserve">Jami: Admin (XZ2)</t>
  </si>
  <si>
    <t xml:space="preserve">Admin (XZ2) bilan orasidagi devor — mavjud devordagi bo'shliqni yopish</t>
  </si>
  <si>
    <t xml:space="preserve">Call-markaz (XZ4) bilan orasidagi devor</t>
  </si>
  <si>
    <t xml:space="preserve">K2 koridori bilan orasidagi devor</t>
  </si>
  <si>
    <t xml:space="preserve">Jami: Ustozlar xonasi (XZ3)</t>
  </si>
  <si>
    <t xml:space="preserve">4-xona bilan orasidagi devor — mavjud devordagi bo'shliqni yopish</t>
  </si>
  <si>
    <t xml:space="preserve">4-xona bilan orasidagi devor</t>
  </si>
  <si>
    <t xml:space="preserve">Jami: Call-markaz (XZ4)</t>
  </si>
  <si>
    <t xml:space="preserve">Zinapoya va kirish zali bilan orasidagi devor (eshikli)</t>
  </si>
  <si>
    <t xml:space="preserve">Eshik o'rni (ayiriladi)</t>
  </si>
  <si>
    <t xml:space="preserve">7-xona bilan orasidagi devor</t>
  </si>
  <si>
    <t xml:space="preserve">Jami: CEO xonasi (12-xona)</t>
  </si>
  <si>
    <t xml:space="preserve">Shisha ustidagi GKL (1-xona bilan orasida)</t>
  </si>
  <si>
    <t xml:space="preserve">Eshik yonidagi kesak (1-xona tomoni)</t>
  </si>
  <si>
    <t xml:space="preserve">Shisha ustidagi GKL (2-xona bilan orasida)</t>
  </si>
  <si>
    <t xml:space="preserve">Eshik yonidagi kesak (2-xona, 3-xona tomoni)</t>
  </si>
  <si>
    <t xml:space="preserve">Eshik yonidagi kesak (3-xona tomoni)</t>
  </si>
  <si>
    <t xml:space="preserve">Koridor oxiridagi logotip devori (4-xona bilan orasida)</t>
  </si>
  <si>
    <t xml:space="preserve">Offline sotuv (XZ1), Admin (XZ2) bilan orasidagi devor</t>
  </si>
  <si>
    <t xml:space="preserve">Shisha ustidagi GKL (Ustozlar xonasi (XZ3) bilan orasida)</t>
  </si>
  <si>
    <t xml:space="preserve">Shisha ustidagi GKL (Call-markaz (XZ4) bilan orasida)</t>
  </si>
  <si>
    <t xml:space="preserve">Eshik ustidagi GKL (1-xona eshigi)</t>
  </si>
  <si>
    <t xml:space="preserve">Eshik ustidagi GKL (2-xona eshigi)</t>
  </si>
  <si>
    <t xml:space="preserve">Eshik ustidagi GKL (3-xona eshigi)</t>
  </si>
  <si>
    <t xml:space="preserve">Eshik ustidagi GKL (Ustozlar xonasi (XZ3) eshigi)</t>
  </si>
  <si>
    <t xml:space="preserve">Eshik ustidagi GKL (Call-markaz (XZ4) eshigi)</t>
  </si>
  <si>
    <t xml:space="preserve">Lampalar</t>
  </si>
  <si>
    <t xml:space="preserve">E'lonlar doskasi (sotuv va admin xonalari orqa devorida)</t>
  </si>
  <si>
    <t xml:space="preserve">E'tirof doskasi — faxriylar, oy o'quvchisi nomzodlari (sotuv va admin xonalari orqa devorida)</t>
  </si>
  <si>
    <t xml:space="preserve">Jami: K1 koridori</t>
  </si>
  <si>
    <t xml:space="preserve">Shisha ustidagi GKL (Offline sotuv (XZ1) bilan orasida)</t>
  </si>
  <si>
    <t xml:space="preserve">Shisha ustidagi GKL (Admin (XZ2) bilan orasida)</t>
  </si>
  <si>
    <t xml:space="preserve">4-xona, Ustozlar xonasi (XZ3), Call-markaz (XZ4) bilan orasidagi devor</t>
  </si>
  <si>
    <t xml:space="preserve">Eshik yonidagi kesak (4-xona tomoni)</t>
  </si>
  <si>
    <t xml:space="preserve">Eshik yonidagi kesak (7-xona tomoni)</t>
  </si>
  <si>
    <t xml:space="preserve">Shisha ustidagi GKL (7-xona bilan orasida)</t>
  </si>
  <si>
    <t xml:space="preserve">Eshik yonidagi kesak (6-xona tomoni)</t>
  </si>
  <si>
    <t xml:space="preserve">Shisha ustidagi GKL (6-xona bilan orasida)</t>
  </si>
  <si>
    <t xml:space="preserve">Eshik yonidagi kesak (5-xona tomoni)</t>
  </si>
  <si>
    <t xml:space="preserve">Eshik ustidagi GKL (4-xona eshigi)</t>
  </si>
  <si>
    <t xml:space="preserve">Eshik ustidagi GKL (5-xona eshigi)</t>
  </si>
  <si>
    <t xml:space="preserve">Eshik ustidagi GKL (6-xona eshigi)</t>
  </si>
  <si>
    <t xml:space="preserve">Eshik ustidagi GKL (7-xona eshigi)</t>
  </si>
  <si>
    <t xml:space="preserve">Eshik ustidagi GKL (Offline sotuv (XZ1) eshigi)</t>
  </si>
  <si>
    <t xml:space="preserve">Eshik ustidagi GKL (Admin (XZ2) eshigi)</t>
  </si>
  <si>
    <t xml:space="preserve">E'lonlar doskasi (ustozlar va call-markaz orqa devorida)</t>
  </si>
  <si>
    <t xml:space="preserve">E'tirof doskasi — faxriylar, oy o'quvchisi nomzodlari (ustozlar va call-markaz orqa devorida)</t>
  </si>
  <si>
    <t xml:space="preserve">Jami: K2 koridori</t>
  </si>
  <si>
    <t xml:space="preserve">1-xona bilan orasidagi devor — mavjud devordagi bo'shliqni yopish</t>
  </si>
  <si>
    <t xml:space="preserve">Offline sotuv (XZ1) bilan orasidagi devor — mavjud devordagi bo'shliqni yopish</t>
  </si>
  <si>
    <t xml:space="preserve">Jami: Koworking zali</t>
  </si>
  <si>
    <t xml:space="preserve">Jami: Kirish zali</t>
  </si>
  <si>
    <t xml:space="preserve">Perila (buyurtmachi bergan uzunlik)</t>
  </si>
  <si>
    <t xml:space="preserve">Jami: Zinapoya</t>
  </si>
  <si>
    <t xml:space="preserve">Kamera o'rnatish</t>
  </si>
  <si>
    <t xml:space="preserve">Kabellar (jami)</t>
  </si>
  <si>
    <t xml:space="preserve">Logotiplar — 2-qavat, jami (koridor oxiridagi 2 ta yorituvchi logotip bilan)</t>
  </si>
  <si>
    <t xml:space="preserve">Shisha devorlarga matli plyonka</t>
  </si>
  <si>
    <t xml:space="preserve">Signalizatsiya, o't o'chirgichlar, evakuatsiya belgilari, avariya chiroqlari (jami)</t>
  </si>
  <si>
    <t xml:space="preserve">Devorni buzish — K2 koridori o'rnidagi bo'lak</t>
  </si>
  <si>
    <t xml:space="preserve">Devorni buzish — eski o'rta devor</t>
  </si>
  <si>
    <t xml:space="preserve">Devorni buzish — 7 va 11-xonalar orasidagi devor</t>
  </si>
  <si>
    <t xml:space="preserve">Devorni buzish — K1 koridori o'rnidagi bo'lak</t>
  </si>
  <si>
    <t xml:space="preserve">Qurilish chiqindisini olib chiqish (jami)</t>
  </si>
  <si>
    <t xml:space="preserve">Konditsioner — 2 ta, 100 mingtalik, o'rnatish bilan (jami)</t>
  </si>
  <si>
    <t xml:space="preserve">Havo kanallari (vozduxovod), 200 m² (jami)</t>
  </si>
  <si>
    <t xml:space="preserve">Jami: Butun qavat (umumiy ishlar)</t>
  </si>
  <si>
    <t xml:space="preserve">Doska devori (eni)</t>
  </si>
  <si>
    <t xml:space="preserve">Orqa devor (eni)</t>
  </si>
  <si>
    <t xml:space="preserve">Uzun devor (eshikli)</t>
  </si>
  <si>
    <t xml:space="preserve">Shimoliy devorga (eshikdan kirganda chapda)</t>
  </si>
  <si>
    <t xml:space="preserve">Konditsioner (o'quv xonasi)</t>
  </si>
  <si>
    <t xml:space="preserve">Jami: 3-qavat 5-xona — o'quv xonasi (24 o'rin)</t>
  </si>
  <si>
    <t xml:space="preserve">Chashagen — 3 ta erkaklar (3-qavat), 1 ta ayollar (2-qavat)</t>
  </si>
  <si>
    <t xml:space="preserve">Unitaz — 1 ta erkaklar, 2 ta ayollar</t>
  </si>
  <si>
    <t xml:space="preserve">Rakovina — 2 ta erkaklar, 2 ta ayollar</t>
  </si>
  <si>
    <t xml:space="preserve">Mustahab — har bir unitaz va chashagenga</t>
  </si>
  <si>
    <t xml:space="preserve">Taxorat smesiteli — 3 ta erkaklar taxorat joyida, 1 ta ayollar</t>
  </si>
  <si>
    <t xml:space="preserve">Rakovina smesiteli — har bir rakovinaga</t>
  </si>
  <si>
    <t xml:space="preserve">Santexnika nuqtalari — usta ishi (suv va kanalizatsiya)</t>
  </si>
  <si>
    <t xml:space="preserve">Hojatxona kabinalari (erkaklar, 3-qavat)</t>
  </si>
  <si>
    <t xml:space="preserve">Kanalizatsiya quvuri (40 m) va otvodlar (jami)</t>
  </si>
  <si>
    <t xml:space="preserve">Erkaklar hojatxonasi devori — kafel (material)</t>
  </si>
  <si>
    <t xml:space="preserve">Erkaklar hojatxonasi devori — yotqizish (usta)</t>
  </si>
  <si>
    <t xml:space="preserve">Erkaklar hojatxonasi poli — kafel (material)</t>
  </si>
  <si>
    <t xml:space="preserve">Erkaklar hojatxonasi poli — yotqizish (usta)</t>
  </si>
  <si>
    <t xml:space="preserve">Jami: Hojatxonalar (3-qavat erkaklar, 2-qavat ayollar)</t>
  </si>
  <si>
    <t xml:space="preserve">JAMI (barcha xonalar)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</si>
</sst>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#,##0&quot; so'm&quot;"/>
    <numFmt numFmtId="167" formatCode="0.0%"/>
    <numFmt numFmtId="168" formatCode="#,##0"/>
    <numFmt numFmtId="169" formatCode="#,##0.00;\(#,##0.00\);\-"/>
    <numFmt numFmtId="170" formatCode="\$#,##0;&quot;($&quot;#,##0\);\-"/>
    <numFmt numFmtId="171" formatCode="#,##0;\(#,##0\);\-"/>
    <numFmt numFmtId="172" formatCode="0.00"/>
    <numFmt numFmtId="173" formatCode="0"/>
    <numFmt numFmtId="174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6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657"/>
        <bgColor rgb="FF003366"/>
      </patternFill>
    </fill>
    <fill>
      <patternFill patternType="solid">
        <fgColor rgb="FFF2F2F2"/>
        <bgColor rgb="FFE8EEF6"/>
      </patternFill>
    </fill>
    <fill>
      <patternFill patternType="solid">
        <fgColor rgb="FFD9E1F2"/>
        <bgColor rgb="FFE8EEF6"/>
      </patternFill>
    </fill>
    <fill>
      <patternFill patternType="solid">
        <fgColor rgb="FFFFC000"/>
        <bgColor rgb="FFFF9900"/>
      </patternFill>
    </fill>
    <fill>
      <patternFill patternType="solid">
        <fgColor rgb="FFE8EEF6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6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n">
        <v>1</v>
      </c>
      <c r="B6" s="6" t="s">
        <v>8</v>
      </c>
      <c r="C6" s="7" t="n">
        <f aca="false">SUMIFS('Hisob (batafsil)'!$J$5:$J$301,'Hisob (batafsil)'!$C$5:$C$301,"Shisha devor")</f>
        <v>4991.25</v>
      </c>
      <c r="D6" s="8" t="n">
        <f aca="false">C6*Narxlar!$C$19</f>
        <v>59395875</v>
      </c>
      <c r="E6" s="9" t="n">
        <f aca="false">IF($C$22=0,0,C6/$C$22)</f>
        <v>0.0738610847276704</v>
      </c>
    </row>
    <row r="7" customFormat="false" ht="15" hidden="false" customHeight="false" outlineLevel="0" collapsed="false">
      <c r="A7" s="5" t="n">
        <v>2</v>
      </c>
      <c r="B7" s="6" t="s">
        <v>9</v>
      </c>
      <c r="C7" s="7" t="n">
        <f aca="false">SUMIFS('Hisob (batafsil)'!$J$5:$J$301,'Hisob (batafsil)'!$C$5:$C$301,"Gips karton (GKL)")</f>
        <v>5146.8</v>
      </c>
      <c r="D7" s="8" t="n">
        <f aca="false">C7*Narxlar!$C$19</f>
        <v>61246920</v>
      </c>
      <c r="E7" s="9" t="n">
        <f aca="false">IF($C$22=0,0,C7/$C$22)</f>
        <v>0.0761629313050586</v>
      </c>
    </row>
    <row r="8" customFormat="false" ht="15" hidden="false" customHeight="false" outlineLevel="0" collapsed="false">
      <c r="A8" s="5" t="n">
        <v>3</v>
      </c>
      <c r="B8" s="6" t="s">
        <v>10</v>
      </c>
      <c r="C8" s="7" t="n">
        <f aca="false">SUMIFS('Hisob (batafsil)'!$J$5:$J$301,'Hisob (batafsil)'!$C$5:$C$301,"Bambuk panel")</f>
        <v>9404.16</v>
      </c>
      <c r="D8" s="8" t="n">
        <f aca="false">C8*Narxlar!$C$19</f>
        <v>111909504</v>
      </c>
      <c r="E8" s="9" t="n">
        <f aca="false">IF($C$22=0,0,C8/$C$22)</f>
        <v>0.139163828410232</v>
      </c>
    </row>
    <row r="9" customFormat="false" ht="15" hidden="false" customHeight="false" outlineLevel="0" collapsed="false">
      <c r="A9" s="5" t="n">
        <v>4</v>
      </c>
      <c r="B9" s="6" t="s">
        <v>11</v>
      </c>
      <c r="C9" s="7" t="n">
        <f aca="false">SUMIFS('Hisob (batafsil)'!$J$5:$J$301,'Hisob (batafsil)'!$C$5:$C$301,"Interaktiv doska")</f>
        <v>8256</v>
      </c>
      <c r="D9" s="8" t="n">
        <f aca="false">C9*Narxlar!$C$19</f>
        <v>98246400</v>
      </c>
      <c r="E9" s="9" t="n">
        <f aca="false">IF($C$22=0,0,C9/$C$22)</f>
        <v>0.122173226248264</v>
      </c>
    </row>
    <row r="10" customFormat="false" ht="15" hidden="false" customHeight="false" outlineLevel="0" collapsed="false">
      <c r="A10" s="5" t="n">
        <v>5</v>
      </c>
      <c r="B10" s="6" t="s">
        <v>12</v>
      </c>
      <c r="C10" s="7" t="n">
        <f aca="false">SUMIFS('Hisob (batafsil)'!$J$5:$J$301,'Hisob (batafsil)'!$C$5:$C$301,"Perila")</f>
        <v>2016</v>
      </c>
      <c r="D10" s="8" t="n">
        <f aca="false">C10*Narxlar!$C$19</f>
        <v>23990400</v>
      </c>
      <c r="E10" s="9" t="n">
        <f aca="false">IF($C$22=0,0,C10/$C$22)</f>
        <v>0.0298329971071342</v>
      </c>
    </row>
    <row r="11" customFormat="false" ht="15" hidden="false" customHeight="false" outlineLevel="0" collapsed="false">
      <c r="A11" s="5" t="n">
        <v>6</v>
      </c>
      <c r="B11" s="6" t="s">
        <v>13</v>
      </c>
      <c r="C11" s="7" t="n">
        <f aca="false">SUMIFS('Hisob (batafsil)'!$J$5:$J$301,'Hisob (batafsil)'!$C$5:$C$301,"Yoritish")</f>
        <v>3024</v>
      </c>
      <c r="D11" s="8" t="n">
        <f aca="false">C11*Narxlar!$C$19</f>
        <v>35985600</v>
      </c>
      <c r="E11" s="9" t="n">
        <f aca="false">IF($C$22=0,0,C11/$C$22)</f>
        <v>0.0447494956607013</v>
      </c>
    </row>
    <row r="12" customFormat="false" ht="15" hidden="false" customHeight="false" outlineLevel="0" collapsed="false">
      <c r="A12" s="5" t="n">
        <v>7</v>
      </c>
      <c r="B12" s="6" t="s">
        <v>14</v>
      </c>
      <c r="C12" s="7" t="n">
        <f aca="false">SUMIFS('Hisob (batafsil)'!$J$5:$J$301,'Hisob (batafsil)'!$C$5:$C$301,"Kamera tizimi")</f>
        <v>2119</v>
      </c>
      <c r="D12" s="8" t="n">
        <f aca="false">C12*Narxlar!$C$19</f>
        <v>25216100</v>
      </c>
      <c r="E12" s="9" t="n">
        <f aca="false">IF($C$22=0,0,C12/$C$22)</f>
        <v>0.0313572028125086</v>
      </c>
    </row>
    <row r="13" customFormat="false" ht="15" hidden="false" customHeight="false" outlineLevel="0" collapsed="false">
      <c r="A13" s="5" t="n">
        <v>8</v>
      </c>
      <c r="B13" s="6" t="s">
        <v>15</v>
      </c>
      <c r="C13" s="7" t="n">
        <f aca="false">SUMIFS('Hisob (batafsil)'!$J$5:$J$301,'Hisob (batafsil)'!$C$5:$C$301,"Logotip")</f>
        <v>3250</v>
      </c>
      <c r="D13" s="8" t="n">
        <f aca="false">C13*Narxlar!$C$19</f>
        <v>38675000</v>
      </c>
      <c r="E13" s="9" t="n">
        <f aca="false">IF($C$22=0,0,C13/$C$22)</f>
        <v>0.0480938693443383</v>
      </c>
    </row>
    <row r="14" customFormat="false" ht="15" hidden="false" customHeight="false" outlineLevel="0" collapsed="false">
      <c r="A14" s="5" t="n">
        <v>9</v>
      </c>
      <c r="B14" s="6" t="s">
        <v>16</v>
      </c>
      <c r="C14" s="7" t="n">
        <f aca="false">SUMIFS('Hisob (batafsil)'!$J$5:$J$301,'Hisob (batafsil)'!$C$5:$C$301,"Matli plyonka")</f>
        <v>537.81512605042</v>
      </c>
      <c r="D14" s="8" t="n">
        <f aca="false">C14*Narxlar!$C$19</f>
        <v>6400000</v>
      </c>
      <c r="E14" s="9" t="n">
        <f aca="false">IF($C$22=0,0,C14/$C$22)</f>
        <v>0.00795864935497777</v>
      </c>
    </row>
    <row r="15" customFormat="false" ht="15" hidden="false" customHeight="false" outlineLevel="0" collapsed="false">
      <c r="A15" s="5" t="n">
        <v>10</v>
      </c>
      <c r="B15" s="6" t="s">
        <v>17</v>
      </c>
      <c r="C15" s="7" t="n">
        <f aca="false">SUMIFS('Hisob (batafsil)'!$J$5:$J$301,'Hisob (batafsil)'!$C$5:$C$301,"Yong'in xavfsizligi")</f>
        <v>1512.60504201681</v>
      </c>
      <c r="D15" s="8" t="n">
        <f aca="false">C15*Narxlar!$C$19</f>
        <v>18000000</v>
      </c>
      <c r="E15" s="9" t="n">
        <f aca="false">IF($C$22=0,0,C15/$C$22)</f>
        <v>0.022383701310875</v>
      </c>
    </row>
    <row r="16" customFormat="false" ht="15" hidden="false" customHeight="false" outlineLevel="0" collapsed="false">
      <c r="A16" s="5" t="n">
        <v>11</v>
      </c>
      <c r="B16" s="6" t="s">
        <v>18</v>
      </c>
      <c r="C16" s="7" t="n">
        <f aca="false">SUMIFS('Hisob (batafsil)'!$J$5:$J$301,'Hisob (batafsil)'!$C$5:$C$301,"Buzish ishlari")</f>
        <v>451.575630252101</v>
      </c>
      <c r="D16" s="8" t="n">
        <f aca="false">C16*Narxlar!$C$19</f>
        <v>5373750</v>
      </c>
      <c r="E16" s="9" t="n">
        <f aca="false">IF($C$22=0,0,C16/$C$22)</f>
        <v>0.00668246749551747</v>
      </c>
    </row>
    <row r="17" customFormat="false" ht="15" hidden="false" customHeight="false" outlineLevel="0" collapsed="false">
      <c r="A17" s="5" t="n">
        <v>12</v>
      </c>
      <c r="B17" s="6" t="s">
        <v>19</v>
      </c>
      <c r="C17" s="7" t="n">
        <f aca="false">SUMIFS('Hisob (batafsil)'!$J$5:$J$301,'Hisob (batafsil)'!$C$5:$C$301,"Santexnika")</f>
        <v>3393.27731092437</v>
      </c>
      <c r="D17" s="8" t="n">
        <f aca="false">C17*Narxlar!$C$19</f>
        <v>40380000</v>
      </c>
      <c r="E17" s="9" t="n">
        <f aca="false">IF($C$22=0,0,C17/$C$22)</f>
        <v>0.0502141032740629</v>
      </c>
    </row>
    <row r="18" customFormat="false" ht="15" hidden="false" customHeight="false" outlineLevel="0" collapsed="false">
      <c r="A18" s="5" t="n">
        <v>13</v>
      </c>
      <c r="B18" s="6" t="s">
        <v>20</v>
      </c>
      <c r="C18" s="7" t="n">
        <f aca="false">SUMIFS('Hisob (batafsil)'!$J$5:$J$301,'Hisob (batafsil)'!$C$5:$C$301,"Kafel")</f>
        <v>1243.6974789916</v>
      </c>
      <c r="D18" s="8" t="n">
        <f aca="false">C18*Narxlar!$C$19</f>
        <v>14800000</v>
      </c>
      <c r="E18" s="9" t="n">
        <f aca="false">IF($C$22=0,0,C18/$C$22)</f>
        <v>0.0184043766333861</v>
      </c>
    </row>
    <row r="19" customFormat="false" ht="15" hidden="false" customHeight="false" outlineLevel="0" collapsed="false">
      <c r="A19" s="5" t="n">
        <v>14</v>
      </c>
      <c r="B19" s="6" t="s">
        <v>21</v>
      </c>
      <c r="C19" s="7" t="n">
        <f aca="false">SUMIFS('Hisob (batafsil)'!$J$5:$J$301,'Hisob (batafsil)'!$C$5:$C$301,"Konditsioner va ventilyatsiya")</f>
        <v>15000</v>
      </c>
      <c r="D19" s="8" t="n">
        <f aca="false">C19*Narxlar!$C$19</f>
        <v>178500000</v>
      </c>
      <c r="E19" s="9" t="n">
        <f aca="false">IF($C$22=0,0,C19/$C$22)</f>
        <v>0.221971704666177</v>
      </c>
    </row>
    <row r="20" customFormat="false" ht="15" hidden="false" customHeight="false" outlineLevel="0" collapsed="false">
      <c r="A20" s="5" t="n">
        <v>15</v>
      </c>
      <c r="B20" s="6" t="s">
        <v>22</v>
      </c>
      <c r="C20" s="7" t="n">
        <f aca="false">SUMIFS('Hisob (batafsil)'!$J$5:$J$301,'Hisob (batafsil)'!$C$5:$C$301,"Mebel va interyer")</f>
        <v>6490</v>
      </c>
      <c r="D20" s="8" t="n">
        <f aca="false">C20*Narxlar!$C$19</f>
        <v>77231000</v>
      </c>
      <c r="E20" s="9" t="n">
        <f aca="false">IF($C$22=0,0,C20/$C$22)</f>
        <v>0.0960397575522325</v>
      </c>
    </row>
    <row r="21" customFormat="false" ht="15" hidden="false" customHeight="false" outlineLevel="0" collapsed="false">
      <c r="A21" s="5" t="n">
        <v>16</v>
      </c>
      <c r="B21" s="6" t="s">
        <v>23</v>
      </c>
      <c r="C21" s="7" t="n">
        <f aca="false">SUMIFS('Hisob (batafsil)'!$J$5:$J$301,'Hisob (batafsil)'!$C$5:$C$301,"E'lon va e'tirof doskalari")</f>
        <v>740</v>
      </c>
      <c r="D21" s="8" t="n">
        <f aca="false">C21*Narxlar!$C$19</f>
        <v>8806000</v>
      </c>
      <c r="E21" s="9" t="n">
        <f aca="false">IF($C$22=0,0,C21/$C$22)</f>
        <v>0.0109506040968647</v>
      </c>
    </row>
    <row r="22" customFormat="false" ht="15" hidden="false" customHeight="false" outlineLevel="0" collapsed="false">
      <c r="A22" s="10"/>
      <c r="B22" s="11" t="s">
        <v>24</v>
      </c>
      <c r="C22" s="12" t="n">
        <f aca="false">SUM(C6:C21)</f>
        <v>67576.1805882353</v>
      </c>
      <c r="D22" s="13" t="n">
        <f aca="false">C22*Narxlar!$C$19</f>
        <v>804156549</v>
      </c>
      <c r="E22" s="14" t="n">
        <f aca="false">SUM(E6:E21)</f>
        <v>1</v>
      </c>
    </row>
    <row r="23" customFormat="false" ht="15" hidden="false" customHeight="false" outlineLevel="0" collapsed="false">
      <c r="A23" s="15"/>
      <c r="B23" s="16" t="str">
        <f aca="false">"Kutilmagan xarajatlar ("&amp;TEXT(Narxlar!$C$70,"0%")&amp;")"</f>
        <v>Kutilmagan xarajatlar (10%)</v>
      </c>
      <c r="C23" s="17" t="n">
        <f aca="false">C22*Narxlar!$C$70</f>
        <v>6757.61805882353</v>
      </c>
      <c r="D23" s="18" t="n">
        <f aca="false">C23*Narxlar!$C$19</f>
        <v>80415654.9</v>
      </c>
      <c r="E23" s="16"/>
    </row>
    <row r="24" customFormat="false" ht="15" hidden="false" customHeight="false" outlineLevel="0" collapsed="false">
      <c r="A24" s="19"/>
      <c r="B24" s="20" t="s">
        <v>25</v>
      </c>
      <c r="C24" s="21" t="n">
        <f aca="false">C22+C23</f>
        <v>74333.7986470588</v>
      </c>
      <c r="D24" s="22" t="n">
        <f aca="false">C24*Narxlar!$C$19</f>
        <v>884572203.9</v>
      </c>
      <c r="E24" s="20"/>
    </row>
    <row r="25" customFormat="false" ht="15" hidden="false" customHeight="false" outlineLevel="0" collapsed="false">
      <c r="A25" s="23"/>
      <c r="B25" s="24" t="s">
        <v>26</v>
      </c>
      <c r="C25" s="25" t="n">
        <f aca="false">SUMIFS('Hisob (batafsil)'!$J$5:$J$301,'Hisob (batafsil)'!$C$5:$C$301,"Mebel va interyer")+SUMIFS('Hisob (batafsil)'!$J$5:$J$301,'Hisob (batafsil)'!$C$5:$C$301,"E'lon va e'tirof doskalari")+SUMIFS('Hisob (batafsil)'!$J$5:$J$301,'Hisob (batafsil)'!$B$5:$B$301,"1-qavat — kirish zali (resepshn, turniket)",'Hisob (batafsil)'!$C$5:$C$301,"Logotip")</f>
        <v>7980</v>
      </c>
      <c r="D25" s="26" t="n">
        <f aca="false">C25*Narxlar!$C$19</f>
        <v>94962000</v>
      </c>
      <c r="E25" s="24"/>
    </row>
    <row r="27" customFormat="false" ht="15" hidden="false" customHeight="false" outlineLevel="0" collapsed="false">
      <c r="A27" s="3" t="s">
        <v>27</v>
      </c>
    </row>
    <row r="28" customFormat="false" ht="15" hidden="false" customHeight="false" outlineLevel="0" collapsed="false">
      <c r="A28" s="4" t="s">
        <v>3</v>
      </c>
      <c r="B28" s="4" t="s">
        <v>28</v>
      </c>
      <c r="C28" s="4" t="s">
        <v>5</v>
      </c>
      <c r="D28" s="4" t="s">
        <v>6</v>
      </c>
      <c r="E28" s="4" t="s">
        <v>7</v>
      </c>
    </row>
    <row r="29" customFormat="false" ht="15" hidden="false" customHeight="false" outlineLevel="0" collapsed="false">
      <c r="A29" s="5" t="n">
        <v>1</v>
      </c>
      <c r="B29" s="6" t="s">
        <v>29</v>
      </c>
      <c r="C29" s="7" t="n">
        <f aca="false">'Xonalar bo''yicha'!$W$7</f>
        <v>3430</v>
      </c>
      <c r="D29" s="8" t="n">
        <f aca="false">C29*Narxlar!$C$19</f>
        <v>40817000</v>
      </c>
      <c r="E29" s="9" t="n">
        <f aca="false">IF($C$34=0,0,C29/$C$34)</f>
        <v>0.0507575298003325</v>
      </c>
    </row>
    <row r="30" customFormat="false" ht="15" hidden="false" customHeight="false" outlineLevel="0" collapsed="false">
      <c r="A30" s="5" t="n">
        <v>2</v>
      </c>
      <c r="B30" s="6" t="s">
        <v>30</v>
      </c>
      <c r="C30" s="7" t="n">
        <f aca="false">'Xonalar bo''yicha'!$W$17</f>
        <v>19634.5</v>
      </c>
      <c r="D30" s="8" t="n">
        <f aca="false">C30*Narxlar!$C$19</f>
        <v>233650550</v>
      </c>
      <c r="E30" s="9" t="n">
        <f aca="false">IF($C$34=0,0,C30/$C$34)</f>
        <v>0.290553562351203</v>
      </c>
    </row>
    <row r="31" customFormat="false" ht="15" hidden="false" customHeight="false" outlineLevel="0" collapsed="false">
      <c r="A31" s="5" t="n">
        <v>3</v>
      </c>
      <c r="B31" s="6" t="s">
        <v>31</v>
      </c>
      <c r="C31" s="7" t="n">
        <f aca="false">'Xonalar bo''yicha'!$W$25</f>
        <v>10781.48</v>
      </c>
      <c r="D31" s="8" t="n">
        <f aca="false">C31*Narxlar!$C$19</f>
        <v>128299612</v>
      </c>
      <c r="E31" s="9" t="n">
        <f aca="false">IF($C$34=0,0,C31/$C$34)</f>
        <v>0.159545566294953</v>
      </c>
    </row>
    <row r="32" customFormat="false" ht="15" hidden="false" customHeight="false" outlineLevel="0" collapsed="false">
      <c r="A32" s="5" t="n">
        <v>4</v>
      </c>
      <c r="B32" s="6" t="s">
        <v>32</v>
      </c>
      <c r="C32" s="7" t="n">
        <f aca="false">'Xonalar bo''yicha'!$W$34</f>
        <v>26334.8957983193</v>
      </c>
      <c r="D32" s="8" t="n">
        <f aca="false">C32*Narxlar!$C$19</f>
        <v>313385260</v>
      </c>
      <c r="E32" s="9" t="n">
        <f aca="false">IF($C$34=0,0,C32/$C$34)</f>
        <v>0.389706780837272</v>
      </c>
    </row>
    <row r="33" customFormat="false" ht="15" hidden="false" customHeight="false" outlineLevel="0" collapsed="false">
      <c r="A33" s="5" t="n">
        <v>5</v>
      </c>
      <c r="B33" s="6" t="s">
        <v>33</v>
      </c>
      <c r="C33" s="7" t="n">
        <f aca="false">'Xonalar bo''yicha'!$W$39</f>
        <v>7395.30478991597</v>
      </c>
      <c r="D33" s="8" t="n">
        <f aca="false">C33*Narxlar!$C$19</f>
        <v>88004127</v>
      </c>
      <c r="E33" s="9" t="n">
        <f aca="false">IF($C$34=0,0,C33/$C$34)</f>
        <v>0.109436560716239</v>
      </c>
    </row>
    <row r="34" customFormat="false" ht="15" hidden="false" customHeight="false" outlineLevel="0" collapsed="false">
      <c r="A34" s="10"/>
      <c r="B34" s="11" t="s">
        <v>24</v>
      </c>
      <c r="C34" s="12" t="n">
        <f aca="false">SUM(C29:C33)</f>
        <v>67576.1805882353</v>
      </c>
      <c r="D34" s="13" t="n">
        <f aca="false">C34*Narxlar!$C$19</f>
        <v>804156549</v>
      </c>
      <c r="E34" s="14" t="n">
        <f aca="false">SUM(E29:E33)</f>
        <v>1</v>
      </c>
    </row>
    <row r="36" customFormat="false" ht="15" hidden="false" customHeight="false" outlineLevel="0" collapsed="false">
      <c r="B36" s="2" t="s">
        <v>34</v>
      </c>
      <c r="C36" s="27" t="n">
        <f aca="false">C22-C34</f>
        <v>0</v>
      </c>
    </row>
    <row r="37" customFormat="false" ht="15" hidden="false" customHeight="false" outlineLevel="0" collapsed="false">
      <c r="B37" s="2" t="s">
        <v>35</v>
      </c>
      <c r="C37" s="28" t="n">
        <f aca="false">Narxlar!$C$19</f>
        <v>11900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2" min="2" style="0" width="12"/>
    <col collapsed="false" customWidth="true" hidden="false" outlineLevel="0" max="23" min="23" style="0" width="1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</row>
    <row r="5" customFormat="false" ht="15" hidden="false" customHeight="false" outlineLevel="0" collapsed="false">
      <c r="A5" s="29" t="s">
        <v>29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customFormat="false" ht="15" hidden="false" customHeight="false" outlineLevel="0" collapsed="false">
      <c r="A6" s="6" t="s">
        <v>61</v>
      </c>
      <c r="B6" s="31" t="n">
        <f aca="false">SUMIFS('Hisob (batafsil)'!$G$5:$G$301,'Hisob (batafsil)'!$B$5:$B$301,$A6,'Hisob (batafsil)'!$C$5:$C$301,"Shisha devor")</f>
        <v>0</v>
      </c>
      <c r="C6" s="32" t="n">
        <f aca="false">SUMIFS('Hisob (batafsil)'!$J$5:$J$301,'Hisob (batafsil)'!$B$5:$B$301,$A6,'Hisob (batafsil)'!$C$5:$C$301,"Shisha devor")</f>
        <v>0</v>
      </c>
      <c r="D6" s="31" t="n">
        <f aca="false">SUMIFS('Hisob (batafsil)'!$G$5:$G$301,'Hisob (batafsil)'!$B$5:$B$301,$A6,'Hisob (batafsil)'!$C$5:$C$301,"Gips karton (GKL)")</f>
        <v>0</v>
      </c>
      <c r="E6" s="32" t="n">
        <f aca="false">SUMIFS('Hisob (batafsil)'!$J$5:$J$301,'Hisob (batafsil)'!$B$5:$B$301,$A6,'Hisob (batafsil)'!$C$5:$C$301,"Gips karton (GKL)")</f>
        <v>0</v>
      </c>
      <c r="F6" s="31" t="n">
        <f aca="false">SUMIFS('Hisob (batafsil)'!$G$5:$G$301,'Hisob (batafsil)'!$B$5:$B$301,$A6,'Hisob (batafsil)'!$C$5:$C$301,"Bambuk panel")</f>
        <v>0</v>
      </c>
      <c r="G6" s="32" t="n">
        <f aca="false">SUMIFS('Hisob (batafsil)'!$J$5:$J$301,'Hisob (batafsil)'!$B$5:$B$301,$A6,'Hisob (batafsil)'!$C$5:$C$301,"Bambuk panel")</f>
        <v>0</v>
      </c>
      <c r="H6" s="33" t="n">
        <f aca="false">SUMIFS('Hisob (batafsil)'!$G$5:$G$301,'Hisob (batafsil)'!$B$5:$B$301,$A6,'Hisob (batafsil)'!$C$5:$C$301,"Interaktiv doska")</f>
        <v>0</v>
      </c>
      <c r="I6" s="32" t="n">
        <f aca="false">SUMIFS('Hisob (batafsil)'!$J$5:$J$301,'Hisob (batafsil)'!$B$5:$B$301,$A6,'Hisob (batafsil)'!$C$5:$C$301,"Interaktiv doska")</f>
        <v>0</v>
      </c>
      <c r="J6" s="31" t="n">
        <f aca="false">SUMIFS('Hisob (batafsil)'!$G$5:$G$301,'Hisob (batafsil)'!$B$5:$B$301,$A6,'Hisob (batafsil)'!$C$5:$C$301,"Perila")</f>
        <v>0</v>
      </c>
      <c r="K6" s="32" t="n">
        <f aca="false">SUMIFS('Hisob (batafsil)'!$J$5:$J$301,'Hisob (batafsil)'!$B$5:$B$301,$A6,'Hisob (batafsil)'!$C$5:$C$301,"Perila")</f>
        <v>0</v>
      </c>
      <c r="L6" s="32" t="n">
        <f aca="false">SUMIFS('Hisob (batafsil)'!$J$5:$J$301,'Hisob (batafsil)'!$B$5:$B$301,$A6,'Hisob (batafsil)'!$C$5:$C$301,"Yoritish")</f>
        <v>0</v>
      </c>
      <c r="M6" s="32" t="n">
        <f aca="false">SUMIFS('Hisob (batafsil)'!$J$5:$J$301,'Hisob (batafsil)'!$B$5:$B$301,$A6,'Hisob (batafsil)'!$C$5:$C$301,"Kamera tizimi")</f>
        <v>0</v>
      </c>
      <c r="N6" s="32" t="n">
        <f aca="false">SUMIFS('Hisob (batafsil)'!$J$5:$J$301,'Hisob (batafsil)'!$B$5:$B$301,$A6,'Hisob (batafsil)'!$C$5:$C$301,"Logotip")</f>
        <v>750</v>
      </c>
      <c r="O6" s="32" t="n">
        <f aca="false">SUMIFS('Hisob (batafsil)'!$J$5:$J$301,'Hisob (batafsil)'!$B$5:$B$301,$A6,'Hisob (batafsil)'!$C$5:$C$301,"Matli plyonka")</f>
        <v>0</v>
      </c>
      <c r="P6" s="32" t="n">
        <f aca="false">SUMIFS('Hisob (batafsil)'!$J$5:$J$301,'Hisob (batafsil)'!$B$5:$B$301,$A6,'Hisob (batafsil)'!$C$5:$C$301,"Yong'in xavfsizligi")</f>
        <v>0</v>
      </c>
      <c r="Q6" s="32" t="n">
        <f aca="false">SUMIFS('Hisob (batafsil)'!$J$5:$J$301,'Hisob (batafsil)'!$B$5:$B$301,$A6,'Hisob (batafsil)'!$C$5:$C$301,"Buzish ishlari")</f>
        <v>0</v>
      </c>
      <c r="R6" s="32" t="n">
        <f aca="false">SUMIFS('Hisob (batafsil)'!$J$5:$J$301,'Hisob (batafsil)'!$B$5:$B$301,$A6,'Hisob (batafsil)'!$C$5:$C$301,"Santexnika")</f>
        <v>0</v>
      </c>
      <c r="S6" s="32" t="n">
        <f aca="false">SUMIFS('Hisob (batafsil)'!$J$5:$J$301,'Hisob (batafsil)'!$B$5:$B$301,$A6,'Hisob (batafsil)'!$C$5:$C$301,"Kafel")</f>
        <v>0</v>
      </c>
      <c r="T6" s="32" t="n">
        <f aca="false">SUMIFS('Hisob (batafsil)'!$J$5:$J$301,'Hisob (batafsil)'!$B$5:$B$301,$A6,'Hisob (batafsil)'!$C$5:$C$301,"Konditsioner va ventilyatsiya")</f>
        <v>0</v>
      </c>
      <c r="U6" s="32" t="n">
        <f aca="false">SUMIFS('Hisob (batafsil)'!$J$5:$J$301,'Hisob (batafsil)'!$B$5:$B$301,$A6,'Hisob (batafsil)'!$C$5:$C$301,"Mebel va interyer")</f>
        <v>2680</v>
      </c>
      <c r="V6" s="32" t="n">
        <f aca="false">SUMIFS('Hisob (batafsil)'!$J$5:$J$301,'Hisob (batafsil)'!$B$5:$B$301,$A6,'Hisob (batafsil)'!$C$5:$C$301,"E'lon va e'tirof doskalari")</f>
        <v>0</v>
      </c>
      <c r="W6" s="34" t="n">
        <f aca="false">C6+E6+G6+I6+K6+L6+M6+N6+O6+P6+Q6+R6+S6+T6+U6+V6</f>
        <v>3430</v>
      </c>
    </row>
    <row r="7" customFormat="false" ht="15" hidden="false" customHeight="false" outlineLevel="0" collapsed="false">
      <c r="A7" s="11" t="s">
        <v>62</v>
      </c>
      <c r="B7" s="35" t="n">
        <f aca="false">SUM(B6:B6)</f>
        <v>0</v>
      </c>
      <c r="C7" s="36" t="n">
        <f aca="false">SUM(C6:C6)</f>
        <v>0</v>
      </c>
      <c r="D7" s="35" t="n">
        <f aca="false">SUM(D6:D6)</f>
        <v>0</v>
      </c>
      <c r="E7" s="36" t="n">
        <f aca="false">SUM(E6:E6)</f>
        <v>0</v>
      </c>
      <c r="F7" s="35" t="n">
        <f aca="false">SUM(F6:F6)</f>
        <v>0</v>
      </c>
      <c r="G7" s="36" t="n">
        <f aca="false">SUM(G6:G6)</f>
        <v>0</v>
      </c>
      <c r="H7" s="37" t="n">
        <f aca="false">SUM(H6:H6)</f>
        <v>0</v>
      </c>
      <c r="I7" s="36" t="n">
        <f aca="false">SUM(I6:I6)</f>
        <v>0</v>
      </c>
      <c r="J7" s="35" t="n">
        <f aca="false">SUM(J6:J6)</f>
        <v>0</v>
      </c>
      <c r="K7" s="36" t="n">
        <f aca="false">SUM(K6:K6)</f>
        <v>0</v>
      </c>
      <c r="L7" s="36" t="n">
        <f aca="false">SUM(L6:L6)</f>
        <v>0</v>
      </c>
      <c r="M7" s="36" t="n">
        <f aca="false">SUM(M6:M6)</f>
        <v>0</v>
      </c>
      <c r="N7" s="36" t="n">
        <f aca="false">SUM(N6:N6)</f>
        <v>750</v>
      </c>
      <c r="O7" s="36" t="n">
        <f aca="false">SUM(O6:O6)</f>
        <v>0</v>
      </c>
      <c r="P7" s="36" t="n">
        <f aca="false">SUM(P6:P6)</f>
        <v>0</v>
      </c>
      <c r="Q7" s="36" t="n">
        <f aca="false">SUM(Q6:Q6)</f>
        <v>0</v>
      </c>
      <c r="R7" s="36" t="n">
        <f aca="false">SUM(R6:R6)</f>
        <v>0</v>
      </c>
      <c r="S7" s="36" t="n">
        <f aca="false">SUM(S6:S6)</f>
        <v>0</v>
      </c>
      <c r="T7" s="36" t="n">
        <f aca="false">SUM(T6:T6)</f>
        <v>0</v>
      </c>
      <c r="U7" s="36" t="n">
        <f aca="false">SUM(U6:U6)</f>
        <v>2680</v>
      </c>
      <c r="V7" s="36" t="n">
        <f aca="false">SUM(V6:V6)</f>
        <v>0</v>
      </c>
      <c r="W7" s="36" t="n">
        <f aca="false">SUM(W6:W6)</f>
        <v>3430</v>
      </c>
    </row>
    <row r="9" customFormat="false" ht="15" hidden="false" customHeight="false" outlineLevel="0" collapsed="false">
      <c r="A9" s="29" t="s">
        <v>30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customFormat="false" ht="15" hidden="false" customHeight="false" outlineLevel="0" collapsed="false">
      <c r="A10" s="6" t="s">
        <v>63</v>
      </c>
      <c r="B10" s="31" t="n">
        <f aca="false">SUMIFS('Hisob (batafsil)'!$G$5:$G$301,'Hisob (batafsil)'!$B$5:$B$301,$A10,'Hisob (batafsil)'!$C$5:$C$301,"Shisha devor")</f>
        <v>13.75</v>
      </c>
      <c r="C10" s="32" t="n">
        <f aca="false">SUMIFS('Hisob (batafsil)'!$J$5:$J$301,'Hisob (batafsil)'!$B$5:$B$301,$A10,'Hisob (batafsil)'!$C$5:$C$301,"Shisha devor")</f>
        <v>756.25</v>
      </c>
      <c r="D10" s="31" t="n">
        <f aca="false">SUMIFS('Hisob (batafsil)'!$G$5:$G$301,'Hisob (batafsil)'!$B$5:$B$301,$A10,'Hisob (batafsil)'!$C$5:$C$301,"Gips karton (GKL)")</f>
        <v>7.25</v>
      </c>
      <c r="E10" s="32" t="n">
        <f aca="false">SUMIFS('Hisob (batafsil)'!$J$5:$J$301,'Hisob (batafsil)'!$B$5:$B$301,$A10,'Hisob (batafsil)'!$C$5:$C$301,"Gips karton (GKL)")</f>
        <v>87</v>
      </c>
      <c r="F10" s="31" t="n">
        <f aca="false">SUMIFS('Hisob (batafsil)'!$G$5:$G$301,'Hisob (batafsil)'!$B$5:$B$301,$A10,'Hisob (batafsil)'!$C$5:$C$301,"Bambuk panel")</f>
        <v>53.9</v>
      </c>
      <c r="G10" s="32" t="n">
        <f aca="false">SUMIFS('Hisob (batafsil)'!$J$5:$J$301,'Hisob (batafsil)'!$B$5:$B$301,$A10,'Hisob (batafsil)'!$C$5:$C$301,"Bambuk panel")</f>
        <v>835.45</v>
      </c>
      <c r="H10" s="33" t="n">
        <f aca="false">SUMIFS('Hisob (batafsil)'!$G$5:$G$301,'Hisob (batafsil)'!$B$5:$B$301,$A10,'Hisob (batafsil)'!$C$5:$C$301,"Interaktiv doska")</f>
        <v>1</v>
      </c>
      <c r="I10" s="32" t="n">
        <f aca="false">SUMIFS('Hisob (batafsil)'!$J$5:$J$301,'Hisob (batafsil)'!$B$5:$B$301,$A10,'Hisob (batafsil)'!$C$5:$C$301,"Interaktiv doska")</f>
        <v>1032</v>
      </c>
      <c r="J10" s="31" t="n">
        <f aca="false">SUMIFS('Hisob (batafsil)'!$G$5:$G$301,'Hisob (batafsil)'!$B$5:$B$301,$A10,'Hisob (batafsil)'!$C$5:$C$301,"Perila")</f>
        <v>0</v>
      </c>
      <c r="K10" s="32" t="n">
        <f aca="false">SUMIFS('Hisob (batafsil)'!$J$5:$J$301,'Hisob (batafsil)'!$B$5:$B$301,$A10,'Hisob (batafsil)'!$C$5:$C$301,"Perila")</f>
        <v>0</v>
      </c>
      <c r="L10" s="32" t="n">
        <f aca="false">SUMIFS('Hisob (batafsil)'!$J$5:$J$301,'Hisob (batafsil)'!$B$5:$B$301,$A10,'Hisob (batafsil)'!$C$5:$C$301,"Yoritish")</f>
        <v>168</v>
      </c>
      <c r="M10" s="32" t="n">
        <f aca="false">SUMIFS('Hisob (batafsil)'!$J$5:$J$301,'Hisob (batafsil)'!$B$5:$B$301,$A10,'Hisob (batafsil)'!$C$5:$C$301,"Kamera tizimi")</f>
        <v>0</v>
      </c>
      <c r="N10" s="32" t="n">
        <f aca="false">SUMIFS('Hisob (batafsil)'!$J$5:$J$301,'Hisob (batafsil)'!$B$5:$B$301,$A10,'Hisob (batafsil)'!$C$5:$C$301,"Logotip")</f>
        <v>0</v>
      </c>
      <c r="O10" s="32" t="n">
        <f aca="false">SUMIFS('Hisob (batafsil)'!$J$5:$J$301,'Hisob (batafsil)'!$B$5:$B$301,$A10,'Hisob (batafsil)'!$C$5:$C$301,"Matli plyonka")</f>
        <v>0</v>
      </c>
      <c r="P10" s="32" t="n">
        <f aca="false">SUMIFS('Hisob (batafsil)'!$J$5:$J$301,'Hisob (batafsil)'!$B$5:$B$301,$A10,'Hisob (batafsil)'!$C$5:$C$301,"Yong'in xavfsizligi")</f>
        <v>0</v>
      </c>
      <c r="Q10" s="32" t="n">
        <f aca="false">SUMIFS('Hisob (batafsil)'!$J$5:$J$301,'Hisob (batafsil)'!$B$5:$B$301,$A10,'Hisob (batafsil)'!$C$5:$C$301,"Buzish ishlari")</f>
        <v>0</v>
      </c>
      <c r="R10" s="32" t="n">
        <f aca="false">SUMIFS('Hisob (batafsil)'!$J$5:$J$301,'Hisob (batafsil)'!$B$5:$B$301,$A10,'Hisob (batafsil)'!$C$5:$C$301,"Santexnika")</f>
        <v>0</v>
      </c>
      <c r="S10" s="32" t="n">
        <f aca="false">SUMIFS('Hisob (batafsil)'!$J$5:$J$301,'Hisob (batafsil)'!$B$5:$B$301,$A10,'Hisob (batafsil)'!$C$5:$C$301,"Kafel")</f>
        <v>0</v>
      </c>
      <c r="T10" s="32" t="n">
        <f aca="false">SUMIFS('Hisob (batafsil)'!$J$5:$J$301,'Hisob (batafsil)'!$B$5:$B$301,$A10,'Hisob (batafsil)'!$C$5:$C$301,"Konditsioner va ventilyatsiya")</f>
        <v>0</v>
      </c>
      <c r="U10" s="32" t="n">
        <f aca="false">SUMIFS('Hisob (batafsil)'!$J$5:$J$301,'Hisob (batafsil)'!$B$5:$B$301,$A10,'Hisob (batafsil)'!$C$5:$C$301,"Mebel va interyer")</f>
        <v>0</v>
      </c>
      <c r="V10" s="32" t="n">
        <f aca="false">SUMIFS('Hisob (batafsil)'!$J$5:$J$301,'Hisob (batafsil)'!$B$5:$B$301,$A10,'Hisob (batafsil)'!$C$5:$C$301,"E'lon va e'tirof doskalari")</f>
        <v>0</v>
      </c>
      <c r="W10" s="34" t="n">
        <f aca="false">C10+E10+G10+I10+K10+L10+M10+N10+O10+P10+Q10+R10+S10+T10+U10+V10</f>
        <v>2878.7</v>
      </c>
    </row>
    <row r="11" customFormat="false" ht="15" hidden="false" customHeight="false" outlineLevel="0" collapsed="false">
      <c r="A11" s="6" t="s">
        <v>64</v>
      </c>
      <c r="B11" s="31" t="n">
        <f aca="false">SUMIFS('Hisob (batafsil)'!$G$5:$G$301,'Hisob (batafsil)'!$B$5:$B$301,$A11,'Hisob (batafsil)'!$C$5:$C$301,"Shisha devor")</f>
        <v>14</v>
      </c>
      <c r="C11" s="32" t="n">
        <f aca="false">SUMIFS('Hisob (batafsil)'!$J$5:$J$301,'Hisob (batafsil)'!$B$5:$B$301,$A11,'Hisob (batafsil)'!$C$5:$C$301,"Shisha devor")</f>
        <v>770</v>
      </c>
      <c r="D11" s="31" t="n">
        <f aca="false">SUMIFS('Hisob (batafsil)'!$G$5:$G$301,'Hisob (batafsil)'!$B$5:$B$301,$A11,'Hisob (batafsil)'!$C$5:$C$301,"Gips karton (GKL)")</f>
        <v>6.3</v>
      </c>
      <c r="E11" s="32" t="n">
        <f aca="false">SUMIFS('Hisob (batafsil)'!$J$5:$J$301,'Hisob (batafsil)'!$B$5:$B$301,$A11,'Hisob (batafsil)'!$C$5:$C$301,"Gips karton (GKL)")</f>
        <v>75.6</v>
      </c>
      <c r="F11" s="31" t="n">
        <f aca="false">SUMIFS('Hisob (batafsil)'!$G$5:$G$301,'Hisob (batafsil)'!$B$5:$B$301,$A11,'Hisob (batafsil)'!$C$5:$C$301,"Bambuk panel")</f>
        <v>53.9</v>
      </c>
      <c r="G11" s="32" t="n">
        <f aca="false">SUMIFS('Hisob (batafsil)'!$J$5:$J$301,'Hisob (batafsil)'!$B$5:$B$301,$A11,'Hisob (batafsil)'!$C$5:$C$301,"Bambuk panel")</f>
        <v>835.45</v>
      </c>
      <c r="H11" s="33" t="n">
        <f aca="false">SUMIFS('Hisob (batafsil)'!$G$5:$G$301,'Hisob (batafsil)'!$B$5:$B$301,$A11,'Hisob (batafsil)'!$C$5:$C$301,"Interaktiv doska")</f>
        <v>1</v>
      </c>
      <c r="I11" s="32" t="n">
        <f aca="false">SUMIFS('Hisob (batafsil)'!$J$5:$J$301,'Hisob (batafsil)'!$B$5:$B$301,$A11,'Hisob (batafsil)'!$C$5:$C$301,"Interaktiv doska")</f>
        <v>1032</v>
      </c>
      <c r="J11" s="31" t="n">
        <f aca="false">SUMIFS('Hisob (batafsil)'!$G$5:$G$301,'Hisob (batafsil)'!$B$5:$B$301,$A11,'Hisob (batafsil)'!$C$5:$C$301,"Perila")</f>
        <v>0</v>
      </c>
      <c r="K11" s="32" t="n">
        <f aca="false">SUMIFS('Hisob (batafsil)'!$J$5:$J$301,'Hisob (batafsil)'!$B$5:$B$301,$A11,'Hisob (batafsil)'!$C$5:$C$301,"Perila")</f>
        <v>0</v>
      </c>
      <c r="L11" s="32" t="n">
        <f aca="false">SUMIFS('Hisob (batafsil)'!$J$5:$J$301,'Hisob (batafsil)'!$B$5:$B$301,$A11,'Hisob (batafsil)'!$C$5:$C$301,"Yoritish")</f>
        <v>168</v>
      </c>
      <c r="M11" s="32" t="n">
        <f aca="false">SUMIFS('Hisob (batafsil)'!$J$5:$J$301,'Hisob (batafsil)'!$B$5:$B$301,$A11,'Hisob (batafsil)'!$C$5:$C$301,"Kamera tizimi")</f>
        <v>0</v>
      </c>
      <c r="N11" s="32" t="n">
        <f aca="false">SUMIFS('Hisob (batafsil)'!$J$5:$J$301,'Hisob (batafsil)'!$B$5:$B$301,$A11,'Hisob (batafsil)'!$C$5:$C$301,"Logotip")</f>
        <v>0</v>
      </c>
      <c r="O11" s="32" t="n">
        <f aca="false">SUMIFS('Hisob (batafsil)'!$J$5:$J$301,'Hisob (batafsil)'!$B$5:$B$301,$A11,'Hisob (batafsil)'!$C$5:$C$301,"Matli plyonka")</f>
        <v>0</v>
      </c>
      <c r="P11" s="32" t="n">
        <f aca="false">SUMIFS('Hisob (batafsil)'!$J$5:$J$301,'Hisob (batafsil)'!$B$5:$B$301,$A11,'Hisob (batafsil)'!$C$5:$C$301,"Yong'in xavfsizligi")</f>
        <v>0</v>
      </c>
      <c r="Q11" s="32" t="n">
        <f aca="false">SUMIFS('Hisob (batafsil)'!$J$5:$J$301,'Hisob (batafsil)'!$B$5:$B$301,$A11,'Hisob (batafsil)'!$C$5:$C$301,"Buzish ishlari")</f>
        <v>0</v>
      </c>
      <c r="R11" s="32" t="n">
        <f aca="false">SUMIFS('Hisob (batafsil)'!$J$5:$J$301,'Hisob (batafsil)'!$B$5:$B$301,$A11,'Hisob (batafsil)'!$C$5:$C$301,"Santexnika")</f>
        <v>0</v>
      </c>
      <c r="S11" s="32" t="n">
        <f aca="false">SUMIFS('Hisob (batafsil)'!$J$5:$J$301,'Hisob (batafsil)'!$B$5:$B$301,$A11,'Hisob (batafsil)'!$C$5:$C$301,"Kafel")</f>
        <v>0</v>
      </c>
      <c r="T11" s="32" t="n">
        <f aca="false">SUMIFS('Hisob (batafsil)'!$J$5:$J$301,'Hisob (batafsil)'!$B$5:$B$301,$A11,'Hisob (batafsil)'!$C$5:$C$301,"Konditsioner va ventilyatsiya")</f>
        <v>0</v>
      </c>
      <c r="U11" s="32" t="n">
        <f aca="false">SUMIFS('Hisob (batafsil)'!$J$5:$J$301,'Hisob (batafsil)'!$B$5:$B$301,$A11,'Hisob (batafsil)'!$C$5:$C$301,"Mebel va interyer")</f>
        <v>0</v>
      </c>
      <c r="V11" s="32" t="n">
        <f aca="false">SUMIFS('Hisob (batafsil)'!$J$5:$J$301,'Hisob (batafsil)'!$B$5:$B$301,$A11,'Hisob (batafsil)'!$C$5:$C$301,"E'lon va e'tirof doskalari")</f>
        <v>0</v>
      </c>
      <c r="W11" s="34" t="n">
        <f aca="false">C11+E11+G11+I11+K11+L11+M11+N11+O11+P11+Q11+R11+S11+T11+U11+V11</f>
        <v>2881.05</v>
      </c>
    </row>
    <row r="12" customFormat="false" ht="15" hidden="false" customHeight="false" outlineLevel="0" collapsed="false">
      <c r="A12" s="6" t="s">
        <v>65</v>
      </c>
      <c r="B12" s="31" t="n">
        <f aca="false">SUMIFS('Hisob (batafsil)'!$G$5:$G$301,'Hisob (batafsil)'!$B$5:$B$301,$A12,'Hisob (batafsil)'!$C$5:$C$301,"Shisha devor")</f>
        <v>2.25</v>
      </c>
      <c r="C12" s="32" t="n">
        <f aca="false">SUMIFS('Hisob (batafsil)'!$J$5:$J$301,'Hisob (batafsil)'!$B$5:$B$301,$A12,'Hisob (batafsil)'!$C$5:$C$301,"Shisha devor")</f>
        <v>123.75</v>
      </c>
      <c r="D12" s="31" t="n">
        <f aca="false">SUMIFS('Hisob (batafsil)'!$G$5:$G$301,'Hisob (batafsil)'!$B$5:$B$301,$A12,'Hisob (batafsil)'!$C$5:$C$301,"Gips karton (GKL)")</f>
        <v>17.875</v>
      </c>
      <c r="E12" s="32" t="n">
        <f aca="false">SUMIFS('Hisob (batafsil)'!$J$5:$J$301,'Hisob (batafsil)'!$B$5:$B$301,$A12,'Hisob (batafsil)'!$C$5:$C$301,"Gips karton (GKL)")</f>
        <v>214.5</v>
      </c>
      <c r="F12" s="31" t="n">
        <f aca="false">SUMIFS('Hisob (batafsil)'!$G$5:$G$301,'Hisob (batafsil)'!$B$5:$B$301,$A12,'Hisob (batafsil)'!$C$5:$C$301,"Bambuk panel")</f>
        <v>53.9</v>
      </c>
      <c r="G12" s="32" t="n">
        <f aca="false">SUMIFS('Hisob (batafsil)'!$J$5:$J$301,'Hisob (batafsil)'!$B$5:$B$301,$A12,'Hisob (batafsil)'!$C$5:$C$301,"Bambuk panel")</f>
        <v>835.45</v>
      </c>
      <c r="H12" s="33" t="n">
        <f aca="false">SUMIFS('Hisob (batafsil)'!$G$5:$G$301,'Hisob (batafsil)'!$B$5:$B$301,$A12,'Hisob (batafsil)'!$C$5:$C$301,"Interaktiv doska")</f>
        <v>1</v>
      </c>
      <c r="I12" s="32" t="n">
        <f aca="false">SUMIFS('Hisob (batafsil)'!$J$5:$J$301,'Hisob (batafsil)'!$B$5:$B$301,$A12,'Hisob (batafsil)'!$C$5:$C$301,"Interaktiv doska")</f>
        <v>1032</v>
      </c>
      <c r="J12" s="31" t="n">
        <f aca="false">SUMIFS('Hisob (batafsil)'!$G$5:$G$301,'Hisob (batafsil)'!$B$5:$B$301,$A12,'Hisob (batafsil)'!$C$5:$C$301,"Perila")</f>
        <v>0</v>
      </c>
      <c r="K12" s="32" t="n">
        <f aca="false">SUMIFS('Hisob (batafsil)'!$J$5:$J$301,'Hisob (batafsil)'!$B$5:$B$301,$A12,'Hisob (batafsil)'!$C$5:$C$301,"Perila")</f>
        <v>0</v>
      </c>
      <c r="L12" s="32" t="n">
        <f aca="false">SUMIFS('Hisob (batafsil)'!$J$5:$J$301,'Hisob (batafsil)'!$B$5:$B$301,$A12,'Hisob (batafsil)'!$C$5:$C$301,"Yoritish")</f>
        <v>168</v>
      </c>
      <c r="M12" s="32" t="n">
        <f aca="false">SUMIFS('Hisob (batafsil)'!$J$5:$J$301,'Hisob (batafsil)'!$B$5:$B$301,$A12,'Hisob (batafsil)'!$C$5:$C$301,"Kamera tizimi")</f>
        <v>0</v>
      </c>
      <c r="N12" s="32" t="n">
        <f aca="false">SUMIFS('Hisob (batafsil)'!$J$5:$J$301,'Hisob (batafsil)'!$B$5:$B$301,$A12,'Hisob (batafsil)'!$C$5:$C$301,"Logotip")</f>
        <v>0</v>
      </c>
      <c r="O12" s="32" t="n">
        <f aca="false">SUMIFS('Hisob (batafsil)'!$J$5:$J$301,'Hisob (batafsil)'!$B$5:$B$301,$A12,'Hisob (batafsil)'!$C$5:$C$301,"Matli plyonka")</f>
        <v>0</v>
      </c>
      <c r="P12" s="32" t="n">
        <f aca="false">SUMIFS('Hisob (batafsil)'!$J$5:$J$301,'Hisob (batafsil)'!$B$5:$B$301,$A12,'Hisob (batafsil)'!$C$5:$C$301,"Yong'in xavfsizligi")</f>
        <v>0</v>
      </c>
      <c r="Q12" s="32" t="n">
        <f aca="false">SUMIFS('Hisob (batafsil)'!$J$5:$J$301,'Hisob (batafsil)'!$B$5:$B$301,$A12,'Hisob (batafsil)'!$C$5:$C$301,"Buzish ishlari")</f>
        <v>0</v>
      </c>
      <c r="R12" s="32" t="n">
        <f aca="false">SUMIFS('Hisob (batafsil)'!$J$5:$J$301,'Hisob (batafsil)'!$B$5:$B$301,$A12,'Hisob (batafsil)'!$C$5:$C$301,"Santexnika")</f>
        <v>0</v>
      </c>
      <c r="S12" s="32" t="n">
        <f aca="false">SUMIFS('Hisob (batafsil)'!$J$5:$J$301,'Hisob (batafsil)'!$B$5:$B$301,$A12,'Hisob (batafsil)'!$C$5:$C$301,"Kafel")</f>
        <v>0</v>
      </c>
      <c r="T12" s="32" t="n">
        <f aca="false">SUMIFS('Hisob (batafsil)'!$J$5:$J$301,'Hisob (batafsil)'!$B$5:$B$301,$A12,'Hisob (batafsil)'!$C$5:$C$301,"Konditsioner va ventilyatsiya")</f>
        <v>0</v>
      </c>
      <c r="U12" s="32" t="n">
        <f aca="false">SUMIFS('Hisob (batafsil)'!$J$5:$J$301,'Hisob (batafsil)'!$B$5:$B$301,$A12,'Hisob (batafsil)'!$C$5:$C$301,"Mebel va interyer")</f>
        <v>0</v>
      </c>
      <c r="V12" s="32" t="n">
        <f aca="false">SUMIFS('Hisob (batafsil)'!$J$5:$J$301,'Hisob (batafsil)'!$B$5:$B$301,$A12,'Hisob (batafsil)'!$C$5:$C$301,"E'lon va e'tirof doskalari")</f>
        <v>0</v>
      </c>
      <c r="W12" s="34" t="n">
        <f aca="false">C12+E12+G12+I12+K12+L12+M12+N12+O12+P12+Q12+R12+S12+T12+U12+V12</f>
        <v>2373.7</v>
      </c>
    </row>
    <row r="13" customFormat="false" ht="15" hidden="false" customHeight="false" outlineLevel="0" collapsed="false">
      <c r="A13" s="6" t="s">
        <v>66</v>
      </c>
      <c r="B13" s="31" t="n">
        <f aca="false">SUMIFS('Hisob (batafsil)'!$G$5:$G$301,'Hisob (batafsil)'!$B$5:$B$301,$A13,'Hisob (batafsil)'!$C$5:$C$301,"Shisha devor")</f>
        <v>2.25</v>
      </c>
      <c r="C13" s="32" t="n">
        <f aca="false">SUMIFS('Hisob (batafsil)'!$J$5:$J$301,'Hisob (batafsil)'!$B$5:$B$301,$A13,'Hisob (batafsil)'!$C$5:$C$301,"Shisha devor")</f>
        <v>123.75</v>
      </c>
      <c r="D13" s="31" t="n">
        <f aca="false">SUMIFS('Hisob (batafsil)'!$G$5:$G$301,'Hisob (batafsil)'!$B$5:$B$301,$A13,'Hisob (batafsil)'!$C$5:$C$301,"Gips karton (GKL)")</f>
        <v>52</v>
      </c>
      <c r="E13" s="32" t="n">
        <f aca="false">SUMIFS('Hisob (batafsil)'!$J$5:$J$301,'Hisob (batafsil)'!$B$5:$B$301,$A13,'Hisob (batafsil)'!$C$5:$C$301,"Gips karton (GKL)")</f>
        <v>624</v>
      </c>
      <c r="F13" s="31" t="n">
        <f aca="false">SUMIFS('Hisob (batafsil)'!$G$5:$G$301,'Hisob (batafsil)'!$B$5:$B$301,$A13,'Hisob (batafsil)'!$C$5:$C$301,"Bambuk panel")</f>
        <v>50.4</v>
      </c>
      <c r="G13" s="32" t="n">
        <f aca="false">SUMIFS('Hisob (batafsil)'!$J$5:$J$301,'Hisob (batafsil)'!$B$5:$B$301,$A13,'Hisob (batafsil)'!$C$5:$C$301,"Bambuk panel")</f>
        <v>781.2</v>
      </c>
      <c r="H13" s="33" t="n">
        <f aca="false">SUMIFS('Hisob (batafsil)'!$G$5:$G$301,'Hisob (batafsil)'!$B$5:$B$301,$A13,'Hisob (batafsil)'!$C$5:$C$301,"Interaktiv doska")</f>
        <v>1</v>
      </c>
      <c r="I13" s="32" t="n">
        <f aca="false">SUMIFS('Hisob (batafsil)'!$J$5:$J$301,'Hisob (batafsil)'!$B$5:$B$301,$A13,'Hisob (batafsil)'!$C$5:$C$301,"Interaktiv doska")</f>
        <v>1032</v>
      </c>
      <c r="J13" s="31" t="n">
        <f aca="false">SUMIFS('Hisob (batafsil)'!$G$5:$G$301,'Hisob (batafsil)'!$B$5:$B$301,$A13,'Hisob (batafsil)'!$C$5:$C$301,"Perila")</f>
        <v>0</v>
      </c>
      <c r="K13" s="32" t="n">
        <f aca="false">SUMIFS('Hisob (batafsil)'!$J$5:$J$301,'Hisob (batafsil)'!$B$5:$B$301,$A13,'Hisob (batafsil)'!$C$5:$C$301,"Perila")</f>
        <v>0</v>
      </c>
      <c r="L13" s="32" t="n">
        <f aca="false">SUMIFS('Hisob (batafsil)'!$J$5:$J$301,'Hisob (batafsil)'!$B$5:$B$301,$A13,'Hisob (batafsil)'!$C$5:$C$301,"Yoritish")</f>
        <v>168</v>
      </c>
      <c r="M13" s="32" t="n">
        <f aca="false">SUMIFS('Hisob (batafsil)'!$J$5:$J$301,'Hisob (batafsil)'!$B$5:$B$301,$A13,'Hisob (batafsil)'!$C$5:$C$301,"Kamera tizimi")</f>
        <v>0</v>
      </c>
      <c r="N13" s="32" t="n">
        <f aca="false">SUMIFS('Hisob (batafsil)'!$J$5:$J$301,'Hisob (batafsil)'!$B$5:$B$301,$A13,'Hisob (batafsil)'!$C$5:$C$301,"Logotip")</f>
        <v>0</v>
      </c>
      <c r="O13" s="32" t="n">
        <f aca="false">SUMIFS('Hisob (batafsil)'!$J$5:$J$301,'Hisob (batafsil)'!$B$5:$B$301,$A13,'Hisob (batafsil)'!$C$5:$C$301,"Matli plyonka")</f>
        <v>0</v>
      </c>
      <c r="P13" s="32" t="n">
        <f aca="false">SUMIFS('Hisob (batafsil)'!$J$5:$J$301,'Hisob (batafsil)'!$B$5:$B$301,$A13,'Hisob (batafsil)'!$C$5:$C$301,"Yong'in xavfsizligi")</f>
        <v>0</v>
      </c>
      <c r="Q13" s="32" t="n">
        <f aca="false">SUMIFS('Hisob (batafsil)'!$J$5:$J$301,'Hisob (batafsil)'!$B$5:$B$301,$A13,'Hisob (batafsil)'!$C$5:$C$301,"Buzish ishlari")</f>
        <v>0</v>
      </c>
      <c r="R13" s="32" t="n">
        <f aca="false">SUMIFS('Hisob (batafsil)'!$J$5:$J$301,'Hisob (batafsil)'!$B$5:$B$301,$A13,'Hisob (batafsil)'!$C$5:$C$301,"Santexnika")</f>
        <v>0</v>
      </c>
      <c r="S13" s="32" t="n">
        <f aca="false">SUMIFS('Hisob (batafsil)'!$J$5:$J$301,'Hisob (batafsil)'!$B$5:$B$301,$A13,'Hisob (batafsil)'!$C$5:$C$301,"Kafel")</f>
        <v>0</v>
      </c>
      <c r="T13" s="32" t="n">
        <f aca="false">SUMIFS('Hisob (batafsil)'!$J$5:$J$301,'Hisob (batafsil)'!$B$5:$B$301,$A13,'Hisob (batafsil)'!$C$5:$C$301,"Konditsioner va ventilyatsiya")</f>
        <v>0</v>
      </c>
      <c r="U13" s="32" t="n">
        <f aca="false">SUMIFS('Hisob (batafsil)'!$J$5:$J$301,'Hisob (batafsil)'!$B$5:$B$301,$A13,'Hisob (batafsil)'!$C$5:$C$301,"Mebel va interyer")</f>
        <v>0</v>
      </c>
      <c r="V13" s="32" t="n">
        <f aca="false">SUMIFS('Hisob (batafsil)'!$J$5:$J$301,'Hisob (batafsil)'!$B$5:$B$301,$A13,'Hisob (batafsil)'!$C$5:$C$301,"E'lon va e'tirof doskalari")</f>
        <v>0</v>
      </c>
      <c r="W13" s="34" t="n">
        <f aca="false">C13+E13+G13+I13+K13+L13+M13+N13+O13+P13+Q13+R13+S13+T13+U13+V13</f>
        <v>2728.95</v>
      </c>
    </row>
    <row r="14" customFormat="false" ht="15" hidden="false" customHeight="false" outlineLevel="0" collapsed="false">
      <c r="A14" s="6" t="s">
        <v>67</v>
      </c>
      <c r="B14" s="31" t="n">
        <f aca="false">SUMIFS('Hisob (batafsil)'!$G$5:$G$301,'Hisob (batafsil)'!$B$5:$B$301,$A14,'Hisob (batafsil)'!$C$5:$C$301,"Shisha devor")</f>
        <v>2.25</v>
      </c>
      <c r="C14" s="32" t="n">
        <f aca="false">SUMIFS('Hisob (batafsil)'!$J$5:$J$301,'Hisob (batafsil)'!$B$5:$B$301,$A14,'Hisob (batafsil)'!$C$5:$C$301,"Shisha devor")</f>
        <v>123.75</v>
      </c>
      <c r="D14" s="31" t="n">
        <f aca="false">SUMIFS('Hisob (batafsil)'!$G$5:$G$301,'Hisob (batafsil)'!$B$5:$B$301,$A14,'Hisob (batafsil)'!$C$5:$C$301,"Gips karton (GKL)")</f>
        <v>27.5</v>
      </c>
      <c r="E14" s="32" t="n">
        <f aca="false">SUMIFS('Hisob (batafsil)'!$J$5:$J$301,'Hisob (batafsil)'!$B$5:$B$301,$A14,'Hisob (batafsil)'!$C$5:$C$301,"Gips karton (GKL)")</f>
        <v>330</v>
      </c>
      <c r="F14" s="31" t="n">
        <f aca="false">SUMIFS('Hisob (batafsil)'!$G$5:$G$301,'Hisob (batafsil)'!$B$5:$B$301,$A14,'Hisob (batafsil)'!$C$5:$C$301,"Bambuk panel")</f>
        <v>53.9</v>
      </c>
      <c r="G14" s="32" t="n">
        <f aca="false">SUMIFS('Hisob (batafsil)'!$J$5:$J$301,'Hisob (batafsil)'!$B$5:$B$301,$A14,'Hisob (batafsil)'!$C$5:$C$301,"Bambuk panel")</f>
        <v>835.45</v>
      </c>
      <c r="H14" s="33" t="n">
        <f aca="false">SUMIFS('Hisob (batafsil)'!$G$5:$G$301,'Hisob (batafsil)'!$B$5:$B$301,$A14,'Hisob (batafsil)'!$C$5:$C$301,"Interaktiv doska")</f>
        <v>1</v>
      </c>
      <c r="I14" s="32" t="n">
        <f aca="false">SUMIFS('Hisob (batafsil)'!$J$5:$J$301,'Hisob (batafsil)'!$B$5:$B$301,$A14,'Hisob (batafsil)'!$C$5:$C$301,"Interaktiv doska")</f>
        <v>1032</v>
      </c>
      <c r="J14" s="31" t="n">
        <f aca="false">SUMIFS('Hisob (batafsil)'!$G$5:$G$301,'Hisob (batafsil)'!$B$5:$B$301,$A14,'Hisob (batafsil)'!$C$5:$C$301,"Perila")</f>
        <v>0</v>
      </c>
      <c r="K14" s="32" t="n">
        <f aca="false">SUMIFS('Hisob (batafsil)'!$J$5:$J$301,'Hisob (batafsil)'!$B$5:$B$301,$A14,'Hisob (batafsil)'!$C$5:$C$301,"Perila")</f>
        <v>0</v>
      </c>
      <c r="L14" s="32" t="n">
        <f aca="false">SUMIFS('Hisob (batafsil)'!$J$5:$J$301,'Hisob (batafsil)'!$B$5:$B$301,$A14,'Hisob (batafsil)'!$C$5:$C$301,"Yoritish")</f>
        <v>168</v>
      </c>
      <c r="M14" s="32" t="n">
        <f aca="false">SUMIFS('Hisob (batafsil)'!$J$5:$J$301,'Hisob (batafsil)'!$B$5:$B$301,$A14,'Hisob (batafsil)'!$C$5:$C$301,"Kamera tizimi")</f>
        <v>0</v>
      </c>
      <c r="N14" s="32" t="n">
        <f aca="false">SUMIFS('Hisob (batafsil)'!$J$5:$J$301,'Hisob (batafsil)'!$B$5:$B$301,$A14,'Hisob (batafsil)'!$C$5:$C$301,"Logotip")</f>
        <v>0</v>
      </c>
      <c r="O14" s="32" t="n">
        <f aca="false">SUMIFS('Hisob (batafsil)'!$J$5:$J$301,'Hisob (batafsil)'!$B$5:$B$301,$A14,'Hisob (batafsil)'!$C$5:$C$301,"Matli plyonka")</f>
        <v>0</v>
      </c>
      <c r="P14" s="32" t="n">
        <f aca="false">SUMIFS('Hisob (batafsil)'!$J$5:$J$301,'Hisob (batafsil)'!$B$5:$B$301,$A14,'Hisob (batafsil)'!$C$5:$C$301,"Yong'in xavfsizligi")</f>
        <v>0</v>
      </c>
      <c r="Q14" s="32" t="n">
        <f aca="false">SUMIFS('Hisob (batafsil)'!$J$5:$J$301,'Hisob (batafsil)'!$B$5:$B$301,$A14,'Hisob (batafsil)'!$C$5:$C$301,"Buzish ishlari")</f>
        <v>0</v>
      </c>
      <c r="R14" s="32" t="n">
        <f aca="false">SUMIFS('Hisob (batafsil)'!$J$5:$J$301,'Hisob (batafsil)'!$B$5:$B$301,$A14,'Hisob (batafsil)'!$C$5:$C$301,"Santexnika")</f>
        <v>0</v>
      </c>
      <c r="S14" s="32" t="n">
        <f aca="false">SUMIFS('Hisob (batafsil)'!$J$5:$J$301,'Hisob (batafsil)'!$B$5:$B$301,$A14,'Hisob (batafsil)'!$C$5:$C$301,"Kafel")</f>
        <v>0</v>
      </c>
      <c r="T14" s="32" t="n">
        <f aca="false">SUMIFS('Hisob (batafsil)'!$J$5:$J$301,'Hisob (batafsil)'!$B$5:$B$301,$A14,'Hisob (batafsil)'!$C$5:$C$301,"Konditsioner va ventilyatsiya")</f>
        <v>0</v>
      </c>
      <c r="U14" s="32" t="n">
        <f aca="false">SUMIFS('Hisob (batafsil)'!$J$5:$J$301,'Hisob (batafsil)'!$B$5:$B$301,$A14,'Hisob (batafsil)'!$C$5:$C$301,"Mebel va interyer")</f>
        <v>0</v>
      </c>
      <c r="V14" s="32" t="n">
        <f aca="false">SUMIFS('Hisob (batafsil)'!$J$5:$J$301,'Hisob (batafsil)'!$B$5:$B$301,$A14,'Hisob (batafsil)'!$C$5:$C$301,"E'lon va e'tirof doskalari")</f>
        <v>0</v>
      </c>
      <c r="W14" s="34" t="n">
        <f aca="false">C14+E14+G14+I14+K14+L14+M14+N14+O14+P14+Q14+R14+S14+T14+U14+V14</f>
        <v>2489.2</v>
      </c>
    </row>
    <row r="15" customFormat="false" ht="15" hidden="false" customHeight="false" outlineLevel="0" collapsed="false">
      <c r="A15" s="6" t="s">
        <v>68</v>
      </c>
      <c r="B15" s="31" t="n">
        <f aca="false">SUMIFS('Hisob (batafsil)'!$G$5:$G$301,'Hisob (batafsil)'!$B$5:$B$301,$A15,'Hisob (batafsil)'!$C$5:$C$301,"Shisha devor")</f>
        <v>14</v>
      </c>
      <c r="C15" s="32" t="n">
        <f aca="false">SUMIFS('Hisob (batafsil)'!$J$5:$J$301,'Hisob (batafsil)'!$B$5:$B$301,$A15,'Hisob (batafsil)'!$C$5:$C$301,"Shisha devor")</f>
        <v>770</v>
      </c>
      <c r="D15" s="31" t="n">
        <f aca="false">SUMIFS('Hisob (batafsil)'!$G$5:$G$301,'Hisob (batafsil)'!$B$5:$B$301,$A15,'Hisob (batafsil)'!$C$5:$C$301,"Gips karton (GKL)")</f>
        <v>25.55</v>
      </c>
      <c r="E15" s="32" t="n">
        <f aca="false">SUMIFS('Hisob (batafsil)'!$J$5:$J$301,'Hisob (batafsil)'!$B$5:$B$301,$A15,'Hisob (batafsil)'!$C$5:$C$301,"Gips karton (GKL)")</f>
        <v>306.6</v>
      </c>
      <c r="F15" s="31" t="n">
        <f aca="false">SUMIFS('Hisob (batafsil)'!$G$5:$G$301,'Hisob (batafsil)'!$B$5:$B$301,$A15,'Hisob (batafsil)'!$C$5:$C$301,"Bambuk panel")</f>
        <v>53.9</v>
      </c>
      <c r="G15" s="32" t="n">
        <f aca="false">SUMIFS('Hisob (batafsil)'!$J$5:$J$301,'Hisob (batafsil)'!$B$5:$B$301,$A15,'Hisob (batafsil)'!$C$5:$C$301,"Bambuk panel")</f>
        <v>835.45</v>
      </c>
      <c r="H15" s="33" t="n">
        <f aca="false">SUMIFS('Hisob (batafsil)'!$G$5:$G$301,'Hisob (batafsil)'!$B$5:$B$301,$A15,'Hisob (batafsil)'!$C$5:$C$301,"Interaktiv doska")</f>
        <v>1</v>
      </c>
      <c r="I15" s="32" t="n">
        <f aca="false">SUMIFS('Hisob (batafsil)'!$J$5:$J$301,'Hisob (batafsil)'!$B$5:$B$301,$A15,'Hisob (batafsil)'!$C$5:$C$301,"Interaktiv doska")</f>
        <v>1032</v>
      </c>
      <c r="J15" s="31" t="n">
        <f aca="false">SUMIFS('Hisob (batafsil)'!$G$5:$G$301,'Hisob (batafsil)'!$B$5:$B$301,$A15,'Hisob (batafsil)'!$C$5:$C$301,"Perila")</f>
        <v>0</v>
      </c>
      <c r="K15" s="32" t="n">
        <f aca="false">SUMIFS('Hisob (batafsil)'!$J$5:$J$301,'Hisob (batafsil)'!$B$5:$B$301,$A15,'Hisob (batafsil)'!$C$5:$C$301,"Perila")</f>
        <v>0</v>
      </c>
      <c r="L15" s="32" t="n">
        <f aca="false">SUMIFS('Hisob (batafsil)'!$J$5:$J$301,'Hisob (batafsil)'!$B$5:$B$301,$A15,'Hisob (batafsil)'!$C$5:$C$301,"Yoritish")</f>
        <v>168</v>
      </c>
      <c r="M15" s="32" t="n">
        <f aca="false">SUMIFS('Hisob (batafsil)'!$J$5:$J$301,'Hisob (batafsil)'!$B$5:$B$301,$A15,'Hisob (batafsil)'!$C$5:$C$301,"Kamera tizimi")</f>
        <v>0</v>
      </c>
      <c r="N15" s="32" t="n">
        <f aca="false">SUMIFS('Hisob (batafsil)'!$J$5:$J$301,'Hisob (batafsil)'!$B$5:$B$301,$A15,'Hisob (batafsil)'!$C$5:$C$301,"Logotip")</f>
        <v>0</v>
      </c>
      <c r="O15" s="32" t="n">
        <f aca="false">SUMIFS('Hisob (batafsil)'!$J$5:$J$301,'Hisob (batafsil)'!$B$5:$B$301,$A15,'Hisob (batafsil)'!$C$5:$C$301,"Matli plyonka")</f>
        <v>0</v>
      </c>
      <c r="P15" s="32" t="n">
        <f aca="false">SUMIFS('Hisob (batafsil)'!$J$5:$J$301,'Hisob (batafsil)'!$B$5:$B$301,$A15,'Hisob (batafsil)'!$C$5:$C$301,"Yong'in xavfsizligi")</f>
        <v>0</v>
      </c>
      <c r="Q15" s="32" t="n">
        <f aca="false">SUMIFS('Hisob (batafsil)'!$J$5:$J$301,'Hisob (batafsil)'!$B$5:$B$301,$A15,'Hisob (batafsil)'!$C$5:$C$301,"Buzish ishlari")</f>
        <v>0</v>
      </c>
      <c r="R15" s="32" t="n">
        <f aca="false">SUMIFS('Hisob (batafsil)'!$J$5:$J$301,'Hisob (batafsil)'!$B$5:$B$301,$A15,'Hisob (batafsil)'!$C$5:$C$301,"Santexnika")</f>
        <v>0</v>
      </c>
      <c r="S15" s="32" t="n">
        <f aca="false">SUMIFS('Hisob (batafsil)'!$J$5:$J$301,'Hisob (batafsil)'!$B$5:$B$301,$A15,'Hisob (batafsil)'!$C$5:$C$301,"Kafel")</f>
        <v>0</v>
      </c>
      <c r="T15" s="32" t="n">
        <f aca="false">SUMIFS('Hisob (batafsil)'!$J$5:$J$301,'Hisob (batafsil)'!$B$5:$B$301,$A15,'Hisob (batafsil)'!$C$5:$C$301,"Konditsioner va ventilyatsiya")</f>
        <v>0</v>
      </c>
      <c r="U15" s="32" t="n">
        <f aca="false">SUMIFS('Hisob (batafsil)'!$J$5:$J$301,'Hisob (batafsil)'!$B$5:$B$301,$A15,'Hisob (batafsil)'!$C$5:$C$301,"Mebel va interyer")</f>
        <v>0</v>
      </c>
      <c r="V15" s="32" t="n">
        <f aca="false">SUMIFS('Hisob (batafsil)'!$J$5:$J$301,'Hisob (batafsil)'!$B$5:$B$301,$A15,'Hisob (batafsil)'!$C$5:$C$301,"E'lon va e'tirof doskalari")</f>
        <v>0</v>
      </c>
      <c r="W15" s="34" t="n">
        <f aca="false">C15+E15+G15+I15+K15+L15+M15+N15+O15+P15+Q15+R15+S15+T15+U15+V15</f>
        <v>3112.05</v>
      </c>
    </row>
    <row r="16" customFormat="false" ht="15" hidden="false" customHeight="false" outlineLevel="0" collapsed="false">
      <c r="A16" s="6" t="s">
        <v>69</v>
      </c>
      <c r="B16" s="31" t="n">
        <f aca="false">SUMIFS('Hisob (batafsil)'!$G$5:$G$301,'Hisob (batafsil)'!$B$5:$B$301,$A16,'Hisob (batafsil)'!$C$5:$C$301,"Shisha devor")</f>
        <v>14</v>
      </c>
      <c r="C16" s="32" t="n">
        <f aca="false">SUMIFS('Hisob (batafsil)'!$J$5:$J$301,'Hisob (batafsil)'!$B$5:$B$301,$A16,'Hisob (batafsil)'!$C$5:$C$301,"Shisha devor")</f>
        <v>770</v>
      </c>
      <c r="D16" s="31" t="n">
        <f aca="false">SUMIFS('Hisob (batafsil)'!$G$5:$G$301,'Hisob (batafsil)'!$B$5:$B$301,$A16,'Hisob (batafsil)'!$C$5:$C$301,"Gips karton (GKL)")</f>
        <v>30.45</v>
      </c>
      <c r="E16" s="32" t="n">
        <f aca="false">SUMIFS('Hisob (batafsil)'!$J$5:$J$301,'Hisob (batafsil)'!$B$5:$B$301,$A16,'Hisob (batafsil)'!$C$5:$C$301,"Gips karton (GKL)")</f>
        <v>365.4</v>
      </c>
      <c r="F16" s="31" t="n">
        <f aca="false">SUMIFS('Hisob (batafsil)'!$G$5:$G$301,'Hisob (batafsil)'!$B$5:$B$301,$A16,'Hisob (batafsil)'!$C$5:$C$301,"Bambuk panel")</f>
        <v>53.9</v>
      </c>
      <c r="G16" s="32" t="n">
        <f aca="false">SUMIFS('Hisob (batafsil)'!$J$5:$J$301,'Hisob (batafsil)'!$B$5:$B$301,$A16,'Hisob (batafsil)'!$C$5:$C$301,"Bambuk panel")</f>
        <v>835.45</v>
      </c>
      <c r="H16" s="33" t="n">
        <f aca="false">SUMIFS('Hisob (batafsil)'!$G$5:$G$301,'Hisob (batafsil)'!$B$5:$B$301,$A16,'Hisob (batafsil)'!$C$5:$C$301,"Interaktiv doska")</f>
        <v>1</v>
      </c>
      <c r="I16" s="32" t="n">
        <f aca="false">SUMIFS('Hisob (batafsil)'!$J$5:$J$301,'Hisob (batafsil)'!$B$5:$B$301,$A16,'Hisob (batafsil)'!$C$5:$C$301,"Interaktiv doska")</f>
        <v>1032</v>
      </c>
      <c r="J16" s="31" t="n">
        <f aca="false">SUMIFS('Hisob (batafsil)'!$G$5:$G$301,'Hisob (batafsil)'!$B$5:$B$301,$A16,'Hisob (batafsil)'!$C$5:$C$301,"Perila")</f>
        <v>0</v>
      </c>
      <c r="K16" s="32" t="n">
        <f aca="false">SUMIFS('Hisob (batafsil)'!$J$5:$J$301,'Hisob (batafsil)'!$B$5:$B$301,$A16,'Hisob (batafsil)'!$C$5:$C$301,"Perila")</f>
        <v>0</v>
      </c>
      <c r="L16" s="32" t="n">
        <f aca="false">SUMIFS('Hisob (batafsil)'!$J$5:$J$301,'Hisob (batafsil)'!$B$5:$B$301,$A16,'Hisob (batafsil)'!$C$5:$C$301,"Yoritish")</f>
        <v>168</v>
      </c>
      <c r="M16" s="32" t="n">
        <f aca="false">SUMIFS('Hisob (batafsil)'!$J$5:$J$301,'Hisob (batafsil)'!$B$5:$B$301,$A16,'Hisob (batafsil)'!$C$5:$C$301,"Kamera tizimi")</f>
        <v>0</v>
      </c>
      <c r="N16" s="32" t="n">
        <f aca="false">SUMIFS('Hisob (batafsil)'!$J$5:$J$301,'Hisob (batafsil)'!$B$5:$B$301,$A16,'Hisob (batafsil)'!$C$5:$C$301,"Logotip")</f>
        <v>0</v>
      </c>
      <c r="O16" s="32" t="n">
        <f aca="false">SUMIFS('Hisob (batafsil)'!$J$5:$J$301,'Hisob (batafsil)'!$B$5:$B$301,$A16,'Hisob (batafsil)'!$C$5:$C$301,"Matli plyonka")</f>
        <v>0</v>
      </c>
      <c r="P16" s="32" t="n">
        <f aca="false">SUMIFS('Hisob (batafsil)'!$J$5:$J$301,'Hisob (batafsil)'!$B$5:$B$301,$A16,'Hisob (batafsil)'!$C$5:$C$301,"Yong'in xavfsizligi")</f>
        <v>0</v>
      </c>
      <c r="Q16" s="32" t="n">
        <f aca="false">SUMIFS('Hisob (batafsil)'!$J$5:$J$301,'Hisob (batafsil)'!$B$5:$B$301,$A16,'Hisob (batafsil)'!$C$5:$C$301,"Buzish ishlari")</f>
        <v>0</v>
      </c>
      <c r="R16" s="32" t="n">
        <f aca="false">SUMIFS('Hisob (batafsil)'!$J$5:$J$301,'Hisob (batafsil)'!$B$5:$B$301,$A16,'Hisob (batafsil)'!$C$5:$C$301,"Santexnika")</f>
        <v>0</v>
      </c>
      <c r="S16" s="32" t="n">
        <f aca="false">SUMIFS('Hisob (batafsil)'!$J$5:$J$301,'Hisob (batafsil)'!$B$5:$B$301,$A16,'Hisob (batafsil)'!$C$5:$C$301,"Kafel")</f>
        <v>0</v>
      </c>
      <c r="T16" s="32" t="n">
        <f aca="false">SUMIFS('Hisob (batafsil)'!$J$5:$J$301,'Hisob (batafsil)'!$B$5:$B$301,$A16,'Hisob (batafsil)'!$C$5:$C$301,"Konditsioner va ventilyatsiya")</f>
        <v>0</v>
      </c>
      <c r="U16" s="32" t="n">
        <f aca="false">SUMIFS('Hisob (batafsil)'!$J$5:$J$301,'Hisob (batafsil)'!$B$5:$B$301,$A16,'Hisob (batafsil)'!$C$5:$C$301,"Mebel va interyer")</f>
        <v>0</v>
      </c>
      <c r="V16" s="32" t="n">
        <f aca="false">SUMIFS('Hisob (batafsil)'!$J$5:$J$301,'Hisob (batafsil)'!$B$5:$B$301,$A16,'Hisob (batafsil)'!$C$5:$C$301,"E'lon va e'tirof doskalari")</f>
        <v>0</v>
      </c>
      <c r="W16" s="34" t="n">
        <f aca="false">C16+E16+G16+I16+K16+L16+M16+N16+O16+P16+Q16+R16+S16+T16+U16+V16</f>
        <v>3170.85</v>
      </c>
    </row>
    <row r="17" customFormat="false" ht="15" hidden="false" customHeight="false" outlineLevel="0" collapsed="false">
      <c r="A17" s="11" t="s">
        <v>70</v>
      </c>
      <c r="B17" s="35" t="n">
        <f aca="false">SUM(B10:B16)</f>
        <v>62.5</v>
      </c>
      <c r="C17" s="36" t="n">
        <f aca="false">SUM(C10:C16)</f>
        <v>3437.5</v>
      </c>
      <c r="D17" s="35" t="n">
        <f aca="false">SUM(D10:D16)</f>
        <v>166.925</v>
      </c>
      <c r="E17" s="36" t="n">
        <f aca="false">SUM(E10:E16)</f>
        <v>2003.1</v>
      </c>
      <c r="F17" s="35" t="n">
        <f aca="false">SUM(F10:F16)</f>
        <v>373.8</v>
      </c>
      <c r="G17" s="36" t="n">
        <f aca="false">SUM(G10:G16)</f>
        <v>5793.9</v>
      </c>
      <c r="H17" s="37" t="n">
        <f aca="false">SUM(H10:H16)</f>
        <v>7</v>
      </c>
      <c r="I17" s="36" t="n">
        <f aca="false">SUM(I10:I16)</f>
        <v>7224</v>
      </c>
      <c r="J17" s="35" t="n">
        <f aca="false">SUM(J10:J16)</f>
        <v>0</v>
      </c>
      <c r="K17" s="36" t="n">
        <f aca="false">SUM(K10:K16)</f>
        <v>0</v>
      </c>
      <c r="L17" s="36" t="n">
        <f aca="false">SUM(L10:L16)</f>
        <v>1176</v>
      </c>
      <c r="M17" s="36" t="n">
        <f aca="false">SUM(M10:M16)</f>
        <v>0</v>
      </c>
      <c r="N17" s="36" t="n">
        <f aca="false">SUM(N10:N16)</f>
        <v>0</v>
      </c>
      <c r="O17" s="36" t="n">
        <f aca="false">SUM(O10:O16)</f>
        <v>0</v>
      </c>
      <c r="P17" s="36" t="n">
        <f aca="false">SUM(P10:P16)</f>
        <v>0</v>
      </c>
      <c r="Q17" s="36" t="n">
        <f aca="false">SUM(Q10:Q16)</f>
        <v>0</v>
      </c>
      <c r="R17" s="36" t="n">
        <f aca="false">SUM(R10:R16)</f>
        <v>0</v>
      </c>
      <c r="S17" s="36" t="n">
        <f aca="false">SUM(S10:S16)</f>
        <v>0</v>
      </c>
      <c r="T17" s="36" t="n">
        <f aca="false">SUM(T10:T16)</f>
        <v>0</v>
      </c>
      <c r="U17" s="36" t="n">
        <f aca="false">SUM(U10:U16)</f>
        <v>0</v>
      </c>
      <c r="V17" s="36" t="n">
        <f aca="false">SUM(V10:V16)</f>
        <v>0</v>
      </c>
      <c r="W17" s="36" t="n">
        <f aca="false">SUM(W10:W16)</f>
        <v>19634.5</v>
      </c>
    </row>
    <row r="19" customFormat="false" ht="15" hidden="false" customHeight="false" outlineLevel="0" collapsed="false">
      <c r="A19" s="29" t="s">
        <v>31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customFormat="false" ht="15" hidden="false" customHeight="false" outlineLevel="0" collapsed="false">
      <c r="A20" s="6" t="s">
        <v>71</v>
      </c>
      <c r="B20" s="31" t="n">
        <f aca="false">SUMIFS('Hisob (batafsil)'!$G$5:$G$301,'Hisob (batafsil)'!$B$5:$B$301,$A20,'Hisob (batafsil)'!$C$5:$C$301,"Shisha devor")</f>
        <v>7</v>
      </c>
      <c r="C20" s="32" t="n">
        <f aca="false">SUMIFS('Hisob (batafsil)'!$J$5:$J$301,'Hisob (batafsil)'!$B$5:$B$301,$A20,'Hisob (batafsil)'!$C$5:$C$301,"Shisha devor")</f>
        <v>385</v>
      </c>
      <c r="D20" s="31" t="n">
        <f aca="false">SUMIFS('Hisob (batafsil)'!$G$5:$G$301,'Hisob (batafsil)'!$B$5:$B$301,$A20,'Hisob (batafsil)'!$C$5:$C$301,"Gips karton (GKL)")</f>
        <v>34.3</v>
      </c>
      <c r="E20" s="32" t="n">
        <f aca="false">SUMIFS('Hisob (batafsil)'!$J$5:$J$301,'Hisob (batafsil)'!$B$5:$B$301,$A20,'Hisob (batafsil)'!$C$5:$C$301,"Gips karton (GKL)")</f>
        <v>411.6</v>
      </c>
      <c r="F20" s="31" t="n">
        <f aca="false">SUMIFS('Hisob (batafsil)'!$G$5:$G$301,'Hisob (batafsil)'!$B$5:$B$301,$A20,'Hisob (batafsil)'!$C$5:$C$301,"Bambuk panel")</f>
        <v>39.2</v>
      </c>
      <c r="G20" s="32" t="n">
        <f aca="false">SUMIFS('Hisob (batafsil)'!$J$5:$J$301,'Hisob (batafsil)'!$B$5:$B$301,$A20,'Hisob (batafsil)'!$C$5:$C$301,"Bambuk panel")</f>
        <v>607.6</v>
      </c>
      <c r="H20" s="33" t="n">
        <f aca="false">SUMIFS('Hisob (batafsil)'!$G$5:$G$301,'Hisob (batafsil)'!$B$5:$B$301,$A20,'Hisob (batafsil)'!$C$5:$C$301,"Interaktiv doska")</f>
        <v>0</v>
      </c>
      <c r="I20" s="32" t="n">
        <f aca="false">SUMIFS('Hisob (batafsil)'!$J$5:$J$301,'Hisob (batafsil)'!$B$5:$B$301,$A20,'Hisob (batafsil)'!$C$5:$C$301,"Interaktiv doska")</f>
        <v>0</v>
      </c>
      <c r="J20" s="31" t="n">
        <f aca="false">SUMIFS('Hisob (batafsil)'!$G$5:$G$301,'Hisob (batafsil)'!$B$5:$B$301,$A20,'Hisob (batafsil)'!$C$5:$C$301,"Perila")</f>
        <v>0</v>
      </c>
      <c r="K20" s="32" t="n">
        <f aca="false">SUMIFS('Hisob (batafsil)'!$J$5:$J$301,'Hisob (batafsil)'!$B$5:$B$301,$A20,'Hisob (batafsil)'!$C$5:$C$301,"Perila")</f>
        <v>0</v>
      </c>
      <c r="L20" s="32" t="n">
        <f aca="false">SUMIFS('Hisob (batafsil)'!$J$5:$J$301,'Hisob (batafsil)'!$B$5:$B$301,$A20,'Hisob (batafsil)'!$C$5:$C$301,"Yoritish")</f>
        <v>168</v>
      </c>
      <c r="M20" s="32" t="n">
        <f aca="false">SUMIFS('Hisob (batafsil)'!$J$5:$J$301,'Hisob (batafsil)'!$B$5:$B$301,$A20,'Hisob (batafsil)'!$C$5:$C$301,"Kamera tizimi")</f>
        <v>0</v>
      </c>
      <c r="N20" s="32" t="n">
        <f aca="false">SUMIFS('Hisob (batafsil)'!$J$5:$J$301,'Hisob (batafsil)'!$B$5:$B$301,$A20,'Hisob (batafsil)'!$C$5:$C$301,"Logotip")</f>
        <v>0</v>
      </c>
      <c r="O20" s="32" t="n">
        <f aca="false">SUMIFS('Hisob (batafsil)'!$J$5:$J$301,'Hisob (batafsil)'!$B$5:$B$301,$A20,'Hisob (batafsil)'!$C$5:$C$301,"Matli plyonka")</f>
        <v>0</v>
      </c>
      <c r="P20" s="32" t="n">
        <f aca="false">SUMIFS('Hisob (batafsil)'!$J$5:$J$301,'Hisob (batafsil)'!$B$5:$B$301,$A20,'Hisob (batafsil)'!$C$5:$C$301,"Yong'in xavfsizligi")</f>
        <v>0</v>
      </c>
      <c r="Q20" s="32" t="n">
        <f aca="false">SUMIFS('Hisob (batafsil)'!$J$5:$J$301,'Hisob (batafsil)'!$B$5:$B$301,$A20,'Hisob (batafsil)'!$C$5:$C$301,"Buzish ishlari")</f>
        <v>0</v>
      </c>
      <c r="R20" s="32" t="n">
        <f aca="false">SUMIFS('Hisob (batafsil)'!$J$5:$J$301,'Hisob (batafsil)'!$B$5:$B$301,$A20,'Hisob (batafsil)'!$C$5:$C$301,"Santexnika")</f>
        <v>0</v>
      </c>
      <c r="S20" s="32" t="n">
        <f aca="false">SUMIFS('Hisob (batafsil)'!$J$5:$J$301,'Hisob (batafsil)'!$B$5:$B$301,$A20,'Hisob (batafsil)'!$C$5:$C$301,"Kafel")</f>
        <v>0</v>
      </c>
      <c r="T20" s="32" t="n">
        <f aca="false">SUMIFS('Hisob (batafsil)'!$J$5:$J$301,'Hisob (batafsil)'!$B$5:$B$301,$A20,'Hisob (batafsil)'!$C$5:$C$301,"Konditsioner va ventilyatsiya")</f>
        <v>0</v>
      </c>
      <c r="U20" s="32" t="n">
        <f aca="false">SUMIFS('Hisob (batafsil)'!$J$5:$J$301,'Hisob (batafsil)'!$B$5:$B$301,$A20,'Hisob (batafsil)'!$C$5:$C$301,"Mebel va interyer")</f>
        <v>2340</v>
      </c>
      <c r="V20" s="32" t="n">
        <f aca="false">SUMIFS('Hisob (batafsil)'!$J$5:$J$301,'Hisob (batafsil)'!$B$5:$B$301,$A20,'Hisob (batafsil)'!$C$5:$C$301,"E'lon va e'tirof doskalari")</f>
        <v>0</v>
      </c>
      <c r="W20" s="34" t="n">
        <f aca="false">C20+E20+G20+I20+K20+L20+M20+N20+O20+P20+Q20+R20+S20+T20+U20+V20</f>
        <v>3912.2</v>
      </c>
    </row>
    <row r="21" customFormat="false" ht="15" hidden="false" customHeight="false" outlineLevel="0" collapsed="false">
      <c r="A21" s="6" t="s">
        <v>72</v>
      </c>
      <c r="B21" s="31" t="n">
        <f aca="false">SUMIFS('Hisob (batafsil)'!$G$5:$G$301,'Hisob (batafsil)'!$B$5:$B$301,$A21,'Hisob (batafsil)'!$C$5:$C$301,"Shisha devor")</f>
        <v>7</v>
      </c>
      <c r="C21" s="32" t="n">
        <f aca="false">SUMIFS('Hisob (batafsil)'!$J$5:$J$301,'Hisob (batafsil)'!$B$5:$B$301,$A21,'Hisob (batafsil)'!$C$5:$C$301,"Shisha devor")</f>
        <v>385</v>
      </c>
      <c r="D21" s="31" t="n">
        <f aca="false">SUMIFS('Hisob (batafsil)'!$G$5:$G$301,'Hisob (batafsil)'!$B$5:$B$301,$A21,'Hisob (batafsil)'!$C$5:$C$301,"Gips karton (GKL)")</f>
        <v>35.35</v>
      </c>
      <c r="E21" s="32" t="n">
        <f aca="false">SUMIFS('Hisob (batafsil)'!$J$5:$J$301,'Hisob (batafsil)'!$B$5:$B$301,$A21,'Hisob (batafsil)'!$C$5:$C$301,"Gips karton (GKL)")</f>
        <v>424.2</v>
      </c>
      <c r="F21" s="31" t="n">
        <f aca="false">SUMIFS('Hisob (batafsil)'!$G$5:$G$301,'Hisob (batafsil)'!$B$5:$B$301,$A21,'Hisob (batafsil)'!$C$5:$C$301,"Bambuk panel")</f>
        <v>39.2</v>
      </c>
      <c r="G21" s="32" t="n">
        <f aca="false">SUMIFS('Hisob (batafsil)'!$J$5:$J$301,'Hisob (batafsil)'!$B$5:$B$301,$A21,'Hisob (batafsil)'!$C$5:$C$301,"Bambuk panel")</f>
        <v>607.6</v>
      </c>
      <c r="H21" s="33" t="n">
        <f aca="false">SUMIFS('Hisob (batafsil)'!$G$5:$G$301,'Hisob (batafsil)'!$B$5:$B$301,$A21,'Hisob (batafsil)'!$C$5:$C$301,"Interaktiv doska")</f>
        <v>0</v>
      </c>
      <c r="I21" s="32" t="n">
        <f aca="false">SUMIFS('Hisob (batafsil)'!$J$5:$J$301,'Hisob (batafsil)'!$B$5:$B$301,$A21,'Hisob (batafsil)'!$C$5:$C$301,"Interaktiv doska")</f>
        <v>0</v>
      </c>
      <c r="J21" s="31" t="n">
        <f aca="false">SUMIFS('Hisob (batafsil)'!$G$5:$G$301,'Hisob (batafsil)'!$B$5:$B$301,$A21,'Hisob (batafsil)'!$C$5:$C$301,"Perila")</f>
        <v>0</v>
      </c>
      <c r="K21" s="32" t="n">
        <f aca="false">SUMIFS('Hisob (batafsil)'!$J$5:$J$301,'Hisob (batafsil)'!$B$5:$B$301,$A21,'Hisob (batafsil)'!$C$5:$C$301,"Perila")</f>
        <v>0</v>
      </c>
      <c r="L21" s="32" t="n">
        <f aca="false">SUMIFS('Hisob (batafsil)'!$J$5:$J$301,'Hisob (batafsil)'!$B$5:$B$301,$A21,'Hisob (batafsil)'!$C$5:$C$301,"Yoritish")</f>
        <v>168</v>
      </c>
      <c r="M21" s="32" t="n">
        <f aca="false">SUMIFS('Hisob (batafsil)'!$J$5:$J$301,'Hisob (batafsil)'!$B$5:$B$301,$A21,'Hisob (batafsil)'!$C$5:$C$301,"Kamera tizimi")</f>
        <v>0</v>
      </c>
      <c r="N21" s="32" t="n">
        <f aca="false">SUMIFS('Hisob (batafsil)'!$J$5:$J$301,'Hisob (batafsil)'!$B$5:$B$301,$A21,'Hisob (batafsil)'!$C$5:$C$301,"Logotip")</f>
        <v>0</v>
      </c>
      <c r="O21" s="32" t="n">
        <f aca="false">SUMIFS('Hisob (batafsil)'!$J$5:$J$301,'Hisob (batafsil)'!$B$5:$B$301,$A21,'Hisob (batafsil)'!$C$5:$C$301,"Matli plyonka")</f>
        <v>0</v>
      </c>
      <c r="P21" s="32" t="n">
        <f aca="false">SUMIFS('Hisob (batafsil)'!$J$5:$J$301,'Hisob (batafsil)'!$B$5:$B$301,$A21,'Hisob (batafsil)'!$C$5:$C$301,"Yong'in xavfsizligi")</f>
        <v>0</v>
      </c>
      <c r="Q21" s="32" t="n">
        <f aca="false">SUMIFS('Hisob (batafsil)'!$J$5:$J$301,'Hisob (batafsil)'!$B$5:$B$301,$A21,'Hisob (batafsil)'!$C$5:$C$301,"Buzish ishlari")</f>
        <v>0</v>
      </c>
      <c r="R21" s="32" t="n">
        <f aca="false">SUMIFS('Hisob (batafsil)'!$J$5:$J$301,'Hisob (batafsil)'!$B$5:$B$301,$A21,'Hisob (batafsil)'!$C$5:$C$301,"Santexnika")</f>
        <v>0</v>
      </c>
      <c r="S21" s="32" t="n">
        <f aca="false">SUMIFS('Hisob (batafsil)'!$J$5:$J$301,'Hisob (batafsil)'!$B$5:$B$301,$A21,'Hisob (batafsil)'!$C$5:$C$301,"Kafel")</f>
        <v>0</v>
      </c>
      <c r="T21" s="32" t="n">
        <f aca="false">SUMIFS('Hisob (batafsil)'!$J$5:$J$301,'Hisob (batafsil)'!$B$5:$B$301,$A21,'Hisob (batafsil)'!$C$5:$C$301,"Konditsioner va ventilyatsiya")</f>
        <v>0</v>
      </c>
      <c r="U21" s="32" t="n">
        <f aca="false">SUMIFS('Hisob (batafsil)'!$J$5:$J$301,'Hisob (batafsil)'!$B$5:$B$301,$A21,'Hisob (batafsil)'!$C$5:$C$301,"Mebel va interyer")</f>
        <v>1470</v>
      </c>
      <c r="V21" s="32" t="n">
        <f aca="false">SUMIFS('Hisob (batafsil)'!$J$5:$J$301,'Hisob (batafsil)'!$B$5:$B$301,$A21,'Hisob (batafsil)'!$C$5:$C$301,"E'lon va e'tirof doskalari")</f>
        <v>0</v>
      </c>
      <c r="W21" s="34" t="n">
        <f aca="false">C21+E21+G21+I21+K21+L21+M21+N21+O21+P21+Q21+R21+S21+T21+U21+V21</f>
        <v>3054.8</v>
      </c>
    </row>
    <row r="22" customFormat="false" ht="15" hidden="false" customHeight="false" outlineLevel="0" collapsed="false">
      <c r="A22" s="6" t="s">
        <v>73</v>
      </c>
      <c r="B22" s="31" t="n">
        <f aca="false">SUMIFS('Hisob (batafsil)'!$G$5:$G$301,'Hisob (batafsil)'!$B$5:$B$301,$A22,'Hisob (batafsil)'!$C$5:$C$301,"Shisha devor")</f>
        <v>7.125</v>
      </c>
      <c r="C22" s="32" t="n">
        <f aca="false">SUMIFS('Hisob (batafsil)'!$J$5:$J$301,'Hisob (batafsil)'!$B$5:$B$301,$A22,'Hisob (batafsil)'!$C$5:$C$301,"Shisha devor")</f>
        <v>391.875</v>
      </c>
      <c r="D22" s="31" t="n">
        <f aca="false">SUMIFS('Hisob (batafsil)'!$G$5:$G$301,'Hisob (batafsil)'!$B$5:$B$301,$A22,'Hisob (batafsil)'!$C$5:$C$301,"Gips karton (GKL)")</f>
        <v>35.575</v>
      </c>
      <c r="E22" s="32" t="n">
        <f aca="false">SUMIFS('Hisob (batafsil)'!$J$5:$J$301,'Hisob (batafsil)'!$B$5:$B$301,$A22,'Hisob (batafsil)'!$C$5:$C$301,"Gips karton (GKL)")</f>
        <v>426.9</v>
      </c>
      <c r="F22" s="31" t="n">
        <f aca="false">SUMIFS('Hisob (batafsil)'!$G$5:$G$301,'Hisob (batafsil)'!$B$5:$B$301,$A22,'Hisob (batafsil)'!$C$5:$C$301,"Bambuk panel")</f>
        <v>39.2</v>
      </c>
      <c r="G22" s="32" t="n">
        <f aca="false">SUMIFS('Hisob (batafsil)'!$J$5:$J$301,'Hisob (batafsil)'!$B$5:$B$301,$A22,'Hisob (batafsil)'!$C$5:$C$301,"Bambuk panel")</f>
        <v>607.6</v>
      </c>
      <c r="H22" s="33" t="n">
        <f aca="false">SUMIFS('Hisob (batafsil)'!$G$5:$G$301,'Hisob (batafsil)'!$B$5:$B$301,$A22,'Hisob (batafsil)'!$C$5:$C$301,"Interaktiv doska")</f>
        <v>0</v>
      </c>
      <c r="I22" s="32" t="n">
        <f aca="false">SUMIFS('Hisob (batafsil)'!$J$5:$J$301,'Hisob (batafsil)'!$B$5:$B$301,$A22,'Hisob (batafsil)'!$C$5:$C$301,"Interaktiv doska")</f>
        <v>0</v>
      </c>
      <c r="J22" s="31" t="n">
        <f aca="false">SUMIFS('Hisob (batafsil)'!$G$5:$G$301,'Hisob (batafsil)'!$B$5:$B$301,$A22,'Hisob (batafsil)'!$C$5:$C$301,"Perila")</f>
        <v>0</v>
      </c>
      <c r="K22" s="32" t="n">
        <f aca="false">SUMIFS('Hisob (batafsil)'!$J$5:$J$301,'Hisob (batafsil)'!$B$5:$B$301,$A22,'Hisob (batafsil)'!$C$5:$C$301,"Perila")</f>
        <v>0</v>
      </c>
      <c r="L22" s="32" t="n">
        <f aca="false">SUMIFS('Hisob (batafsil)'!$J$5:$J$301,'Hisob (batafsil)'!$B$5:$B$301,$A22,'Hisob (batafsil)'!$C$5:$C$301,"Yoritish")</f>
        <v>168</v>
      </c>
      <c r="M22" s="32" t="n">
        <f aca="false">SUMIFS('Hisob (batafsil)'!$J$5:$J$301,'Hisob (batafsil)'!$B$5:$B$301,$A22,'Hisob (batafsil)'!$C$5:$C$301,"Kamera tizimi")</f>
        <v>0</v>
      </c>
      <c r="N22" s="32" t="n">
        <f aca="false">SUMIFS('Hisob (batafsil)'!$J$5:$J$301,'Hisob (batafsil)'!$B$5:$B$301,$A22,'Hisob (batafsil)'!$C$5:$C$301,"Logotip")</f>
        <v>0</v>
      </c>
      <c r="O22" s="32" t="n">
        <f aca="false">SUMIFS('Hisob (batafsil)'!$J$5:$J$301,'Hisob (batafsil)'!$B$5:$B$301,$A22,'Hisob (batafsil)'!$C$5:$C$301,"Matli plyonka")</f>
        <v>0</v>
      </c>
      <c r="P22" s="32" t="n">
        <f aca="false">SUMIFS('Hisob (batafsil)'!$J$5:$J$301,'Hisob (batafsil)'!$B$5:$B$301,$A22,'Hisob (batafsil)'!$C$5:$C$301,"Yong'in xavfsizligi")</f>
        <v>0</v>
      </c>
      <c r="Q22" s="32" t="n">
        <f aca="false">SUMIFS('Hisob (batafsil)'!$J$5:$J$301,'Hisob (batafsil)'!$B$5:$B$301,$A22,'Hisob (batafsil)'!$C$5:$C$301,"Buzish ishlari")</f>
        <v>0</v>
      </c>
      <c r="R22" s="32" t="n">
        <f aca="false">SUMIFS('Hisob (batafsil)'!$J$5:$J$301,'Hisob (batafsil)'!$B$5:$B$301,$A22,'Hisob (batafsil)'!$C$5:$C$301,"Santexnika")</f>
        <v>0</v>
      </c>
      <c r="S22" s="32" t="n">
        <f aca="false">SUMIFS('Hisob (batafsil)'!$J$5:$J$301,'Hisob (batafsil)'!$B$5:$B$301,$A22,'Hisob (batafsil)'!$C$5:$C$301,"Kafel")</f>
        <v>0</v>
      </c>
      <c r="T22" s="32" t="n">
        <f aca="false">SUMIFS('Hisob (batafsil)'!$J$5:$J$301,'Hisob (batafsil)'!$B$5:$B$301,$A22,'Hisob (batafsil)'!$C$5:$C$301,"Konditsioner va ventilyatsiya")</f>
        <v>0</v>
      </c>
      <c r="U22" s="32" t="n">
        <f aca="false">SUMIFS('Hisob (batafsil)'!$J$5:$J$301,'Hisob (batafsil)'!$B$5:$B$301,$A22,'Hisob (batafsil)'!$C$5:$C$301,"Mebel va interyer")</f>
        <v>0</v>
      </c>
      <c r="V22" s="32" t="n">
        <f aca="false">SUMIFS('Hisob (batafsil)'!$J$5:$J$301,'Hisob (batafsil)'!$B$5:$B$301,$A22,'Hisob (batafsil)'!$C$5:$C$301,"E'lon va e'tirof doskalari")</f>
        <v>0</v>
      </c>
      <c r="W22" s="34" t="n">
        <f aca="false">C22+E22+G22+I22+K22+L22+M22+N22+O22+P22+Q22+R22+S22+T22+U22+V22</f>
        <v>1594.375</v>
      </c>
    </row>
    <row r="23" customFormat="false" ht="15" hidden="false" customHeight="false" outlineLevel="0" collapsed="false">
      <c r="A23" s="6" t="s">
        <v>74</v>
      </c>
      <c r="B23" s="31" t="n">
        <f aca="false">SUMIFS('Hisob (batafsil)'!$G$5:$G$301,'Hisob (batafsil)'!$B$5:$B$301,$A23,'Hisob (batafsil)'!$C$5:$C$301,"Shisha devor")</f>
        <v>7.125</v>
      </c>
      <c r="C23" s="32" t="n">
        <f aca="false">SUMIFS('Hisob (batafsil)'!$J$5:$J$301,'Hisob (batafsil)'!$B$5:$B$301,$A23,'Hisob (batafsil)'!$C$5:$C$301,"Shisha devor")</f>
        <v>391.875</v>
      </c>
      <c r="D23" s="31" t="n">
        <f aca="false">SUMIFS('Hisob (batafsil)'!$G$5:$G$301,'Hisob (batafsil)'!$B$5:$B$301,$A23,'Hisob (batafsil)'!$C$5:$C$301,"Gips karton (GKL)")</f>
        <v>35.925</v>
      </c>
      <c r="E23" s="32" t="n">
        <f aca="false">SUMIFS('Hisob (batafsil)'!$J$5:$J$301,'Hisob (batafsil)'!$B$5:$B$301,$A23,'Hisob (batafsil)'!$C$5:$C$301,"Gips karton (GKL)")</f>
        <v>431.1</v>
      </c>
      <c r="F23" s="31" t="n">
        <f aca="false">SUMIFS('Hisob (batafsil)'!$G$5:$G$301,'Hisob (batafsil)'!$B$5:$B$301,$A23,'Hisob (batafsil)'!$C$5:$C$301,"Bambuk panel")</f>
        <v>39.2</v>
      </c>
      <c r="G23" s="32" t="n">
        <f aca="false">SUMIFS('Hisob (batafsil)'!$J$5:$J$301,'Hisob (batafsil)'!$B$5:$B$301,$A23,'Hisob (batafsil)'!$C$5:$C$301,"Bambuk panel")</f>
        <v>607.6</v>
      </c>
      <c r="H23" s="33" t="n">
        <f aca="false">SUMIFS('Hisob (batafsil)'!$G$5:$G$301,'Hisob (batafsil)'!$B$5:$B$301,$A23,'Hisob (batafsil)'!$C$5:$C$301,"Interaktiv doska")</f>
        <v>0</v>
      </c>
      <c r="I23" s="32" t="n">
        <f aca="false">SUMIFS('Hisob (batafsil)'!$J$5:$J$301,'Hisob (batafsil)'!$B$5:$B$301,$A23,'Hisob (batafsil)'!$C$5:$C$301,"Interaktiv doska")</f>
        <v>0</v>
      </c>
      <c r="J23" s="31" t="n">
        <f aca="false">SUMIFS('Hisob (batafsil)'!$G$5:$G$301,'Hisob (batafsil)'!$B$5:$B$301,$A23,'Hisob (batafsil)'!$C$5:$C$301,"Perila")</f>
        <v>0</v>
      </c>
      <c r="K23" s="32" t="n">
        <f aca="false">SUMIFS('Hisob (batafsil)'!$J$5:$J$301,'Hisob (batafsil)'!$B$5:$B$301,$A23,'Hisob (batafsil)'!$C$5:$C$301,"Perila")</f>
        <v>0</v>
      </c>
      <c r="L23" s="32" t="n">
        <f aca="false">SUMIFS('Hisob (batafsil)'!$J$5:$J$301,'Hisob (batafsil)'!$B$5:$B$301,$A23,'Hisob (batafsil)'!$C$5:$C$301,"Yoritish")</f>
        <v>168</v>
      </c>
      <c r="M23" s="32" t="n">
        <f aca="false">SUMIFS('Hisob (batafsil)'!$J$5:$J$301,'Hisob (batafsil)'!$B$5:$B$301,$A23,'Hisob (batafsil)'!$C$5:$C$301,"Kamera tizimi")</f>
        <v>0</v>
      </c>
      <c r="N23" s="32" t="n">
        <f aca="false">SUMIFS('Hisob (batafsil)'!$J$5:$J$301,'Hisob (batafsil)'!$B$5:$B$301,$A23,'Hisob (batafsil)'!$C$5:$C$301,"Logotip")</f>
        <v>0</v>
      </c>
      <c r="O23" s="32" t="n">
        <f aca="false">SUMIFS('Hisob (batafsil)'!$J$5:$J$301,'Hisob (batafsil)'!$B$5:$B$301,$A23,'Hisob (batafsil)'!$C$5:$C$301,"Matli plyonka")</f>
        <v>0</v>
      </c>
      <c r="P23" s="32" t="n">
        <f aca="false">SUMIFS('Hisob (batafsil)'!$J$5:$J$301,'Hisob (batafsil)'!$B$5:$B$301,$A23,'Hisob (batafsil)'!$C$5:$C$301,"Yong'in xavfsizligi")</f>
        <v>0</v>
      </c>
      <c r="Q23" s="32" t="n">
        <f aca="false">SUMIFS('Hisob (batafsil)'!$J$5:$J$301,'Hisob (batafsil)'!$B$5:$B$301,$A23,'Hisob (batafsil)'!$C$5:$C$301,"Buzish ishlari")</f>
        <v>0</v>
      </c>
      <c r="R23" s="32" t="n">
        <f aca="false">SUMIFS('Hisob (batafsil)'!$J$5:$J$301,'Hisob (batafsil)'!$B$5:$B$301,$A23,'Hisob (batafsil)'!$C$5:$C$301,"Santexnika")</f>
        <v>0</v>
      </c>
      <c r="S23" s="32" t="n">
        <f aca="false">SUMIFS('Hisob (batafsil)'!$J$5:$J$301,'Hisob (batafsil)'!$B$5:$B$301,$A23,'Hisob (batafsil)'!$C$5:$C$301,"Kafel")</f>
        <v>0</v>
      </c>
      <c r="T23" s="32" t="n">
        <f aca="false">SUMIFS('Hisob (batafsil)'!$J$5:$J$301,'Hisob (batafsil)'!$B$5:$B$301,$A23,'Hisob (batafsil)'!$C$5:$C$301,"Konditsioner va ventilyatsiya")</f>
        <v>0</v>
      </c>
      <c r="U23" s="32" t="n">
        <f aca="false">SUMIFS('Hisob (batafsil)'!$J$5:$J$301,'Hisob (batafsil)'!$B$5:$B$301,$A23,'Hisob (batafsil)'!$C$5:$C$301,"Mebel va interyer")</f>
        <v>0</v>
      </c>
      <c r="V23" s="32" t="n">
        <f aca="false">SUMIFS('Hisob (batafsil)'!$J$5:$J$301,'Hisob (batafsil)'!$B$5:$B$301,$A23,'Hisob (batafsil)'!$C$5:$C$301,"E'lon va e'tirof doskalari")</f>
        <v>0</v>
      </c>
      <c r="W23" s="34" t="n">
        <f aca="false">C23+E23+G23+I23+K23+L23+M23+N23+O23+P23+Q23+R23+S23+T23+U23+V23</f>
        <v>1598.575</v>
      </c>
    </row>
    <row r="24" customFormat="false" ht="15" hidden="false" customHeight="false" outlineLevel="0" collapsed="false">
      <c r="A24" s="6" t="s">
        <v>75</v>
      </c>
      <c r="B24" s="31" t="n">
        <f aca="false">SUMIFS('Hisob (batafsil)'!$G$5:$G$301,'Hisob (batafsil)'!$B$5:$B$301,$A24,'Hisob (batafsil)'!$C$5:$C$301,"Shisha devor")</f>
        <v>0</v>
      </c>
      <c r="C24" s="32" t="n">
        <f aca="false">SUMIFS('Hisob (batafsil)'!$J$5:$J$301,'Hisob (batafsil)'!$B$5:$B$301,$A24,'Hisob (batafsil)'!$C$5:$C$301,"Shisha devor")</f>
        <v>0</v>
      </c>
      <c r="D24" s="31" t="n">
        <f aca="false">SUMIFS('Hisob (batafsil)'!$G$5:$G$301,'Hisob (batafsil)'!$B$5:$B$301,$A24,'Hisob (batafsil)'!$C$5:$C$301,"Gips karton (GKL)")</f>
        <v>0</v>
      </c>
      <c r="E24" s="32" t="n">
        <f aca="false">SUMIFS('Hisob (batafsil)'!$J$5:$J$301,'Hisob (batafsil)'!$B$5:$B$301,$A24,'Hisob (batafsil)'!$C$5:$C$301,"Gips karton (GKL)")</f>
        <v>0</v>
      </c>
      <c r="F24" s="31" t="n">
        <f aca="false">SUMIFS('Hisob (batafsil)'!$G$5:$G$301,'Hisob (batafsil)'!$B$5:$B$301,$A24,'Hisob (batafsil)'!$C$5:$C$301,"Bambuk panel")</f>
        <v>29.26</v>
      </c>
      <c r="G24" s="32" t="n">
        <f aca="false">SUMIFS('Hisob (batafsil)'!$J$5:$J$301,'Hisob (batafsil)'!$B$5:$B$301,$A24,'Hisob (batafsil)'!$C$5:$C$301,"Bambuk panel")</f>
        <v>453.53</v>
      </c>
      <c r="H24" s="33" t="n">
        <f aca="false">SUMIFS('Hisob (batafsil)'!$G$5:$G$301,'Hisob (batafsil)'!$B$5:$B$301,$A24,'Hisob (batafsil)'!$C$5:$C$301,"Interaktiv doska")</f>
        <v>0</v>
      </c>
      <c r="I24" s="32" t="n">
        <f aca="false">SUMIFS('Hisob (batafsil)'!$J$5:$J$301,'Hisob (batafsil)'!$B$5:$B$301,$A24,'Hisob (batafsil)'!$C$5:$C$301,"Interaktiv doska")</f>
        <v>0</v>
      </c>
      <c r="J24" s="31" t="n">
        <f aca="false">SUMIFS('Hisob (batafsil)'!$G$5:$G$301,'Hisob (batafsil)'!$B$5:$B$301,$A24,'Hisob (batafsil)'!$C$5:$C$301,"Perila")</f>
        <v>0</v>
      </c>
      <c r="K24" s="32" t="n">
        <f aca="false">SUMIFS('Hisob (batafsil)'!$J$5:$J$301,'Hisob (batafsil)'!$B$5:$B$301,$A24,'Hisob (batafsil)'!$C$5:$C$301,"Perila")</f>
        <v>0</v>
      </c>
      <c r="L24" s="32" t="n">
        <f aca="false">SUMIFS('Hisob (batafsil)'!$J$5:$J$301,'Hisob (batafsil)'!$B$5:$B$301,$A24,'Hisob (batafsil)'!$C$5:$C$301,"Yoritish")</f>
        <v>168</v>
      </c>
      <c r="M24" s="32" t="n">
        <f aca="false">SUMIFS('Hisob (batafsil)'!$J$5:$J$301,'Hisob (batafsil)'!$B$5:$B$301,$A24,'Hisob (batafsil)'!$C$5:$C$301,"Kamera tizimi")</f>
        <v>0</v>
      </c>
      <c r="N24" s="32" t="n">
        <f aca="false">SUMIFS('Hisob (batafsil)'!$J$5:$J$301,'Hisob (batafsil)'!$B$5:$B$301,$A24,'Hisob (batafsil)'!$C$5:$C$301,"Logotip")</f>
        <v>0</v>
      </c>
      <c r="O24" s="32" t="n">
        <f aca="false">SUMIFS('Hisob (batafsil)'!$J$5:$J$301,'Hisob (batafsil)'!$B$5:$B$301,$A24,'Hisob (batafsil)'!$C$5:$C$301,"Matli plyonka")</f>
        <v>0</v>
      </c>
      <c r="P24" s="32" t="n">
        <f aca="false">SUMIFS('Hisob (batafsil)'!$J$5:$J$301,'Hisob (batafsil)'!$B$5:$B$301,$A24,'Hisob (batafsil)'!$C$5:$C$301,"Yong'in xavfsizligi")</f>
        <v>0</v>
      </c>
      <c r="Q24" s="32" t="n">
        <f aca="false">SUMIFS('Hisob (batafsil)'!$J$5:$J$301,'Hisob (batafsil)'!$B$5:$B$301,$A24,'Hisob (batafsil)'!$C$5:$C$301,"Buzish ishlari")</f>
        <v>0</v>
      </c>
      <c r="R24" s="32" t="n">
        <f aca="false">SUMIFS('Hisob (batafsil)'!$J$5:$J$301,'Hisob (batafsil)'!$B$5:$B$301,$A24,'Hisob (batafsil)'!$C$5:$C$301,"Santexnika")</f>
        <v>0</v>
      </c>
      <c r="S24" s="32" t="n">
        <f aca="false">SUMIFS('Hisob (batafsil)'!$J$5:$J$301,'Hisob (batafsil)'!$B$5:$B$301,$A24,'Hisob (batafsil)'!$C$5:$C$301,"Kafel")</f>
        <v>0</v>
      </c>
      <c r="T24" s="32" t="n">
        <f aca="false">SUMIFS('Hisob (batafsil)'!$J$5:$J$301,'Hisob (batafsil)'!$B$5:$B$301,$A24,'Hisob (batafsil)'!$C$5:$C$301,"Konditsioner va ventilyatsiya")</f>
        <v>0</v>
      </c>
      <c r="U24" s="32" t="n">
        <f aca="false">SUMIFS('Hisob (batafsil)'!$J$5:$J$301,'Hisob (batafsil)'!$B$5:$B$301,$A24,'Hisob (batafsil)'!$C$5:$C$301,"Mebel va interyer")</f>
        <v>0</v>
      </c>
      <c r="V24" s="32" t="n">
        <f aca="false">SUMIFS('Hisob (batafsil)'!$J$5:$J$301,'Hisob (batafsil)'!$B$5:$B$301,$A24,'Hisob (batafsil)'!$C$5:$C$301,"E'lon va e'tirof doskalari")</f>
        <v>0</v>
      </c>
      <c r="W24" s="34" t="n">
        <f aca="false">C24+E24+G24+I24+K24+L24+M24+N24+O24+P24+Q24+R24+S24+T24+U24+V24</f>
        <v>621.53</v>
      </c>
    </row>
    <row r="25" customFormat="false" ht="15" hidden="false" customHeight="false" outlineLevel="0" collapsed="false">
      <c r="A25" s="11" t="s">
        <v>76</v>
      </c>
      <c r="B25" s="35" t="n">
        <f aca="false">SUM(B20:B24)</f>
        <v>28.25</v>
      </c>
      <c r="C25" s="36" t="n">
        <f aca="false">SUM(C20:C24)</f>
        <v>1553.75</v>
      </c>
      <c r="D25" s="35" t="n">
        <f aca="false">SUM(D20:D24)</f>
        <v>141.15</v>
      </c>
      <c r="E25" s="36" t="n">
        <f aca="false">SUM(E20:E24)</f>
        <v>1693.8</v>
      </c>
      <c r="F25" s="35" t="n">
        <f aca="false">SUM(F20:F24)</f>
        <v>186.06</v>
      </c>
      <c r="G25" s="36" t="n">
        <f aca="false">SUM(G20:G24)</f>
        <v>2883.93</v>
      </c>
      <c r="H25" s="37" t="n">
        <f aca="false">SUM(H20:H24)</f>
        <v>0</v>
      </c>
      <c r="I25" s="36" t="n">
        <f aca="false">SUM(I20:I24)</f>
        <v>0</v>
      </c>
      <c r="J25" s="35" t="n">
        <f aca="false">SUM(J20:J24)</f>
        <v>0</v>
      </c>
      <c r="K25" s="36" t="n">
        <f aca="false">SUM(K20:K24)</f>
        <v>0</v>
      </c>
      <c r="L25" s="36" t="n">
        <f aca="false">SUM(L20:L24)</f>
        <v>840</v>
      </c>
      <c r="M25" s="36" t="n">
        <f aca="false">SUM(M20:M24)</f>
        <v>0</v>
      </c>
      <c r="N25" s="36" t="n">
        <f aca="false">SUM(N20:N24)</f>
        <v>0</v>
      </c>
      <c r="O25" s="36" t="n">
        <f aca="false">SUM(O20:O24)</f>
        <v>0</v>
      </c>
      <c r="P25" s="36" t="n">
        <f aca="false">SUM(P20:P24)</f>
        <v>0</v>
      </c>
      <c r="Q25" s="36" t="n">
        <f aca="false">SUM(Q20:Q24)</f>
        <v>0</v>
      </c>
      <c r="R25" s="36" t="n">
        <f aca="false">SUM(R20:R24)</f>
        <v>0</v>
      </c>
      <c r="S25" s="36" t="n">
        <f aca="false">SUM(S20:S24)</f>
        <v>0</v>
      </c>
      <c r="T25" s="36" t="n">
        <f aca="false">SUM(T20:T24)</f>
        <v>0</v>
      </c>
      <c r="U25" s="36" t="n">
        <f aca="false">SUM(U20:U24)</f>
        <v>3810</v>
      </c>
      <c r="V25" s="36" t="n">
        <f aca="false">SUM(V20:V24)</f>
        <v>0</v>
      </c>
      <c r="W25" s="36" t="n">
        <f aca="false">SUM(W20:W24)</f>
        <v>10781.48</v>
      </c>
    </row>
    <row r="27" customFormat="false" ht="15" hidden="false" customHeight="false" outlineLevel="0" collapsed="false">
      <c r="A27" s="29" t="s">
        <v>32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customFormat="false" ht="15" hidden="false" customHeight="false" outlineLevel="0" collapsed="false">
      <c r="A28" s="6" t="s">
        <v>77</v>
      </c>
      <c r="B28" s="31" t="n">
        <f aca="false">SUMIFS('Hisob (batafsil)'!$G$5:$G$301,'Hisob (batafsil)'!$B$5:$B$301,$A28,'Hisob (batafsil)'!$C$5:$C$301,"Shisha devor")</f>
        <v>0</v>
      </c>
      <c r="C28" s="32" t="n">
        <f aca="false">SUMIFS('Hisob (batafsil)'!$J$5:$J$301,'Hisob (batafsil)'!$B$5:$B$301,$A28,'Hisob (batafsil)'!$C$5:$C$301,"Shisha devor")</f>
        <v>0</v>
      </c>
      <c r="D28" s="31" t="n">
        <f aca="false">SUMIFS('Hisob (batafsil)'!$G$5:$G$301,'Hisob (batafsil)'!$B$5:$B$301,$A28,'Hisob (batafsil)'!$C$5:$C$301,"Gips karton (GKL)")</f>
        <v>52</v>
      </c>
      <c r="E28" s="32" t="n">
        <f aca="false">SUMIFS('Hisob (batafsil)'!$J$5:$J$301,'Hisob (batafsil)'!$B$5:$B$301,$A28,'Hisob (batafsil)'!$C$5:$C$301,"Gips karton (GKL)")</f>
        <v>624</v>
      </c>
      <c r="F28" s="31" t="n">
        <f aca="false">SUMIFS('Hisob (batafsil)'!$G$5:$G$301,'Hisob (batafsil)'!$B$5:$B$301,$A28,'Hisob (batafsil)'!$C$5:$C$301,"Bambuk panel")</f>
        <v>0</v>
      </c>
      <c r="G28" s="32" t="n">
        <f aca="false">SUMIFS('Hisob (batafsil)'!$J$5:$J$301,'Hisob (batafsil)'!$B$5:$B$301,$A28,'Hisob (batafsil)'!$C$5:$C$301,"Bambuk panel")</f>
        <v>0</v>
      </c>
      <c r="H28" s="33" t="n">
        <f aca="false">SUMIFS('Hisob (batafsil)'!$G$5:$G$301,'Hisob (batafsil)'!$B$5:$B$301,$A28,'Hisob (batafsil)'!$C$5:$C$301,"Interaktiv doska")</f>
        <v>0</v>
      </c>
      <c r="I28" s="32" t="n">
        <f aca="false">SUMIFS('Hisob (batafsil)'!$J$5:$J$301,'Hisob (batafsil)'!$B$5:$B$301,$A28,'Hisob (batafsil)'!$C$5:$C$301,"Interaktiv doska")</f>
        <v>0</v>
      </c>
      <c r="J28" s="31" t="n">
        <f aca="false">SUMIFS('Hisob (batafsil)'!$G$5:$G$301,'Hisob (batafsil)'!$B$5:$B$301,$A28,'Hisob (batafsil)'!$C$5:$C$301,"Perila")</f>
        <v>0</v>
      </c>
      <c r="K28" s="32" t="n">
        <f aca="false">SUMIFS('Hisob (batafsil)'!$J$5:$J$301,'Hisob (batafsil)'!$B$5:$B$301,$A28,'Hisob (batafsil)'!$C$5:$C$301,"Perila")</f>
        <v>0</v>
      </c>
      <c r="L28" s="32" t="n">
        <f aca="false">SUMIFS('Hisob (batafsil)'!$J$5:$J$301,'Hisob (batafsil)'!$B$5:$B$301,$A28,'Hisob (batafsil)'!$C$5:$C$301,"Yoritish")</f>
        <v>336</v>
      </c>
      <c r="M28" s="32" t="n">
        <f aca="false">SUMIFS('Hisob (batafsil)'!$J$5:$J$301,'Hisob (batafsil)'!$B$5:$B$301,$A28,'Hisob (batafsil)'!$C$5:$C$301,"Kamera tizimi")</f>
        <v>0</v>
      </c>
      <c r="N28" s="32" t="n">
        <f aca="false">SUMIFS('Hisob (batafsil)'!$J$5:$J$301,'Hisob (batafsil)'!$B$5:$B$301,$A28,'Hisob (batafsil)'!$C$5:$C$301,"Logotip")</f>
        <v>0</v>
      </c>
      <c r="O28" s="32" t="n">
        <f aca="false">SUMIFS('Hisob (batafsil)'!$J$5:$J$301,'Hisob (batafsil)'!$B$5:$B$301,$A28,'Hisob (batafsil)'!$C$5:$C$301,"Matli plyonka")</f>
        <v>0</v>
      </c>
      <c r="P28" s="32" t="n">
        <f aca="false">SUMIFS('Hisob (batafsil)'!$J$5:$J$301,'Hisob (batafsil)'!$B$5:$B$301,$A28,'Hisob (batafsil)'!$C$5:$C$301,"Yong'in xavfsizligi")</f>
        <v>0</v>
      </c>
      <c r="Q28" s="32" t="n">
        <f aca="false">SUMIFS('Hisob (batafsil)'!$J$5:$J$301,'Hisob (batafsil)'!$B$5:$B$301,$A28,'Hisob (batafsil)'!$C$5:$C$301,"Buzish ishlari")</f>
        <v>0</v>
      </c>
      <c r="R28" s="32" t="n">
        <f aca="false">SUMIFS('Hisob (batafsil)'!$J$5:$J$301,'Hisob (batafsil)'!$B$5:$B$301,$A28,'Hisob (batafsil)'!$C$5:$C$301,"Santexnika")</f>
        <v>0</v>
      </c>
      <c r="S28" s="32" t="n">
        <f aca="false">SUMIFS('Hisob (batafsil)'!$J$5:$J$301,'Hisob (batafsil)'!$B$5:$B$301,$A28,'Hisob (batafsil)'!$C$5:$C$301,"Kafel")</f>
        <v>0</v>
      </c>
      <c r="T28" s="32" t="n">
        <f aca="false">SUMIFS('Hisob (batafsil)'!$J$5:$J$301,'Hisob (batafsil)'!$B$5:$B$301,$A28,'Hisob (batafsil)'!$C$5:$C$301,"Konditsioner va ventilyatsiya")</f>
        <v>0</v>
      </c>
      <c r="U28" s="32" t="n">
        <f aca="false">SUMIFS('Hisob (batafsil)'!$J$5:$J$301,'Hisob (batafsil)'!$B$5:$B$301,$A28,'Hisob (batafsil)'!$C$5:$C$301,"Mebel va interyer")</f>
        <v>0</v>
      </c>
      <c r="V28" s="32" t="n">
        <f aca="false">SUMIFS('Hisob (batafsil)'!$J$5:$J$301,'Hisob (batafsil)'!$B$5:$B$301,$A28,'Hisob (batafsil)'!$C$5:$C$301,"E'lon va e'tirof doskalari")</f>
        <v>370</v>
      </c>
      <c r="W28" s="34" t="n">
        <f aca="false">C28+E28+G28+I28+K28+L28+M28+N28+O28+P28+Q28+R28+S28+T28+U28+V28</f>
        <v>1330</v>
      </c>
    </row>
    <row r="29" customFormat="false" ht="15" hidden="false" customHeight="false" outlineLevel="0" collapsed="false">
      <c r="A29" s="6" t="s">
        <v>78</v>
      </c>
      <c r="B29" s="31" t="n">
        <f aca="false">SUMIFS('Hisob (batafsil)'!$G$5:$G$301,'Hisob (batafsil)'!$B$5:$B$301,$A29,'Hisob (batafsil)'!$C$5:$C$301,"Shisha devor")</f>
        <v>0</v>
      </c>
      <c r="C29" s="32" t="n">
        <f aca="false">SUMIFS('Hisob (batafsil)'!$J$5:$J$301,'Hisob (batafsil)'!$B$5:$B$301,$A29,'Hisob (batafsil)'!$C$5:$C$301,"Shisha devor")</f>
        <v>0</v>
      </c>
      <c r="D29" s="31" t="n">
        <f aca="false">SUMIFS('Hisob (batafsil)'!$G$5:$G$301,'Hisob (batafsil)'!$B$5:$B$301,$A29,'Hisob (batafsil)'!$C$5:$C$301,"Gips karton (GKL)")</f>
        <v>50.1</v>
      </c>
      <c r="E29" s="32" t="n">
        <f aca="false">SUMIFS('Hisob (batafsil)'!$J$5:$J$301,'Hisob (batafsil)'!$B$5:$B$301,$A29,'Hisob (batafsil)'!$C$5:$C$301,"Gips karton (GKL)")</f>
        <v>601.2</v>
      </c>
      <c r="F29" s="31" t="n">
        <f aca="false">SUMIFS('Hisob (batafsil)'!$G$5:$G$301,'Hisob (batafsil)'!$B$5:$B$301,$A29,'Hisob (batafsil)'!$C$5:$C$301,"Bambuk panel")</f>
        <v>0</v>
      </c>
      <c r="G29" s="32" t="n">
        <f aca="false">SUMIFS('Hisob (batafsil)'!$J$5:$J$301,'Hisob (batafsil)'!$B$5:$B$301,$A29,'Hisob (batafsil)'!$C$5:$C$301,"Bambuk panel")</f>
        <v>0</v>
      </c>
      <c r="H29" s="33" t="n">
        <f aca="false">SUMIFS('Hisob (batafsil)'!$G$5:$G$301,'Hisob (batafsil)'!$B$5:$B$301,$A29,'Hisob (batafsil)'!$C$5:$C$301,"Interaktiv doska")</f>
        <v>0</v>
      </c>
      <c r="I29" s="32" t="n">
        <f aca="false">SUMIFS('Hisob (batafsil)'!$J$5:$J$301,'Hisob (batafsil)'!$B$5:$B$301,$A29,'Hisob (batafsil)'!$C$5:$C$301,"Interaktiv doska")</f>
        <v>0</v>
      </c>
      <c r="J29" s="31" t="n">
        <f aca="false">SUMIFS('Hisob (batafsil)'!$G$5:$G$301,'Hisob (batafsil)'!$B$5:$B$301,$A29,'Hisob (batafsil)'!$C$5:$C$301,"Perila")</f>
        <v>0</v>
      </c>
      <c r="K29" s="32" t="n">
        <f aca="false">SUMIFS('Hisob (batafsil)'!$J$5:$J$301,'Hisob (batafsil)'!$B$5:$B$301,$A29,'Hisob (batafsil)'!$C$5:$C$301,"Perila")</f>
        <v>0</v>
      </c>
      <c r="L29" s="32" t="n">
        <f aca="false">SUMIFS('Hisob (batafsil)'!$J$5:$J$301,'Hisob (batafsil)'!$B$5:$B$301,$A29,'Hisob (batafsil)'!$C$5:$C$301,"Yoritish")</f>
        <v>336</v>
      </c>
      <c r="M29" s="32" t="n">
        <f aca="false">SUMIFS('Hisob (batafsil)'!$J$5:$J$301,'Hisob (batafsil)'!$B$5:$B$301,$A29,'Hisob (batafsil)'!$C$5:$C$301,"Kamera tizimi")</f>
        <v>0</v>
      </c>
      <c r="N29" s="32" t="n">
        <f aca="false">SUMIFS('Hisob (batafsil)'!$J$5:$J$301,'Hisob (batafsil)'!$B$5:$B$301,$A29,'Hisob (batafsil)'!$C$5:$C$301,"Logotip")</f>
        <v>0</v>
      </c>
      <c r="O29" s="32" t="n">
        <f aca="false">SUMIFS('Hisob (batafsil)'!$J$5:$J$301,'Hisob (batafsil)'!$B$5:$B$301,$A29,'Hisob (batafsil)'!$C$5:$C$301,"Matli plyonka")</f>
        <v>0</v>
      </c>
      <c r="P29" s="32" t="n">
        <f aca="false">SUMIFS('Hisob (batafsil)'!$J$5:$J$301,'Hisob (batafsil)'!$B$5:$B$301,$A29,'Hisob (batafsil)'!$C$5:$C$301,"Yong'in xavfsizligi")</f>
        <v>0</v>
      </c>
      <c r="Q29" s="32" t="n">
        <f aca="false">SUMIFS('Hisob (batafsil)'!$J$5:$J$301,'Hisob (batafsil)'!$B$5:$B$301,$A29,'Hisob (batafsil)'!$C$5:$C$301,"Buzish ishlari")</f>
        <v>0</v>
      </c>
      <c r="R29" s="32" t="n">
        <f aca="false">SUMIFS('Hisob (batafsil)'!$J$5:$J$301,'Hisob (batafsil)'!$B$5:$B$301,$A29,'Hisob (batafsil)'!$C$5:$C$301,"Santexnika")</f>
        <v>0</v>
      </c>
      <c r="S29" s="32" t="n">
        <f aca="false">SUMIFS('Hisob (batafsil)'!$J$5:$J$301,'Hisob (batafsil)'!$B$5:$B$301,$A29,'Hisob (batafsil)'!$C$5:$C$301,"Kafel")</f>
        <v>0</v>
      </c>
      <c r="T29" s="32" t="n">
        <f aca="false">SUMIFS('Hisob (batafsil)'!$J$5:$J$301,'Hisob (batafsil)'!$B$5:$B$301,$A29,'Hisob (batafsil)'!$C$5:$C$301,"Konditsioner va ventilyatsiya")</f>
        <v>0</v>
      </c>
      <c r="U29" s="32" t="n">
        <f aca="false">SUMIFS('Hisob (batafsil)'!$J$5:$J$301,'Hisob (batafsil)'!$B$5:$B$301,$A29,'Hisob (batafsil)'!$C$5:$C$301,"Mebel va interyer")</f>
        <v>0</v>
      </c>
      <c r="V29" s="32" t="n">
        <f aca="false">SUMIFS('Hisob (batafsil)'!$J$5:$J$301,'Hisob (batafsil)'!$B$5:$B$301,$A29,'Hisob (batafsil)'!$C$5:$C$301,"E'lon va e'tirof doskalari")</f>
        <v>370</v>
      </c>
      <c r="W29" s="34" t="n">
        <f aca="false">C29+E29+G29+I29+K29+L29+M29+N29+O29+P29+Q29+R29+S29+T29+U29+V29</f>
        <v>1307.2</v>
      </c>
    </row>
    <row r="30" customFormat="false" ht="15" hidden="false" customHeight="false" outlineLevel="0" collapsed="false">
      <c r="A30" s="6" t="s">
        <v>79</v>
      </c>
      <c r="B30" s="31" t="n">
        <f aca="false">SUMIFS('Hisob (batafsil)'!$G$5:$G$301,'Hisob (batafsil)'!$B$5:$B$301,$A30,'Hisob (batafsil)'!$C$5:$C$301,"Shisha devor")</f>
        <v>0</v>
      </c>
      <c r="C30" s="32" t="n">
        <f aca="false">SUMIFS('Hisob (batafsil)'!$J$5:$J$301,'Hisob (batafsil)'!$B$5:$B$301,$A30,'Hisob (batafsil)'!$C$5:$C$301,"Shisha devor")</f>
        <v>0</v>
      </c>
      <c r="D30" s="31" t="n">
        <f aca="false">SUMIFS('Hisob (batafsil)'!$G$5:$G$301,'Hisob (batafsil)'!$B$5:$B$301,$A30,'Hisob (batafsil)'!$C$5:$C$301,"Gips karton (GKL)")</f>
        <v>9.625</v>
      </c>
      <c r="E30" s="32" t="n">
        <f aca="false">SUMIFS('Hisob (batafsil)'!$J$5:$J$301,'Hisob (batafsil)'!$B$5:$B$301,$A30,'Hisob (batafsil)'!$C$5:$C$301,"Gips karton (GKL)")</f>
        <v>115.5</v>
      </c>
      <c r="F30" s="31" t="n">
        <f aca="false">SUMIFS('Hisob (batafsil)'!$G$5:$G$301,'Hisob (batafsil)'!$B$5:$B$301,$A30,'Hisob (batafsil)'!$C$5:$C$301,"Bambuk panel")</f>
        <v>0</v>
      </c>
      <c r="G30" s="32" t="n">
        <f aca="false">SUMIFS('Hisob (batafsil)'!$J$5:$J$301,'Hisob (batafsil)'!$B$5:$B$301,$A30,'Hisob (batafsil)'!$C$5:$C$301,"Bambuk panel")</f>
        <v>0</v>
      </c>
      <c r="H30" s="33" t="n">
        <f aca="false">SUMIFS('Hisob (batafsil)'!$G$5:$G$301,'Hisob (batafsil)'!$B$5:$B$301,$A30,'Hisob (batafsil)'!$C$5:$C$301,"Interaktiv doska")</f>
        <v>0</v>
      </c>
      <c r="I30" s="32" t="n">
        <f aca="false">SUMIFS('Hisob (batafsil)'!$J$5:$J$301,'Hisob (batafsil)'!$B$5:$B$301,$A30,'Hisob (batafsil)'!$C$5:$C$301,"Interaktiv doska")</f>
        <v>0</v>
      </c>
      <c r="J30" s="31" t="n">
        <f aca="false">SUMIFS('Hisob (batafsil)'!$G$5:$G$301,'Hisob (batafsil)'!$B$5:$B$301,$A30,'Hisob (batafsil)'!$C$5:$C$301,"Perila")</f>
        <v>0</v>
      </c>
      <c r="K30" s="32" t="n">
        <f aca="false">SUMIFS('Hisob (batafsil)'!$J$5:$J$301,'Hisob (batafsil)'!$B$5:$B$301,$A30,'Hisob (batafsil)'!$C$5:$C$301,"Perila")</f>
        <v>0</v>
      </c>
      <c r="L30" s="32" t="n">
        <f aca="false">SUMIFS('Hisob (batafsil)'!$J$5:$J$301,'Hisob (batafsil)'!$B$5:$B$301,$A30,'Hisob (batafsil)'!$C$5:$C$301,"Yoritish")</f>
        <v>336</v>
      </c>
      <c r="M30" s="32" t="n">
        <f aca="false">SUMIFS('Hisob (batafsil)'!$J$5:$J$301,'Hisob (batafsil)'!$B$5:$B$301,$A30,'Hisob (batafsil)'!$C$5:$C$301,"Kamera tizimi")</f>
        <v>0</v>
      </c>
      <c r="N30" s="32" t="n">
        <f aca="false">SUMIFS('Hisob (batafsil)'!$J$5:$J$301,'Hisob (batafsil)'!$B$5:$B$301,$A30,'Hisob (batafsil)'!$C$5:$C$301,"Logotip")</f>
        <v>0</v>
      </c>
      <c r="O30" s="32" t="n">
        <f aca="false">SUMIFS('Hisob (batafsil)'!$J$5:$J$301,'Hisob (batafsil)'!$B$5:$B$301,$A30,'Hisob (batafsil)'!$C$5:$C$301,"Matli plyonka")</f>
        <v>0</v>
      </c>
      <c r="P30" s="32" t="n">
        <f aca="false">SUMIFS('Hisob (batafsil)'!$J$5:$J$301,'Hisob (batafsil)'!$B$5:$B$301,$A30,'Hisob (batafsil)'!$C$5:$C$301,"Yong'in xavfsizligi")</f>
        <v>0</v>
      </c>
      <c r="Q30" s="32" t="n">
        <f aca="false">SUMIFS('Hisob (batafsil)'!$J$5:$J$301,'Hisob (batafsil)'!$B$5:$B$301,$A30,'Hisob (batafsil)'!$C$5:$C$301,"Buzish ishlari")</f>
        <v>0</v>
      </c>
      <c r="R30" s="32" t="n">
        <f aca="false">SUMIFS('Hisob (batafsil)'!$J$5:$J$301,'Hisob (batafsil)'!$B$5:$B$301,$A30,'Hisob (batafsil)'!$C$5:$C$301,"Santexnika")</f>
        <v>0</v>
      </c>
      <c r="S30" s="32" t="n">
        <f aca="false">SUMIFS('Hisob (batafsil)'!$J$5:$J$301,'Hisob (batafsil)'!$B$5:$B$301,$A30,'Hisob (batafsil)'!$C$5:$C$301,"Kafel")</f>
        <v>0</v>
      </c>
      <c r="T30" s="32" t="n">
        <f aca="false">SUMIFS('Hisob (batafsil)'!$J$5:$J$301,'Hisob (batafsil)'!$B$5:$B$301,$A30,'Hisob (batafsil)'!$C$5:$C$301,"Konditsioner va ventilyatsiya")</f>
        <v>0</v>
      </c>
      <c r="U30" s="32" t="n">
        <f aca="false">SUMIFS('Hisob (batafsil)'!$J$5:$J$301,'Hisob (batafsil)'!$B$5:$B$301,$A30,'Hisob (batafsil)'!$C$5:$C$301,"Mebel va interyer")</f>
        <v>0</v>
      </c>
      <c r="V30" s="32" t="n">
        <f aca="false">SUMIFS('Hisob (batafsil)'!$J$5:$J$301,'Hisob (batafsil)'!$B$5:$B$301,$A30,'Hisob (batafsil)'!$C$5:$C$301,"E'lon va e'tirof doskalari")</f>
        <v>0</v>
      </c>
      <c r="W30" s="34" t="n">
        <f aca="false">C30+E30+G30+I30+K30+L30+M30+N30+O30+P30+Q30+R30+S30+T30+U30+V30</f>
        <v>451.5</v>
      </c>
    </row>
    <row r="31" customFormat="false" ht="15" hidden="false" customHeight="false" outlineLevel="0" collapsed="false">
      <c r="A31" s="6" t="s">
        <v>80</v>
      </c>
      <c r="B31" s="31" t="n">
        <f aca="false">SUMIFS('Hisob (batafsil)'!$G$5:$G$301,'Hisob (batafsil)'!$B$5:$B$301,$A31,'Hisob (batafsil)'!$C$5:$C$301,"Shisha devor")</f>
        <v>0</v>
      </c>
      <c r="C31" s="32" t="n">
        <f aca="false">SUMIFS('Hisob (batafsil)'!$J$5:$J$301,'Hisob (batafsil)'!$B$5:$B$301,$A31,'Hisob (batafsil)'!$C$5:$C$301,"Shisha devor")</f>
        <v>0</v>
      </c>
      <c r="D31" s="31" t="n">
        <f aca="false">SUMIFS('Hisob (batafsil)'!$G$5:$G$301,'Hisob (batafsil)'!$B$5:$B$301,$A31,'Hisob (batafsil)'!$C$5:$C$301,"Gips karton (GKL)")</f>
        <v>9.1</v>
      </c>
      <c r="E31" s="32" t="n">
        <f aca="false">SUMIFS('Hisob (batafsil)'!$J$5:$J$301,'Hisob (batafsil)'!$B$5:$B$301,$A31,'Hisob (batafsil)'!$C$5:$C$301,"Gips karton (GKL)")</f>
        <v>109.2</v>
      </c>
      <c r="F31" s="31" t="n">
        <f aca="false">SUMIFS('Hisob (batafsil)'!$G$5:$G$301,'Hisob (batafsil)'!$B$5:$B$301,$A31,'Hisob (batafsil)'!$C$5:$C$301,"Bambuk panel")</f>
        <v>0</v>
      </c>
      <c r="G31" s="32" t="n">
        <f aca="false">SUMIFS('Hisob (batafsil)'!$J$5:$J$301,'Hisob (batafsil)'!$B$5:$B$301,$A31,'Hisob (batafsil)'!$C$5:$C$301,"Bambuk panel")</f>
        <v>0</v>
      </c>
      <c r="H31" s="33" t="n">
        <f aca="false">SUMIFS('Hisob (batafsil)'!$G$5:$G$301,'Hisob (batafsil)'!$B$5:$B$301,$A31,'Hisob (batafsil)'!$C$5:$C$301,"Interaktiv doska")</f>
        <v>0</v>
      </c>
      <c r="I31" s="32" t="n">
        <f aca="false">SUMIFS('Hisob (batafsil)'!$J$5:$J$301,'Hisob (batafsil)'!$B$5:$B$301,$A31,'Hisob (batafsil)'!$C$5:$C$301,"Interaktiv doska")</f>
        <v>0</v>
      </c>
      <c r="J31" s="31" t="n">
        <f aca="false">SUMIFS('Hisob (batafsil)'!$G$5:$G$301,'Hisob (batafsil)'!$B$5:$B$301,$A31,'Hisob (batafsil)'!$C$5:$C$301,"Perila")</f>
        <v>0</v>
      </c>
      <c r="K31" s="32" t="n">
        <f aca="false">SUMIFS('Hisob (batafsil)'!$J$5:$J$301,'Hisob (batafsil)'!$B$5:$B$301,$A31,'Hisob (batafsil)'!$C$5:$C$301,"Perila")</f>
        <v>0</v>
      </c>
      <c r="L31" s="32" t="n">
        <f aca="false">SUMIFS('Hisob (batafsil)'!$J$5:$J$301,'Hisob (batafsil)'!$B$5:$B$301,$A31,'Hisob (batafsil)'!$C$5:$C$301,"Yoritish")</f>
        <v>0</v>
      </c>
      <c r="M31" s="32" t="n">
        <f aca="false">SUMIFS('Hisob (batafsil)'!$J$5:$J$301,'Hisob (batafsil)'!$B$5:$B$301,$A31,'Hisob (batafsil)'!$C$5:$C$301,"Kamera tizimi")</f>
        <v>0</v>
      </c>
      <c r="N31" s="32" t="n">
        <f aca="false">SUMIFS('Hisob (batafsil)'!$J$5:$J$301,'Hisob (batafsil)'!$B$5:$B$301,$A31,'Hisob (batafsil)'!$C$5:$C$301,"Logotip")</f>
        <v>0</v>
      </c>
      <c r="O31" s="32" t="n">
        <f aca="false">SUMIFS('Hisob (batafsil)'!$J$5:$J$301,'Hisob (batafsil)'!$B$5:$B$301,$A31,'Hisob (batafsil)'!$C$5:$C$301,"Matli plyonka")</f>
        <v>0</v>
      </c>
      <c r="P31" s="32" t="n">
        <f aca="false">SUMIFS('Hisob (batafsil)'!$J$5:$J$301,'Hisob (batafsil)'!$B$5:$B$301,$A31,'Hisob (batafsil)'!$C$5:$C$301,"Yong'in xavfsizligi")</f>
        <v>0</v>
      </c>
      <c r="Q31" s="32" t="n">
        <f aca="false">SUMIFS('Hisob (batafsil)'!$J$5:$J$301,'Hisob (batafsil)'!$B$5:$B$301,$A31,'Hisob (batafsil)'!$C$5:$C$301,"Buzish ishlari")</f>
        <v>0</v>
      </c>
      <c r="R31" s="32" t="n">
        <f aca="false">SUMIFS('Hisob (batafsil)'!$J$5:$J$301,'Hisob (batafsil)'!$B$5:$B$301,$A31,'Hisob (batafsil)'!$C$5:$C$301,"Santexnika")</f>
        <v>0</v>
      </c>
      <c r="S31" s="32" t="n">
        <f aca="false">SUMIFS('Hisob (batafsil)'!$J$5:$J$301,'Hisob (batafsil)'!$B$5:$B$301,$A31,'Hisob (batafsil)'!$C$5:$C$301,"Kafel")</f>
        <v>0</v>
      </c>
      <c r="T31" s="32" t="n">
        <f aca="false">SUMIFS('Hisob (batafsil)'!$J$5:$J$301,'Hisob (batafsil)'!$B$5:$B$301,$A31,'Hisob (batafsil)'!$C$5:$C$301,"Konditsioner va ventilyatsiya")</f>
        <v>0</v>
      </c>
      <c r="U31" s="32" t="n">
        <f aca="false">SUMIFS('Hisob (batafsil)'!$J$5:$J$301,'Hisob (batafsil)'!$B$5:$B$301,$A31,'Hisob (batafsil)'!$C$5:$C$301,"Mebel va interyer")</f>
        <v>0</v>
      </c>
      <c r="V31" s="32" t="n">
        <f aca="false">SUMIFS('Hisob (batafsil)'!$J$5:$J$301,'Hisob (batafsil)'!$B$5:$B$301,$A31,'Hisob (batafsil)'!$C$5:$C$301,"E'lon va e'tirof doskalari")</f>
        <v>0</v>
      </c>
      <c r="W31" s="34" t="n">
        <f aca="false">C31+E31+G31+I31+K31+L31+M31+N31+O31+P31+Q31+R31+S31+T31+U31+V31</f>
        <v>109.2</v>
      </c>
    </row>
    <row r="32" customFormat="false" ht="15" hidden="false" customHeight="false" outlineLevel="0" collapsed="false">
      <c r="A32" s="6" t="s">
        <v>81</v>
      </c>
      <c r="B32" s="31" t="n">
        <f aca="false">SUMIFS('Hisob (batafsil)'!$G$5:$G$301,'Hisob (batafsil)'!$B$5:$B$301,$A32,'Hisob (batafsil)'!$C$5:$C$301,"Shisha devor")</f>
        <v>0</v>
      </c>
      <c r="C32" s="32" t="n">
        <f aca="false">SUMIFS('Hisob (batafsil)'!$J$5:$J$301,'Hisob (batafsil)'!$B$5:$B$301,$A32,'Hisob (batafsil)'!$C$5:$C$301,"Shisha devor")</f>
        <v>0</v>
      </c>
      <c r="D32" s="31" t="n">
        <f aca="false">SUMIFS('Hisob (batafsil)'!$G$5:$G$301,'Hisob (batafsil)'!$B$5:$B$301,$A32,'Hisob (batafsil)'!$C$5:$C$301,"Gips karton (GKL)")</f>
        <v>0</v>
      </c>
      <c r="E32" s="32" t="n">
        <f aca="false">SUMIFS('Hisob (batafsil)'!$J$5:$J$301,'Hisob (batafsil)'!$B$5:$B$301,$A32,'Hisob (batafsil)'!$C$5:$C$301,"Gips karton (GKL)")</f>
        <v>0</v>
      </c>
      <c r="F32" s="31" t="n">
        <f aca="false">SUMIFS('Hisob (batafsil)'!$G$5:$G$301,'Hisob (batafsil)'!$B$5:$B$301,$A32,'Hisob (batafsil)'!$C$5:$C$301,"Bambuk panel")</f>
        <v>0</v>
      </c>
      <c r="G32" s="32" t="n">
        <f aca="false">SUMIFS('Hisob (batafsil)'!$J$5:$J$301,'Hisob (batafsil)'!$B$5:$B$301,$A32,'Hisob (batafsil)'!$C$5:$C$301,"Bambuk panel")</f>
        <v>0</v>
      </c>
      <c r="H32" s="33" t="n">
        <f aca="false">SUMIFS('Hisob (batafsil)'!$G$5:$G$301,'Hisob (batafsil)'!$B$5:$B$301,$A32,'Hisob (batafsil)'!$C$5:$C$301,"Interaktiv doska")</f>
        <v>0</v>
      </c>
      <c r="I32" s="32" t="n">
        <f aca="false">SUMIFS('Hisob (batafsil)'!$J$5:$J$301,'Hisob (batafsil)'!$B$5:$B$301,$A32,'Hisob (batafsil)'!$C$5:$C$301,"Interaktiv doska")</f>
        <v>0</v>
      </c>
      <c r="J32" s="31" t="n">
        <f aca="false">SUMIFS('Hisob (batafsil)'!$G$5:$G$301,'Hisob (batafsil)'!$B$5:$B$301,$A32,'Hisob (batafsil)'!$C$5:$C$301,"Perila")</f>
        <v>24</v>
      </c>
      <c r="K32" s="32" t="n">
        <f aca="false">SUMIFS('Hisob (batafsil)'!$J$5:$J$301,'Hisob (batafsil)'!$B$5:$B$301,$A32,'Hisob (batafsil)'!$C$5:$C$301,"Perila")</f>
        <v>2016</v>
      </c>
      <c r="L32" s="32" t="n">
        <f aca="false">SUMIFS('Hisob (batafsil)'!$J$5:$J$301,'Hisob (batafsil)'!$B$5:$B$301,$A32,'Hisob (batafsil)'!$C$5:$C$301,"Yoritish")</f>
        <v>0</v>
      </c>
      <c r="M32" s="32" t="n">
        <f aca="false">SUMIFS('Hisob (batafsil)'!$J$5:$J$301,'Hisob (batafsil)'!$B$5:$B$301,$A32,'Hisob (batafsil)'!$C$5:$C$301,"Kamera tizimi")</f>
        <v>0</v>
      </c>
      <c r="N32" s="32" t="n">
        <f aca="false">SUMIFS('Hisob (batafsil)'!$J$5:$J$301,'Hisob (batafsil)'!$B$5:$B$301,$A32,'Hisob (batafsil)'!$C$5:$C$301,"Logotip")</f>
        <v>0</v>
      </c>
      <c r="O32" s="32" t="n">
        <f aca="false">SUMIFS('Hisob (batafsil)'!$J$5:$J$301,'Hisob (batafsil)'!$B$5:$B$301,$A32,'Hisob (batafsil)'!$C$5:$C$301,"Matli plyonka")</f>
        <v>0</v>
      </c>
      <c r="P32" s="32" t="n">
        <f aca="false">SUMIFS('Hisob (batafsil)'!$J$5:$J$301,'Hisob (batafsil)'!$B$5:$B$301,$A32,'Hisob (batafsil)'!$C$5:$C$301,"Yong'in xavfsizligi")</f>
        <v>0</v>
      </c>
      <c r="Q32" s="32" t="n">
        <f aca="false">SUMIFS('Hisob (batafsil)'!$J$5:$J$301,'Hisob (batafsil)'!$B$5:$B$301,$A32,'Hisob (batafsil)'!$C$5:$C$301,"Buzish ishlari")</f>
        <v>0</v>
      </c>
      <c r="R32" s="32" t="n">
        <f aca="false">SUMIFS('Hisob (batafsil)'!$J$5:$J$301,'Hisob (batafsil)'!$B$5:$B$301,$A32,'Hisob (batafsil)'!$C$5:$C$301,"Santexnika")</f>
        <v>0</v>
      </c>
      <c r="S32" s="32" t="n">
        <f aca="false">SUMIFS('Hisob (batafsil)'!$J$5:$J$301,'Hisob (batafsil)'!$B$5:$B$301,$A32,'Hisob (batafsil)'!$C$5:$C$301,"Kafel")</f>
        <v>0</v>
      </c>
      <c r="T32" s="32" t="n">
        <f aca="false">SUMIFS('Hisob (batafsil)'!$J$5:$J$301,'Hisob (batafsil)'!$B$5:$B$301,$A32,'Hisob (batafsil)'!$C$5:$C$301,"Konditsioner va ventilyatsiya")</f>
        <v>0</v>
      </c>
      <c r="U32" s="32" t="n">
        <f aca="false">SUMIFS('Hisob (batafsil)'!$J$5:$J$301,'Hisob (batafsil)'!$B$5:$B$301,$A32,'Hisob (batafsil)'!$C$5:$C$301,"Mebel va interyer")</f>
        <v>0</v>
      </c>
      <c r="V32" s="32" t="n">
        <f aca="false">SUMIFS('Hisob (batafsil)'!$J$5:$J$301,'Hisob (batafsil)'!$B$5:$B$301,$A32,'Hisob (batafsil)'!$C$5:$C$301,"E'lon va e'tirof doskalari")</f>
        <v>0</v>
      </c>
      <c r="W32" s="34" t="n">
        <f aca="false">C32+E32+G32+I32+K32+L32+M32+N32+O32+P32+Q32+R32+S32+T32+U32+V32</f>
        <v>2016</v>
      </c>
    </row>
    <row r="33" customFormat="false" ht="15" hidden="false" customHeight="false" outlineLevel="0" collapsed="false">
      <c r="A33" s="6" t="s">
        <v>82</v>
      </c>
      <c r="B33" s="31" t="n">
        <f aca="false">SUMIFS('Hisob (batafsil)'!$G$5:$G$301,'Hisob (batafsil)'!$B$5:$B$301,$A33,'Hisob (batafsil)'!$C$5:$C$301,"Shisha devor")</f>
        <v>0</v>
      </c>
      <c r="C33" s="32" t="n">
        <f aca="false">SUMIFS('Hisob (batafsil)'!$J$5:$J$301,'Hisob (batafsil)'!$B$5:$B$301,$A33,'Hisob (batafsil)'!$C$5:$C$301,"Shisha devor")</f>
        <v>0</v>
      </c>
      <c r="D33" s="31" t="n">
        <f aca="false">SUMIFS('Hisob (batafsil)'!$G$5:$G$301,'Hisob (batafsil)'!$B$5:$B$301,$A33,'Hisob (batafsil)'!$C$5:$C$301,"Gips karton (GKL)")</f>
        <v>0</v>
      </c>
      <c r="E33" s="32" t="n">
        <f aca="false">SUMIFS('Hisob (batafsil)'!$J$5:$J$301,'Hisob (batafsil)'!$B$5:$B$301,$A33,'Hisob (batafsil)'!$C$5:$C$301,"Gips karton (GKL)")</f>
        <v>0</v>
      </c>
      <c r="F33" s="31" t="n">
        <f aca="false">SUMIFS('Hisob (batafsil)'!$G$5:$G$301,'Hisob (batafsil)'!$B$5:$B$301,$A33,'Hisob (batafsil)'!$C$5:$C$301,"Bambuk panel")</f>
        <v>0</v>
      </c>
      <c r="G33" s="32" t="n">
        <f aca="false">SUMIFS('Hisob (batafsil)'!$J$5:$J$301,'Hisob (batafsil)'!$B$5:$B$301,$A33,'Hisob (batafsil)'!$C$5:$C$301,"Bambuk panel")</f>
        <v>0</v>
      </c>
      <c r="H33" s="33" t="n">
        <f aca="false">SUMIFS('Hisob (batafsil)'!$G$5:$G$301,'Hisob (batafsil)'!$B$5:$B$301,$A33,'Hisob (batafsil)'!$C$5:$C$301,"Interaktiv doska")</f>
        <v>0</v>
      </c>
      <c r="I33" s="32" t="n">
        <f aca="false">SUMIFS('Hisob (batafsil)'!$J$5:$J$301,'Hisob (batafsil)'!$B$5:$B$301,$A33,'Hisob (batafsil)'!$C$5:$C$301,"Interaktiv doska")</f>
        <v>0</v>
      </c>
      <c r="J33" s="31" t="n">
        <f aca="false">SUMIFS('Hisob (batafsil)'!$G$5:$G$301,'Hisob (batafsil)'!$B$5:$B$301,$A33,'Hisob (batafsil)'!$C$5:$C$301,"Perila")</f>
        <v>0</v>
      </c>
      <c r="K33" s="32" t="n">
        <f aca="false">SUMIFS('Hisob (batafsil)'!$J$5:$J$301,'Hisob (batafsil)'!$B$5:$B$301,$A33,'Hisob (batafsil)'!$C$5:$C$301,"Perila")</f>
        <v>0</v>
      </c>
      <c r="L33" s="32" t="n">
        <f aca="false">SUMIFS('Hisob (batafsil)'!$J$5:$J$301,'Hisob (batafsil)'!$B$5:$B$301,$A33,'Hisob (batafsil)'!$C$5:$C$301,"Yoritish")</f>
        <v>0</v>
      </c>
      <c r="M33" s="32" t="n">
        <f aca="false">SUMIFS('Hisob (batafsil)'!$J$5:$J$301,'Hisob (batafsil)'!$B$5:$B$301,$A33,'Hisob (batafsil)'!$C$5:$C$301,"Kamera tizimi")</f>
        <v>2119</v>
      </c>
      <c r="N33" s="32" t="n">
        <f aca="false">SUMIFS('Hisob (batafsil)'!$J$5:$J$301,'Hisob (batafsil)'!$B$5:$B$301,$A33,'Hisob (batafsil)'!$C$5:$C$301,"Logotip")</f>
        <v>2500</v>
      </c>
      <c r="O33" s="32" t="n">
        <f aca="false">SUMIFS('Hisob (batafsil)'!$J$5:$J$301,'Hisob (batafsil)'!$B$5:$B$301,$A33,'Hisob (batafsil)'!$C$5:$C$301,"Matli plyonka")</f>
        <v>537.81512605042</v>
      </c>
      <c r="P33" s="32" t="n">
        <f aca="false">SUMIFS('Hisob (batafsil)'!$J$5:$J$301,'Hisob (batafsil)'!$B$5:$B$301,$A33,'Hisob (batafsil)'!$C$5:$C$301,"Yong'in xavfsizligi")</f>
        <v>1512.60504201681</v>
      </c>
      <c r="Q33" s="32" t="n">
        <f aca="false">SUMIFS('Hisob (batafsil)'!$J$5:$J$301,'Hisob (batafsil)'!$B$5:$B$301,$A33,'Hisob (batafsil)'!$C$5:$C$301,"Buzish ishlari")</f>
        <v>451.575630252101</v>
      </c>
      <c r="R33" s="32" t="n">
        <f aca="false">SUMIFS('Hisob (batafsil)'!$J$5:$J$301,'Hisob (batafsil)'!$B$5:$B$301,$A33,'Hisob (batafsil)'!$C$5:$C$301,"Santexnika")</f>
        <v>0</v>
      </c>
      <c r="S33" s="32" t="n">
        <f aca="false">SUMIFS('Hisob (batafsil)'!$J$5:$J$301,'Hisob (batafsil)'!$B$5:$B$301,$A33,'Hisob (batafsil)'!$C$5:$C$301,"Kafel")</f>
        <v>0</v>
      </c>
      <c r="T33" s="32" t="n">
        <f aca="false">SUMIFS('Hisob (batafsil)'!$J$5:$J$301,'Hisob (batafsil)'!$B$5:$B$301,$A33,'Hisob (batafsil)'!$C$5:$C$301,"Konditsioner va ventilyatsiya")</f>
        <v>14000</v>
      </c>
      <c r="U33" s="32" t="n">
        <f aca="false">SUMIFS('Hisob (batafsil)'!$J$5:$J$301,'Hisob (batafsil)'!$B$5:$B$301,$A33,'Hisob (batafsil)'!$C$5:$C$301,"Mebel va interyer")</f>
        <v>0</v>
      </c>
      <c r="V33" s="32" t="n">
        <f aca="false">SUMIFS('Hisob (batafsil)'!$J$5:$J$301,'Hisob (batafsil)'!$B$5:$B$301,$A33,'Hisob (batafsil)'!$C$5:$C$301,"E'lon va e'tirof doskalari")</f>
        <v>0</v>
      </c>
      <c r="W33" s="34" t="n">
        <f aca="false">C33+E33+G33+I33+K33+L33+M33+N33+O33+P33+Q33+R33+S33+T33+U33+V33</f>
        <v>21120.9957983193</v>
      </c>
    </row>
    <row r="34" customFormat="false" ht="15" hidden="false" customHeight="false" outlineLevel="0" collapsed="false">
      <c r="A34" s="11" t="s">
        <v>83</v>
      </c>
      <c r="B34" s="35" t="n">
        <f aca="false">SUM(B28:B33)</f>
        <v>0</v>
      </c>
      <c r="C34" s="36" t="n">
        <f aca="false">SUM(C28:C33)</f>
        <v>0</v>
      </c>
      <c r="D34" s="35" t="n">
        <f aca="false">SUM(D28:D33)</f>
        <v>120.825</v>
      </c>
      <c r="E34" s="36" t="n">
        <f aca="false">SUM(E28:E33)</f>
        <v>1449.9</v>
      </c>
      <c r="F34" s="35" t="n">
        <f aca="false">SUM(F28:F33)</f>
        <v>0</v>
      </c>
      <c r="G34" s="36" t="n">
        <f aca="false">SUM(G28:G33)</f>
        <v>0</v>
      </c>
      <c r="H34" s="37" t="n">
        <f aca="false">SUM(H28:H33)</f>
        <v>0</v>
      </c>
      <c r="I34" s="36" t="n">
        <f aca="false">SUM(I28:I33)</f>
        <v>0</v>
      </c>
      <c r="J34" s="35" t="n">
        <f aca="false">SUM(J28:J33)</f>
        <v>24</v>
      </c>
      <c r="K34" s="36" t="n">
        <f aca="false">SUM(K28:K33)</f>
        <v>2016</v>
      </c>
      <c r="L34" s="36" t="n">
        <f aca="false">SUM(L28:L33)</f>
        <v>1008</v>
      </c>
      <c r="M34" s="36" t="n">
        <f aca="false">SUM(M28:M33)</f>
        <v>2119</v>
      </c>
      <c r="N34" s="36" t="n">
        <f aca="false">SUM(N28:N33)</f>
        <v>2500</v>
      </c>
      <c r="O34" s="36" t="n">
        <f aca="false">SUM(O28:O33)</f>
        <v>537.81512605042</v>
      </c>
      <c r="P34" s="36" t="n">
        <f aca="false">SUM(P28:P33)</f>
        <v>1512.60504201681</v>
      </c>
      <c r="Q34" s="36" t="n">
        <f aca="false">SUM(Q28:Q33)</f>
        <v>451.575630252101</v>
      </c>
      <c r="R34" s="36" t="n">
        <f aca="false">SUM(R28:R33)</f>
        <v>0</v>
      </c>
      <c r="S34" s="36" t="n">
        <f aca="false">SUM(S28:S33)</f>
        <v>0</v>
      </c>
      <c r="T34" s="36" t="n">
        <f aca="false">SUM(T28:T33)</f>
        <v>14000</v>
      </c>
      <c r="U34" s="36" t="n">
        <f aca="false">SUM(U28:U33)</f>
        <v>0</v>
      </c>
      <c r="V34" s="36" t="n">
        <f aca="false">SUM(V28:V33)</f>
        <v>740</v>
      </c>
      <c r="W34" s="36" t="n">
        <f aca="false">SUM(W28:W33)</f>
        <v>26334.8957983193</v>
      </c>
    </row>
    <row r="36" customFormat="false" ht="15" hidden="false" customHeight="false" outlineLevel="0" collapsed="false">
      <c r="A36" s="29" t="s">
        <v>33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customFormat="false" ht="15" hidden="false" customHeight="false" outlineLevel="0" collapsed="false">
      <c r="A37" s="6" t="s">
        <v>84</v>
      </c>
      <c r="B37" s="31" t="n">
        <f aca="false">SUMIFS('Hisob (batafsil)'!$G$5:$G$301,'Hisob (batafsil)'!$B$5:$B$301,$A37,'Hisob (batafsil)'!$C$5:$C$301,"Shisha devor")</f>
        <v>0</v>
      </c>
      <c r="C37" s="32" t="n">
        <f aca="false">SUMIFS('Hisob (batafsil)'!$J$5:$J$301,'Hisob (batafsil)'!$B$5:$B$301,$A37,'Hisob (batafsil)'!$C$5:$C$301,"Shisha devor")</f>
        <v>0</v>
      </c>
      <c r="D37" s="31" t="n">
        <f aca="false">SUMIFS('Hisob (batafsil)'!$G$5:$G$301,'Hisob (batafsil)'!$B$5:$B$301,$A37,'Hisob (batafsil)'!$C$5:$C$301,"Gips karton (GKL)")</f>
        <v>0</v>
      </c>
      <c r="E37" s="32" t="n">
        <f aca="false">SUMIFS('Hisob (batafsil)'!$J$5:$J$301,'Hisob (batafsil)'!$B$5:$B$301,$A37,'Hisob (batafsil)'!$C$5:$C$301,"Gips karton (GKL)")</f>
        <v>0</v>
      </c>
      <c r="F37" s="31" t="n">
        <f aca="false">SUMIFS('Hisob (batafsil)'!$G$5:$G$301,'Hisob (batafsil)'!$B$5:$B$301,$A37,'Hisob (batafsil)'!$C$5:$C$301,"Bambuk panel")</f>
        <v>46.86</v>
      </c>
      <c r="G37" s="32" t="n">
        <f aca="false">SUMIFS('Hisob (batafsil)'!$J$5:$J$301,'Hisob (batafsil)'!$B$5:$B$301,$A37,'Hisob (batafsil)'!$C$5:$C$301,"Bambuk panel")</f>
        <v>726.33</v>
      </c>
      <c r="H37" s="33" t="n">
        <f aca="false">SUMIFS('Hisob (batafsil)'!$G$5:$G$301,'Hisob (batafsil)'!$B$5:$B$301,$A37,'Hisob (batafsil)'!$C$5:$C$301,"Interaktiv doska")</f>
        <v>1</v>
      </c>
      <c r="I37" s="32" t="n">
        <f aca="false">SUMIFS('Hisob (batafsil)'!$J$5:$J$301,'Hisob (batafsil)'!$B$5:$B$301,$A37,'Hisob (batafsil)'!$C$5:$C$301,"Interaktiv doska")</f>
        <v>1032</v>
      </c>
      <c r="J37" s="31" t="n">
        <f aca="false">SUMIFS('Hisob (batafsil)'!$G$5:$G$301,'Hisob (batafsil)'!$B$5:$B$301,$A37,'Hisob (batafsil)'!$C$5:$C$301,"Perila")</f>
        <v>0</v>
      </c>
      <c r="K37" s="32" t="n">
        <f aca="false">SUMIFS('Hisob (batafsil)'!$J$5:$J$301,'Hisob (batafsil)'!$B$5:$B$301,$A37,'Hisob (batafsil)'!$C$5:$C$301,"Perila")</f>
        <v>0</v>
      </c>
      <c r="L37" s="32" t="n">
        <f aca="false">SUMIFS('Hisob (batafsil)'!$J$5:$J$301,'Hisob (batafsil)'!$B$5:$B$301,$A37,'Hisob (batafsil)'!$C$5:$C$301,"Yoritish")</f>
        <v>0</v>
      </c>
      <c r="M37" s="32" t="n">
        <f aca="false">SUMIFS('Hisob (batafsil)'!$J$5:$J$301,'Hisob (batafsil)'!$B$5:$B$301,$A37,'Hisob (batafsil)'!$C$5:$C$301,"Kamera tizimi")</f>
        <v>0</v>
      </c>
      <c r="N37" s="32" t="n">
        <f aca="false">SUMIFS('Hisob (batafsil)'!$J$5:$J$301,'Hisob (batafsil)'!$B$5:$B$301,$A37,'Hisob (batafsil)'!$C$5:$C$301,"Logotip")</f>
        <v>0</v>
      </c>
      <c r="O37" s="32" t="n">
        <f aca="false">SUMIFS('Hisob (batafsil)'!$J$5:$J$301,'Hisob (batafsil)'!$B$5:$B$301,$A37,'Hisob (batafsil)'!$C$5:$C$301,"Matli plyonka")</f>
        <v>0</v>
      </c>
      <c r="P37" s="32" t="n">
        <f aca="false">SUMIFS('Hisob (batafsil)'!$J$5:$J$301,'Hisob (batafsil)'!$B$5:$B$301,$A37,'Hisob (batafsil)'!$C$5:$C$301,"Yong'in xavfsizligi")</f>
        <v>0</v>
      </c>
      <c r="Q37" s="32" t="n">
        <f aca="false">SUMIFS('Hisob (batafsil)'!$J$5:$J$301,'Hisob (batafsil)'!$B$5:$B$301,$A37,'Hisob (batafsil)'!$C$5:$C$301,"Buzish ishlari")</f>
        <v>0</v>
      </c>
      <c r="R37" s="32" t="n">
        <f aca="false">SUMIFS('Hisob (batafsil)'!$J$5:$J$301,'Hisob (batafsil)'!$B$5:$B$301,$A37,'Hisob (batafsil)'!$C$5:$C$301,"Santexnika")</f>
        <v>0</v>
      </c>
      <c r="S37" s="32" t="n">
        <f aca="false">SUMIFS('Hisob (batafsil)'!$J$5:$J$301,'Hisob (batafsil)'!$B$5:$B$301,$A37,'Hisob (batafsil)'!$C$5:$C$301,"Kafel")</f>
        <v>0</v>
      </c>
      <c r="T37" s="32" t="n">
        <f aca="false">SUMIFS('Hisob (batafsil)'!$J$5:$J$301,'Hisob (batafsil)'!$B$5:$B$301,$A37,'Hisob (batafsil)'!$C$5:$C$301,"Konditsioner va ventilyatsiya")</f>
        <v>1000</v>
      </c>
      <c r="U37" s="32" t="n">
        <f aca="false">SUMIFS('Hisob (batafsil)'!$J$5:$J$301,'Hisob (batafsil)'!$B$5:$B$301,$A37,'Hisob (batafsil)'!$C$5:$C$301,"Mebel va interyer")</f>
        <v>0</v>
      </c>
      <c r="V37" s="32" t="n">
        <f aca="false">SUMIFS('Hisob (batafsil)'!$J$5:$J$301,'Hisob (batafsil)'!$B$5:$B$301,$A37,'Hisob (batafsil)'!$C$5:$C$301,"E'lon va e'tirof doskalari")</f>
        <v>0</v>
      </c>
      <c r="W37" s="34" t="n">
        <f aca="false">C37+E37+G37+I37+K37+L37+M37+N37+O37+P37+Q37+R37+S37+T37+U37+V37</f>
        <v>2758.33</v>
      </c>
    </row>
    <row r="38" customFormat="false" ht="15" hidden="false" customHeight="false" outlineLevel="0" collapsed="false">
      <c r="A38" s="6" t="s">
        <v>85</v>
      </c>
      <c r="B38" s="31" t="n">
        <f aca="false">SUMIFS('Hisob (batafsil)'!$G$5:$G$301,'Hisob (batafsil)'!$B$5:$B$301,$A38,'Hisob (batafsil)'!$C$5:$C$301,"Shisha devor")</f>
        <v>0</v>
      </c>
      <c r="C38" s="32" t="n">
        <f aca="false">SUMIFS('Hisob (batafsil)'!$J$5:$J$301,'Hisob (batafsil)'!$B$5:$B$301,$A38,'Hisob (batafsil)'!$C$5:$C$301,"Shisha devor")</f>
        <v>0</v>
      </c>
      <c r="D38" s="31" t="n">
        <f aca="false">SUMIFS('Hisob (batafsil)'!$G$5:$G$301,'Hisob (batafsil)'!$B$5:$B$301,$A38,'Hisob (batafsil)'!$C$5:$C$301,"Gips karton (GKL)")</f>
        <v>0</v>
      </c>
      <c r="E38" s="32" t="n">
        <f aca="false">SUMIFS('Hisob (batafsil)'!$J$5:$J$301,'Hisob (batafsil)'!$B$5:$B$301,$A38,'Hisob (batafsil)'!$C$5:$C$301,"Gips karton (GKL)")</f>
        <v>0</v>
      </c>
      <c r="F38" s="31" t="n">
        <f aca="false">SUMIFS('Hisob (batafsil)'!$G$5:$G$301,'Hisob (batafsil)'!$B$5:$B$301,$A38,'Hisob (batafsil)'!$C$5:$C$301,"Bambuk panel")</f>
        <v>0</v>
      </c>
      <c r="G38" s="32" t="n">
        <f aca="false">SUMIFS('Hisob (batafsil)'!$J$5:$J$301,'Hisob (batafsil)'!$B$5:$B$301,$A38,'Hisob (batafsil)'!$C$5:$C$301,"Bambuk panel")</f>
        <v>0</v>
      </c>
      <c r="H38" s="33" t="n">
        <f aca="false">SUMIFS('Hisob (batafsil)'!$G$5:$G$301,'Hisob (batafsil)'!$B$5:$B$301,$A38,'Hisob (batafsil)'!$C$5:$C$301,"Interaktiv doska")</f>
        <v>0</v>
      </c>
      <c r="I38" s="32" t="n">
        <f aca="false">SUMIFS('Hisob (batafsil)'!$J$5:$J$301,'Hisob (batafsil)'!$B$5:$B$301,$A38,'Hisob (batafsil)'!$C$5:$C$301,"Interaktiv doska")</f>
        <v>0</v>
      </c>
      <c r="J38" s="31" t="n">
        <f aca="false">SUMIFS('Hisob (batafsil)'!$G$5:$G$301,'Hisob (batafsil)'!$B$5:$B$301,$A38,'Hisob (batafsil)'!$C$5:$C$301,"Perila")</f>
        <v>0</v>
      </c>
      <c r="K38" s="32" t="n">
        <f aca="false">SUMIFS('Hisob (batafsil)'!$J$5:$J$301,'Hisob (batafsil)'!$B$5:$B$301,$A38,'Hisob (batafsil)'!$C$5:$C$301,"Perila")</f>
        <v>0</v>
      </c>
      <c r="L38" s="32" t="n">
        <f aca="false">SUMIFS('Hisob (batafsil)'!$J$5:$J$301,'Hisob (batafsil)'!$B$5:$B$301,$A38,'Hisob (batafsil)'!$C$5:$C$301,"Yoritish")</f>
        <v>0</v>
      </c>
      <c r="M38" s="32" t="n">
        <f aca="false">SUMIFS('Hisob (batafsil)'!$J$5:$J$301,'Hisob (batafsil)'!$B$5:$B$301,$A38,'Hisob (batafsil)'!$C$5:$C$301,"Kamera tizimi")</f>
        <v>0</v>
      </c>
      <c r="N38" s="32" t="n">
        <f aca="false">SUMIFS('Hisob (batafsil)'!$J$5:$J$301,'Hisob (batafsil)'!$B$5:$B$301,$A38,'Hisob (batafsil)'!$C$5:$C$301,"Logotip")</f>
        <v>0</v>
      </c>
      <c r="O38" s="32" t="n">
        <f aca="false">SUMIFS('Hisob (batafsil)'!$J$5:$J$301,'Hisob (batafsil)'!$B$5:$B$301,$A38,'Hisob (batafsil)'!$C$5:$C$301,"Matli plyonka")</f>
        <v>0</v>
      </c>
      <c r="P38" s="32" t="n">
        <f aca="false">SUMIFS('Hisob (batafsil)'!$J$5:$J$301,'Hisob (batafsil)'!$B$5:$B$301,$A38,'Hisob (batafsil)'!$C$5:$C$301,"Yong'in xavfsizligi")</f>
        <v>0</v>
      </c>
      <c r="Q38" s="32" t="n">
        <f aca="false">SUMIFS('Hisob (batafsil)'!$J$5:$J$301,'Hisob (batafsil)'!$B$5:$B$301,$A38,'Hisob (batafsil)'!$C$5:$C$301,"Buzish ishlari")</f>
        <v>0</v>
      </c>
      <c r="R38" s="32" t="n">
        <f aca="false">SUMIFS('Hisob (batafsil)'!$J$5:$J$301,'Hisob (batafsil)'!$B$5:$B$301,$A38,'Hisob (batafsil)'!$C$5:$C$301,"Santexnika")</f>
        <v>3393.27731092437</v>
      </c>
      <c r="S38" s="32" t="n">
        <f aca="false">SUMIFS('Hisob (batafsil)'!$J$5:$J$301,'Hisob (batafsil)'!$B$5:$B$301,$A38,'Hisob (batafsil)'!$C$5:$C$301,"Kafel")</f>
        <v>1243.6974789916</v>
      </c>
      <c r="T38" s="32" t="n">
        <f aca="false">SUMIFS('Hisob (batafsil)'!$J$5:$J$301,'Hisob (batafsil)'!$B$5:$B$301,$A38,'Hisob (batafsil)'!$C$5:$C$301,"Konditsioner va ventilyatsiya")</f>
        <v>0</v>
      </c>
      <c r="U38" s="32" t="n">
        <f aca="false">SUMIFS('Hisob (batafsil)'!$J$5:$J$301,'Hisob (batafsil)'!$B$5:$B$301,$A38,'Hisob (batafsil)'!$C$5:$C$301,"Mebel va interyer")</f>
        <v>0</v>
      </c>
      <c r="V38" s="32" t="n">
        <f aca="false">SUMIFS('Hisob (batafsil)'!$J$5:$J$301,'Hisob (batafsil)'!$B$5:$B$301,$A38,'Hisob (batafsil)'!$C$5:$C$301,"E'lon va e'tirof doskalari")</f>
        <v>0</v>
      </c>
      <c r="W38" s="34" t="n">
        <f aca="false">C38+E38+G38+I38+K38+L38+M38+N38+O38+P38+Q38+R38+S38+T38+U38+V38</f>
        <v>4636.97478991597</v>
      </c>
    </row>
    <row r="39" customFormat="false" ht="15" hidden="false" customHeight="false" outlineLevel="0" collapsed="false">
      <c r="A39" s="11" t="s">
        <v>86</v>
      </c>
      <c r="B39" s="35" t="n">
        <f aca="false">SUM(B37:B38)</f>
        <v>0</v>
      </c>
      <c r="C39" s="36" t="n">
        <f aca="false">SUM(C37:C38)</f>
        <v>0</v>
      </c>
      <c r="D39" s="35" t="n">
        <f aca="false">SUM(D37:D38)</f>
        <v>0</v>
      </c>
      <c r="E39" s="36" t="n">
        <f aca="false">SUM(E37:E38)</f>
        <v>0</v>
      </c>
      <c r="F39" s="35" t="n">
        <f aca="false">SUM(F37:F38)</f>
        <v>46.86</v>
      </c>
      <c r="G39" s="36" t="n">
        <f aca="false">SUM(G37:G38)</f>
        <v>726.33</v>
      </c>
      <c r="H39" s="37" t="n">
        <f aca="false">SUM(H37:H38)</f>
        <v>1</v>
      </c>
      <c r="I39" s="36" t="n">
        <f aca="false">SUM(I37:I38)</f>
        <v>1032</v>
      </c>
      <c r="J39" s="35" t="n">
        <f aca="false">SUM(J37:J38)</f>
        <v>0</v>
      </c>
      <c r="K39" s="36" t="n">
        <f aca="false">SUM(K37:K38)</f>
        <v>0</v>
      </c>
      <c r="L39" s="36" t="n">
        <f aca="false">SUM(L37:L38)</f>
        <v>0</v>
      </c>
      <c r="M39" s="36" t="n">
        <f aca="false">SUM(M37:M38)</f>
        <v>0</v>
      </c>
      <c r="N39" s="36" t="n">
        <f aca="false">SUM(N37:N38)</f>
        <v>0</v>
      </c>
      <c r="O39" s="36" t="n">
        <f aca="false">SUM(O37:O38)</f>
        <v>0</v>
      </c>
      <c r="P39" s="36" t="n">
        <f aca="false">SUM(P37:P38)</f>
        <v>0</v>
      </c>
      <c r="Q39" s="36" t="n">
        <f aca="false">SUM(Q37:Q38)</f>
        <v>0</v>
      </c>
      <c r="R39" s="36" t="n">
        <f aca="false">SUM(R37:R38)</f>
        <v>3393.27731092437</v>
      </c>
      <c r="S39" s="36" t="n">
        <f aca="false">SUM(S37:S38)</f>
        <v>1243.6974789916</v>
      </c>
      <c r="T39" s="36" t="n">
        <f aca="false">SUM(T37:T38)</f>
        <v>1000</v>
      </c>
      <c r="U39" s="36" t="n">
        <f aca="false">SUM(U37:U38)</f>
        <v>0</v>
      </c>
      <c r="V39" s="36" t="n">
        <f aca="false">SUM(V37:V38)</f>
        <v>0</v>
      </c>
      <c r="W39" s="36" t="n">
        <f aca="false">SUM(W37:W38)</f>
        <v>7395.30478991597</v>
      </c>
    </row>
    <row r="41" customFormat="false" ht="15" hidden="false" customHeight="false" outlineLevel="0" collapsed="false">
      <c r="A41" s="20" t="s">
        <v>24</v>
      </c>
      <c r="B41" s="38" t="n">
        <f aca="false">B7+B17+B25+B34+B39</f>
        <v>90.75</v>
      </c>
      <c r="C41" s="39" t="n">
        <f aca="false">C7+C17+C25+C34+C39</f>
        <v>4991.25</v>
      </c>
      <c r="D41" s="38" t="n">
        <f aca="false">D7+D17+D25+D34+D39</f>
        <v>428.9</v>
      </c>
      <c r="E41" s="39" t="n">
        <f aca="false">E7+E17+E25+E34+E39</f>
        <v>5146.8</v>
      </c>
      <c r="F41" s="38" t="n">
        <f aca="false">F7+F17+F25+F34+F39</f>
        <v>606.72</v>
      </c>
      <c r="G41" s="39" t="n">
        <f aca="false">G7+G17+G25+G34+G39</f>
        <v>9404.16</v>
      </c>
      <c r="H41" s="40" t="n">
        <f aca="false">H7+H17+H25+H34+H39</f>
        <v>8</v>
      </c>
      <c r="I41" s="39" t="n">
        <f aca="false">I7+I17+I25+I34+I39</f>
        <v>8256</v>
      </c>
      <c r="J41" s="38" t="n">
        <f aca="false">J7+J17+J25+J34+J39</f>
        <v>24</v>
      </c>
      <c r="K41" s="39" t="n">
        <f aca="false">K7+K17+K25+K34+K39</f>
        <v>2016</v>
      </c>
      <c r="L41" s="39" t="n">
        <f aca="false">L7+L17+L25+L34+L39</f>
        <v>3024</v>
      </c>
      <c r="M41" s="39" t="n">
        <f aca="false">M7+M17+M25+M34+M39</f>
        <v>2119</v>
      </c>
      <c r="N41" s="39" t="n">
        <f aca="false">N7+N17+N25+N34+N39</f>
        <v>3250</v>
      </c>
      <c r="O41" s="39" t="n">
        <f aca="false">O7+O17+O25+O34+O39</f>
        <v>537.81512605042</v>
      </c>
      <c r="P41" s="39" t="n">
        <f aca="false">P7+P17+P25+P34+P39</f>
        <v>1512.60504201681</v>
      </c>
      <c r="Q41" s="39" t="n">
        <f aca="false">Q7+Q17+Q25+Q34+Q39</f>
        <v>451.575630252101</v>
      </c>
      <c r="R41" s="39" t="n">
        <f aca="false">R7+R17+R25+R34+R39</f>
        <v>3393.27731092437</v>
      </c>
      <c r="S41" s="39" t="n">
        <f aca="false">S7+S17+S25+S34+S39</f>
        <v>1243.6974789916</v>
      </c>
      <c r="T41" s="39" t="n">
        <f aca="false">T7+T17+T25+T34+T39</f>
        <v>15000</v>
      </c>
      <c r="U41" s="39" t="n">
        <f aca="false">U7+U17+U25+U34+U39</f>
        <v>6490</v>
      </c>
      <c r="V41" s="39" t="n">
        <f aca="false">V7+V17+V25+V34+V39</f>
        <v>740</v>
      </c>
      <c r="W41" s="39" t="n">
        <f aca="false">W7+W17+W25+W34+W39</f>
        <v>67576.1805882353</v>
      </c>
    </row>
    <row r="42" customFormat="false" ht="15" hidden="false" customHeight="false" outlineLevel="0" collapsed="false">
      <c r="A42" s="16" t="str">
        <f aca="false">"Kutilmagan xarajatlar ("&amp;TEXT(Narxlar!$C$70,"0%")&amp;" — «Narxlar» varag'idan)"</f>
        <v>Kutilmagan xarajatlar (10% — «Narxlar» varag'idan)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41" t="n">
        <f aca="false">W41*Narxlar!$C$70</f>
        <v>6757.61805882353</v>
      </c>
    </row>
    <row r="43" customFormat="false" ht="15" hidden="false" customHeight="false" outlineLevel="0" collapsed="false">
      <c r="A43" s="20" t="s">
        <v>87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39" t="n">
        <f aca="false">W41+W42</f>
        <v>74333.7986470588</v>
      </c>
    </row>
    <row r="44" customFormat="false" ht="15" hidden="false" customHeight="false" outlineLevel="0" collapsed="false">
      <c r="A44" s="20" t="s">
        <v>88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2" t="n">
        <f aca="false">W43*Narxlar!$C$19</f>
        <v>884572203.9</v>
      </c>
    </row>
    <row r="46" customFormat="false" ht="15" hidden="false" customHeight="false" outlineLevel="0" collapsed="false">
      <c r="A46" s="2" t="s">
        <v>89</v>
      </c>
      <c r="W46" s="27" t="n">
        <f aca="false">W41-'Hisob (batafsil)'!J302</f>
        <v>0</v>
      </c>
    </row>
  </sheetData>
  <mergeCells count="3">
    <mergeCell ref="A42:V42"/>
    <mergeCell ref="A43:V43"/>
    <mergeCell ref="A44:V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4" t="s">
        <v>3</v>
      </c>
      <c r="B4" s="4" t="s">
        <v>92</v>
      </c>
      <c r="C4" s="4" t="s">
        <v>93</v>
      </c>
      <c r="D4" s="4" t="s">
        <v>94</v>
      </c>
      <c r="E4" s="4" t="s">
        <v>95</v>
      </c>
    </row>
    <row r="5" customFormat="false" ht="15" hidden="false" customHeight="false" outlineLevel="0" collapsed="false">
      <c r="A5" s="5" t="n">
        <v>1</v>
      </c>
      <c r="B5" s="6" t="s">
        <v>8</v>
      </c>
      <c r="C5" s="42" t="n">
        <v>55</v>
      </c>
      <c r="D5" s="6" t="s">
        <v>96</v>
      </c>
      <c r="E5" s="6" t="s">
        <v>97</v>
      </c>
    </row>
    <row r="6" customFormat="false" ht="15" hidden="false" customHeight="false" outlineLevel="0" collapsed="false">
      <c r="A6" s="5" t="n">
        <v>2</v>
      </c>
      <c r="B6" s="6" t="s">
        <v>98</v>
      </c>
      <c r="C6" s="42" t="n">
        <v>12</v>
      </c>
      <c r="D6" s="6" t="s">
        <v>96</v>
      </c>
      <c r="E6" s="6" t="s">
        <v>99</v>
      </c>
    </row>
    <row r="7" customFormat="false" ht="15" hidden="false" customHeight="false" outlineLevel="0" collapsed="false">
      <c r="A7" s="5" t="n">
        <v>3</v>
      </c>
      <c r="B7" s="6" t="s">
        <v>10</v>
      </c>
      <c r="C7" s="42" t="n">
        <v>15.5</v>
      </c>
      <c r="D7" s="6" t="s">
        <v>96</v>
      </c>
      <c r="E7" s="6" t="s">
        <v>97</v>
      </c>
    </row>
    <row r="8" customFormat="false" ht="15" hidden="false" customHeight="false" outlineLevel="0" collapsed="false">
      <c r="A8" s="5" t="n">
        <v>4</v>
      </c>
      <c r="B8" s="6" t="s">
        <v>11</v>
      </c>
      <c r="C8" s="42" t="n">
        <v>1032</v>
      </c>
      <c r="D8" s="6" t="s">
        <v>100</v>
      </c>
      <c r="E8" s="6" t="s">
        <v>101</v>
      </c>
    </row>
    <row r="9" customFormat="false" ht="15" hidden="false" customHeight="false" outlineLevel="0" collapsed="false">
      <c r="A9" s="5" t="n">
        <v>5</v>
      </c>
      <c r="B9" s="6" t="s">
        <v>12</v>
      </c>
      <c r="C9" s="42" t="n">
        <v>84</v>
      </c>
      <c r="D9" s="6" t="s">
        <v>102</v>
      </c>
      <c r="E9" s="6" t="s">
        <v>97</v>
      </c>
    </row>
    <row r="10" customFormat="false" ht="15" hidden="false" customHeight="false" outlineLevel="0" collapsed="false">
      <c r="A10" s="5" t="n">
        <v>6</v>
      </c>
      <c r="B10" s="6" t="s">
        <v>103</v>
      </c>
      <c r="C10" s="43" t="n">
        <v>24</v>
      </c>
      <c r="D10" s="6" t="s">
        <v>104</v>
      </c>
      <c r="E10" s="6" t="s">
        <v>97</v>
      </c>
    </row>
    <row r="11" customFormat="false" ht="15" hidden="false" customHeight="false" outlineLevel="0" collapsed="false">
      <c r="A11" s="5" t="n">
        <v>7</v>
      </c>
      <c r="B11" s="6" t="s">
        <v>105</v>
      </c>
      <c r="C11" s="42" t="n">
        <v>336</v>
      </c>
      <c r="D11" s="6" t="s">
        <v>106</v>
      </c>
      <c r="E11" s="6" t="s">
        <v>107</v>
      </c>
    </row>
    <row r="12" customFormat="false" ht="15" hidden="false" customHeight="false" outlineLevel="0" collapsed="false">
      <c r="A12" s="5" t="n">
        <v>8</v>
      </c>
      <c r="B12" s="6" t="s">
        <v>108</v>
      </c>
      <c r="C12" s="42" t="n">
        <v>168</v>
      </c>
      <c r="D12" s="6" t="s">
        <v>109</v>
      </c>
      <c r="E12" s="6" t="s">
        <v>110</v>
      </c>
    </row>
    <row r="13" customFormat="false" ht="15" hidden="false" customHeight="false" outlineLevel="0" collapsed="false">
      <c r="A13" s="5" t="n">
        <v>9</v>
      </c>
      <c r="B13" s="6" t="s">
        <v>111</v>
      </c>
      <c r="C13" s="42" t="n">
        <v>40</v>
      </c>
      <c r="D13" s="6" t="s">
        <v>100</v>
      </c>
      <c r="E13" s="6" t="s">
        <v>97</v>
      </c>
    </row>
    <row r="14" customFormat="false" ht="15" hidden="false" customHeight="false" outlineLevel="0" collapsed="false">
      <c r="A14" s="5" t="n">
        <v>10</v>
      </c>
      <c r="B14" s="6" t="s">
        <v>112</v>
      </c>
      <c r="C14" s="44" t="n">
        <v>16</v>
      </c>
      <c r="D14" s="6" t="s">
        <v>113</v>
      </c>
      <c r="E14" s="6" t="s">
        <v>97</v>
      </c>
    </row>
    <row r="15" customFormat="false" ht="15" hidden="false" customHeight="false" outlineLevel="0" collapsed="false">
      <c r="A15" s="5" t="n">
        <v>11</v>
      </c>
      <c r="B15" s="6" t="s">
        <v>114</v>
      </c>
      <c r="C15" s="42" t="n">
        <v>21</v>
      </c>
      <c r="D15" s="6" t="s">
        <v>100</v>
      </c>
      <c r="E15" s="6" t="s">
        <v>97</v>
      </c>
    </row>
    <row r="16" customFormat="false" ht="15" hidden="false" customHeight="false" outlineLevel="0" collapsed="false">
      <c r="A16" s="5" t="n">
        <v>12</v>
      </c>
      <c r="B16" s="6" t="s">
        <v>115</v>
      </c>
      <c r="C16" s="42" t="n">
        <v>840</v>
      </c>
      <c r="D16" s="6" t="s">
        <v>100</v>
      </c>
      <c r="E16" s="6" t="s">
        <v>97</v>
      </c>
    </row>
    <row r="17" customFormat="false" ht="15" hidden="false" customHeight="false" outlineLevel="0" collapsed="false">
      <c r="A17" s="5" t="n">
        <v>13</v>
      </c>
      <c r="B17" s="6" t="s">
        <v>116</v>
      </c>
      <c r="C17" s="42" t="n">
        <v>303</v>
      </c>
      <c r="D17" s="6" t="s">
        <v>117</v>
      </c>
      <c r="E17" s="6" t="s">
        <v>118</v>
      </c>
    </row>
    <row r="18" customFormat="false" ht="15" hidden="false" customHeight="false" outlineLevel="0" collapsed="false">
      <c r="A18" s="5" t="n">
        <v>14</v>
      </c>
      <c r="B18" s="6" t="s">
        <v>119</v>
      </c>
      <c r="C18" s="42" t="n">
        <v>2500</v>
      </c>
      <c r="D18" s="6" t="s">
        <v>117</v>
      </c>
      <c r="E18" s="6" t="s">
        <v>120</v>
      </c>
    </row>
    <row r="19" customFormat="false" ht="15" hidden="false" customHeight="false" outlineLevel="0" collapsed="false">
      <c r="A19" s="5" t="n">
        <v>15</v>
      </c>
      <c r="B19" s="6" t="s">
        <v>121</v>
      </c>
      <c r="C19" s="45" t="n">
        <v>11900</v>
      </c>
      <c r="D19" s="6" t="s">
        <v>122</v>
      </c>
      <c r="E19" s="6" t="s">
        <v>123</v>
      </c>
    </row>
    <row r="20" customFormat="false" ht="15" hidden="false" customHeight="false" outlineLevel="0" collapsed="false">
      <c r="A20" s="5" t="n">
        <v>16</v>
      </c>
      <c r="B20" s="6" t="s">
        <v>124</v>
      </c>
      <c r="C20" s="45" t="n">
        <v>800000</v>
      </c>
      <c r="D20" s="6" t="s">
        <v>125</v>
      </c>
      <c r="E20" s="6" t="s">
        <v>97</v>
      </c>
    </row>
    <row r="21" customFormat="false" ht="15" hidden="false" customHeight="false" outlineLevel="0" collapsed="false">
      <c r="A21" s="5" t="n">
        <v>17</v>
      </c>
      <c r="B21" s="6" t="s">
        <v>126</v>
      </c>
      <c r="C21" s="44" t="n">
        <v>8</v>
      </c>
      <c r="D21" s="6" t="s">
        <v>113</v>
      </c>
      <c r="E21" s="6" t="s">
        <v>97</v>
      </c>
    </row>
    <row r="22" customFormat="false" ht="15" hidden="false" customHeight="false" outlineLevel="0" collapsed="false">
      <c r="A22" s="5" t="n">
        <v>18</v>
      </c>
      <c r="B22" s="6" t="s">
        <v>127</v>
      </c>
      <c r="C22" s="45" t="n">
        <v>18000000</v>
      </c>
      <c r="D22" s="6" t="s">
        <v>128</v>
      </c>
      <c r="E22" s="6" t="s">
        <v>118</v>
      </c>
    </row>
    <row r="23" customFormat="false" ht="15" hidden="false" customHeight="false" outlineLevel="0" collapsed="false">
      <c r="A23" s="5" t="n">
        <v>19</v>
      </c>
      <c r="B23" s="6" t="s">
        <v>129</v>
      </c>
      <c r="C23" s="45" t="n">
        <v>50000</v>
      </c>
      <c r="D23" s="6" t="s">
        <v>130</v>
      </c>
      <c r="E23" s="6" t="s">
        <v>97</v>
      </c>
    </row>
    <row r="24" customFormat="false" ht="15" hidden="false" customHeight="false" outlineLevel="0" collapsed="false">
      <c r="A24" s="5" t="n">
        <v>20</v>
      </c>
      <c r="B24" s="6" t="s">
        <v>131</v>
      </c>
      <c r="C24" s="45" t="n">
        <v>1200000</v>
      </c>
      <c r="D24" s="6" t="s">
        <v>128</v>
      </c>
      <c r="E24" s="6" t="s">
        <v>118</v>
      </c>
    </row>
    <row r="25" customFormat="false" ht="15" hidden="false" customHeight="false" outlineLevel="0" collapsed="false">
      <c r="A25" s="5" t="n">
        <v>21</v>
      </c>
      <c r="B25" s="6" t="s">
        <v>132</v>
      </c>
      <c r="C25" s="45" t="n">
        <v>700000</v>
      </c>
      <c r="D25" s="6" t="s">
        <v>125</v>
      </c>
      <c r="E25" s="6" t="s">
        <v>97</v>
      </c>
    </row>
    <row r="26" customFormat="false" ht="15" hidden="false" customHeight="false" outlineLevel="0" collapsed="false">
      <c r="A26" s="5" t="n">
        <v>22</v>
      </c>
      <c r="B26" s="6" t="s">
        <v>133</v>
      </c>
      <c r="C26" s="44" t="n">
        <v>4</v>
      </c>
      <c r="D26" s="6" t="s">
        <v>113</v>
      </c>
      <c r="E26" s="6" t="s">
        <v>134</v>
      </c>
    </row>
    <row r="27" customFormat="false" ht="15" hidden="false" customHeight="false" outlineLevel="0" collapsed="false">
      <c r="A27" s="5" t="n">
        <v>23</v>
      </c>
      <c r="B27" s="6" t="s">
        <v>135</v>
      </c>
      <c r="C27" s="45" t="n">
        <v>1200000</v>
      </c>
      <c r="D27" s="6" t="s">
        <v>125</v>
      </c>
      <c r="E27" s="6" t="s">
        <v>97</v>
      </c>
    </row>
    <row r="28" customFormat="false" ht="15" hidden="false" customHeight="false" outlineLevel="0" collapsed="false">
      <c r="A28" s="5" t="n">
        <v>24</v>
      </c>
      <c r="B28" s="6" t="s">
        <v>136</v>
      </c>
      <c r="C28" s="44" t="n">
        <v>3</v>
      </c>
      <c r="D28" s="6" t="s">
        <v>113</v>
      </c>
      <c r="E28" s="6" t="s">
        <v>137</v>
      </c>
    </row>
    <row r="29" customFormat="false" ht="15" hidden="false" customHeight="false" outlineLevel="0" collapsed="false">
      <c r="A29" s="5" t="n">
        <v>25</v>
      </c>
      <c r="B29" s="6" t="s">
        <v>138</v>
      </c>
      <c r="C29" s="45" t="n">
        <v>650000</v>
      </c>
      <c r="D29" s="6" t="s">
        <v>125</v>
      </c>
      <c r="E29" s="6" t="s">
        <v>97</v>
      </c>
    </row>
    <row r="30" customFormat="false" ht="15" hidden="false" customHeight="false" outlineLevel="0" collapsed="false">
      <c r="A30" s="5" t="n">
        <v>26</v>
      </c>
      <c r="B30" s="6" t="s">
        <v>139</v>
      </c>
      <c r="C30" s="44" t="n">
        <v>4</v>
      </c>
      <c r="D30" s="6" t="s">
        <v>113</v>
      </c>
      <c r="E30" s="6" t="s">
        <v>140</v>
      </c>
    </row>
    <row r="31" customFormat="false" ht="15" hidden="false" customHeight="false" outlineLevel="0" collapsed="false">
      <c r="A31" s="5" t="n">
        <v>27</v>
      </c>
      <c r="B31" s="6" t="s">
        <v>141</v>
      </c>
      <c r="C31" s="45" t="n">
        <v>200000</v>
      </c>
      <c r="D31" s="6" t="s">
        <v>125</v>
      </c>
      <c r="E31" s="6" t="s">
        <v>97</v>
      </c>
    </row>
    <row r="32" customFormat="false" ht="15" hidden="false" customHeight="false" outlineLevel="0" collapsed="false">
      <c r="A32" s="5" t="n">
        <v>28</v>
      </c>
      <c r="B32" s="6" t="s">
        <v>142</v>
      </c>
      <c r="C32" s="44" t="n">
        <v>7</v>
      </c>
      <c r="D32" s="6" t="s">
        <v>113</v>
      </c>
      <c r="E32" s="6" t="s">
        <v>143</v>
      </c>
    </row>
    <row r="33" customFormat="false" ht="15" hidden="false" customHeight="false" outlineLevel="0" collapsed="false">
      <c r="A33" s="5" t="n">
        <v>29</v>
      </c>
      <c r="B33" s="6" t="s">
        <v>144</v>
      </c>
      <c r="C33" s="45" t="n">
        <v>400000</v>
      </c>
      <c r="D33" s="6" t="s">
        <v>125</v>
      </c>
      <c r="E33" s="6" t="s">
        <v>97</v>
      </c>
    </row>
    <row r="34" customFormat="false" ht="15" hidden="false" customHeight="false" outlineLevel="0" collapsed="false">
      <c r="A34" s="5" t="n">
        <v>30</v>
      </c>
      <c r="B34" s="6" t="s">
        <v>145</v>
      </c>
      <c r="C34" s="44" t="n">
        <v>4</v>
      </c>
      <c r="D34" s="6" t="s">
        <v>113</v>
      </c>
      <c r="E34" s="6" t="s">
        <v>146</v>
      </c>
    </row>
    <row r="35" customFormat="false" ht="15" hidden="false" customHeight="false" outlineLevel="0" collapsed="false">
      <c r="A35" s="5" t="n">
        <v>31</v>
      </c>
      <c r="B35" s="6" t="s">
        <v>147</v>
      </c>
      <c r="C35" s="45" t="n">
        <v>400000</v>
      </c>
      <c r="D35" s="6" t="s">
        <v>125</v>
      </c>
      <c r="E35" s="6" t="s">
        <v>97</v>
      </c>
    </row>
    <row r="36" customFormat="false" ht="15" hidden="false" customHeight="false" outlineLevel="0" collapsed="false">
      <c r="A36" s="5" t="n">
        <v>32</v>
      </c>
      <c r="B36" s="6" t="s">
        <v>148</v>
      </c>
      <c r="C36" s="44" t="n">
        <v>4</v>
      </c>
      <c r="D36" s="6" t="s">
        <v>113</v>
      </c>
      <c r="E36" s="6" t="s">
        <v>149</v>
      </c>
    </row>
    <row r="37" customFormat="false" ht="15" hidden="false" customHeight="false" outlineLevel="0" collapsed="false">
      <c r="A37" s="5" t="n">
        <v>33</v>
      </c>
      <c r="B37" s="6" t="s">
        <v>150</v>
      </c>
      <c r="C37" s="45" t="n">
        <v>1000000</v>
      </c>
      <c r="D37" s="6" t="s">
        <v>151</v>
      </c>
      <c r="E37" s="6" t="s">
        <v>97</v>
      </c>
    </row>
    <row r="38" customFormat="false" ht="15" hidden="false" customHeight="false" outlineLevel="0" collapsed="false">
      <c r="A38" s="5" t="n">
        <v>34</v>
      </c>
      <c r="B38" s="6" t="s">
        <v>152</v>
      </c>
      <c r="C38" s="44" t="n">
        <v>16</v>
      </c>
      <c r="D38" s="6" t="s">
        <v>153</v>
      </c>
      <c r="E38" s="6" t="s">
        <v>97</v>
      </c>
    </row>
    <row r="39" customFormat="false" ht="15" hidden="false" customHeight="false" outlineLevel="0" collapsed="false">
      <c r="A39" s="5" t="n">
        <v>35</v>
      </c>
      <c r="B39" s="6" t="s">
        <v>154</v>
      </c>
      <c r="C39" s="45" t="n">
        <v>100000</v>
      </c>
      <c r="D39" s="6" t="s">
        <v>130</v>
      </c>
      <c r="E39" s="6" t="s">
        <v>97</v>
      </c>
    </row>
    <row r="40" customFormat="false" ht="15" hidden="false" customHeight="false" outlineLevel="0" collapsed="false">
      <c r="A40" s="5" t="n">
        <v>36</v>
      </c>
      <c r="B40" s="6" t="s">
        <v>155</v>
      </c>
      <c r="C40" s="45" t="n">
        <v>100000</v>
      </c>
      <c r="D40" s="6" t="s">
        <v>130</v>
      </c>
      <c r="E40" s="6" t="s">
        <v>97</v>
      </c>
    </row>
    <row r="41" customFormat="false" ht="15" hidden="false" customHeight="false" outlineLevel="0" collapsed="false">
      <c r="A41" s="5" t="n">
        <v>37</v>
      </c>
      <c r="B41" s="6" t="s">
        <v>156</v>
      </c>
      <c r="C41" s="43" t="n">
        <v>58</v>
      </c>
      <c r="D41" s="6" t="s">
        <v>157</v>
      </c>
      <c r="E41" s="6" t="s">
        <v>97</v>
      </c>
    </row>
    <row r="42" customFormat="false" ht="15" hidden="false" customHeight="false" outlineLevel="0" collapsed="false">
      <c r="A42" s="5" t="n">
        <v>38</v>
      </c>
      <c r="B42" s="6" t="s">
        <v>158</v>
      </c>
      <c r="C42" s="43" t="n">
        <v>16</v>
      </c>
      <c r="D42" s="6" t="s">
        <v>157</v>
      </c>
      <c r="E42" s="6" t="s">
        <v>97</v>
      </c>
    </row>
    <row r="43" customFormat="false" ht="15" hidden="false" customHeight="false" outlineLevel="0" collapsed="false">
      <c r="A43" s="5" t="n">
        <v>39</v>
      </c>
      <c r="B43" s="6" t="s">
        <v>159</v>
      </c>
      <c r="C43" s="45" t="n">
        <v>1200000</v>
      </c>
      <c r="D43" s="6" t="s">
        <v>125</v>
      </c>
      <c r="E43" s="6" t="s">
        <v>97</v>
      </c>
    </row>
    <row r="44" customFormat="false" ht="15" hidden="false" customHeight="false" outlineLevel="0" collapsed="false">
      <c r="A44" s="5" t="n">
        <v>40</v>
      </c>
      <c r="B44" s="6" t="s">
        <v>160</v>
      </c>
      <c r="C44" s="44" t="n">
        <v>4</v>
      </c>
      <c r="D44" s="6" t="s">
        <v>113</v>
      </c>
      <c r="E44" s="6" t="s">
        <v>161</v>
      </c>
    </row>
    <row r="45" customFormat="false" ht="15" hidden="false" customHeight="false" outlineLevel="0" collapsed="false">
      <c r="A45" s="5" t="n">
        <v>41</v>
      </c>
      <c r="B45" s="6" t="s">
        <v>162</v>
      </c>
      <c r="C45" s="45" t="n">
        <v>25000</v>
      </c>
      <c r="D45" s="6" t="s">
        <v>163</v>
      </c>
      <c r="E45" s="6" t="s">
        <v>97</v>
      </c>
    </row>
    <row r="46" customFormat="false" ht="15" hidden="false" customHeight="false" outlineLevel="0" collapsed="false">
      <c r="A46" s="5" t="n">
        <v>42</v>
      </c>
      <c r="B46" s="6" t="s">
        <v>164</v>
      </c>
      <c r="C46" s="43" t="n">
        <v>40</v>
      </c>
      <c r="D46" s="6" t="s">
        <v>104</v>
      </c>
      <c r="E46" s="6" t="s">
        <v>97</v>
      </c>
    </row>
    <row r="47" customFormat="false" ht="15" hidden="false" customHeight="false" outlineLevel="0" collapsed="false">
      <c r="A47" s="5" t="n">
        <v>43</v>
      </c>
      <c r="B47" s="6" t="s">
        <v>165</v>
      </c>
      <c r="C47" s="45" t="n">
        <v>12000</v>
      </c>
      <c r="D47" s="6" t="s">
        <v>163</v>
      </c>
      <c r="E47" s="6" t="s">
        <v>166</v>
      </c>
    </row>
    <row r="48" customFormat="false" ht="15" hidden="false" customHeight="false" outlineLevel="0" collapsed="false">
      <c r="A48" s="5" t="n">
        <v>44</v>
      </c>
      <c r="B48" s="6" t="s">
        <v>167</v>
      </c>
      <c r="C48" s="43" t="n">
        <v>40</v>
      </c>
      <c r="D48" s="6" t="s">
        <v>104</v>
      </c>
      <c r="E48" s="6" t="s">
        <v>97</v>
      </c>
    </row>
    <row r="49" customFormat="false" ht="15" hidden="false" customHeight="false" outlineLevel="0" collapsed="false">
      <c r="A49" s="5" t="n">
        <v>45</v>
      </c>
      <c r="B49" s="6" t="s">
        <v>168</v>
      </c>
      <c r="C49" s="45" t="n">
        <v>5000</v>
      </c>
      <c r="D49" s="6" t="s">
        <v>125</v>
      </c>
      <c r="E49" s="6" t="s">
        <v>97</v>
      </c>
    </row>
    <row r="50" customFormat="false" ht="15" hidden="false" customHeight="false" outlineLevel="0" collapsed="false">
      <c r="A50" s="5" t="n">
        <v>46</v>
      </c>
      <c r="B50" s="6" t="s">
        <v>169</v>
      </c>
      <c r="C50" s="44" t="n">
        <v>100</v>
      </c>
      <c r="D50" s="6" t="s">
        <v>113</v>
      </c>
      <c r="E50" s="6" t="s">
        <v>170</v>
      </c>
    </row>
    <row r="51" customFormat="false" ht="15" hidden="false" customHeight="false" outlineLevel="0" collapsed="false">
      <c r="A51" s="5" t="n">
        <v>47</v>
      </c>
      <c r="B51" s="6" t="s">
        <v>171</v>
      </c>
      <c r="C51" s="45" t="n">
        <v>4000000</v>
      </c>
      <c r="D51" s="6" t="s">
        <v>128</v>
      </c>
      <c r="E51" s="6" t="s">
        <v>118</v>
      </c>
    </row>
    <row r="52" customFormat="false" ht="15" hidden="false" customHeight="false" outlineLevel="0" collapsed="false">
      <c r="A52" s="5" t="n">
        <v>48</v>
      </c>
      <c r="B52" s="6" t="s">
        <v>172</v>
      </c>
      <c r="C52" s="42" t="n">
        <v>7000</v>
      </c>
      <c r="D52" s="6" t="s">
        <v>117</v>
      </c>
      <c r="E52" s="6" t="s">
        <v>173</v>
      </c>
    </row>
    <row r="53" customFormat="false" ht="15" hidden="false" customHeight="false" outlineLevel="0" collapsed="false">
      <c r="A53" s="5" t="n">
        <v>49</v>
      </c>
      <c r="B53" s="6" t="s">
        <v>174</v>
      </c>
      <c r="C53" s="42" t="n">
        <v>7000</v>
      </c>
      <c r="D53" s="6" t="s">
        <v>117</v>
      </c>
      <c r="E53" s="6" t="s">
        <v>118</v>
      </c>
    </row>
    <row r="54" customFormat="false" ht="15" hidden="false" customHeight="false" outlineLevel="0" collapsed="false">
      <c r="A54" s="5" t="n">
        <v>50</v>
      </c>
      <c r="B54" s="6" t="s">
        <v>175</v>
      </c>
      <c r="C54" s="42" t="n">
        <v>1000</v>
      </c>
      <c r="D54" s="6" t="s">
        <v>100</v>
      </c>
      <c r="E54" s="6" t="s">
        <v>97</v>
      </c>
    </row>
    <row r="55" customFormat="false" ht="15" hidden="false" customHeight="false" outlineLevel="0" collapsed="false">
      <c r="A55" s="5" t="n">
        <v>51</v>
      </c>
      <c r="B55" s="6" t="s">
        <v>176</v>
      </c>
      <c r="C55" s="46" t="n">
        <v>220</v>
      </c>
      <c r="D55" s="6" t="s">
        <v>100</v>
      </c>
      <c r="E55" s="6" t="s">
        <v>177</v>
      </c>
    </row>
    <row r="56" customFormat="false" ht="15" hidden="false" customHeight="false" outlineLevel="0" collapsed="false">
      <c r="A56" s="5" t="n">
        <v>52</v>
      </c>
      <c r="B56" s="6" t="s">
        <v>178</v>
      </c>
      <c r="C56" s="46" t="n">
        <v>130</v>
      </c>
      <c r="D56" s="6" t="s">
        <v>100</v>
      </c>
      <c r="E56" s="6" t="s">
        <v>179</v>
      </c>
    </row>
    <row r="57" customFormat="false" ht="15" hidden="false" customHeight="false" outlineLevel="0" collapsed="false">
      <c r="A57" s="5" t="n">
        <v>53</v>
      </c>
      <c r="B57" s="6" t="s">
        <v>180</v>
      </c>
      <c r="C57" s="46" t="n">
        <v>60</v>
      </c>
      <c r="D57" s="6" t="s">
        <v>100</v>
      </c>
      <c r="E57" s="6" t="s">
        <v>179</v>
      </c>
    </row>
    <row r="58" customFormat="false" ht="15" hidden="false" customHeight="false" outlineLevel="0" collapsed="false">
      <c r="A58" s="5" t="n">
        <v>54</v>
      </c>
      <c r="B58" s="6" t="s">
        <v>181</v>
      </c>
      <c r="C58" s="46" t="n">
        <v>450</v>
      </c>
      <c r="D58" s="6" t="s">
        <v>100</v>
      </c>
      <c r="E58" s="6" t="s">
        <v>179</v>
      </c>
    </row>
    <row r="59" customFormat="false" ht="15" hidden="false" customHeight="false" outlineLevel="0" collapsed="false">
      <c r="A59" s="5" t="n">
        <v>55</v>
      </c>
      <c r="B59" s="6" t="s">
        <v>182</v>
      </c>
      <c r="C59" s="46" t="n">
        <v>350</v>
      </c>
      <c r="D59" s="6" t="s">
        <v>100</v>
      </c>
      <c r="E59" s="6" t="s">
        <v>179</v>
      </c>
    </row>
    <row r="60" customFormat="false" ht="15" hidden="false" customHeight="false" outlineLevel="0" collapsed="false">
      <c r="A60" s="5" t="n">
        <v>56</v>
      </c>
      <c r="B60" s="6" t="s">
        <v>183</v>
      </c>
      <c r="C60" s="46" t="n">
        <v>100</v>
      </c>
      <c r="D60" s="6" t="s">
        <v>100</v>
      </c>
      <c r="E60" s="6" t="s">
        <v>179</v>
      </c>
    </row>
    <row r="61" customFormat="false" ht="15" hidden="false" customHeight="false" outlineLevel="0" collapsed="false">
      <c r="A61" s="5" t="n">
        <v>57</v>
      </c>
      <c r="B61" s="6" t="s">
        <v>184</v>
      </c>
      <c r="C61" s="46" t="n">
        <v>600</v>
      </c>
      <c r="D61" s="6" t="s">
        <v>117</v>
      </c>
      <c r="E61" s="6" t="s">
        <v>179</v>
      </c>
    </row>
    <row r="62" customFormat="false" ht="15" hidden="false" customHeight="false" outlineLevel="0" collapsed="false">
      <c r="A62" s="5" t="n">
        <v>58</v>
      </c>
      <c r="B62" s="6" t="s">
        <v>185</v>
      </c>
      <c r="C62" s="46" t="n">
        <v>300</v>
      </c>
      <c r="D62" s="6" t="s">
        <v>117</v>
      </c>
      <c r="E62" s="6" t="s">
        <v>179</v>
      </c>
    </row>
    <row r="63" customFormat="false" ht="15" hidden="false" customHeight="false" outlineLevel="0" collapsed="false">
      <c r="A63" s="5" t="n">
        <v>59</v>
      </c>
      <c r="B63" s="6" t="s">
        <v>186</v>
      </c>
      <c r="C63" s="46" t="n">
        <v>120</v>
      </c>
      <c r="D63" s="6" t="s">
        <v>100</v>
      </c>
      <c r="E63" s="6" t="s">
        <v>179</v>
      </c>
    </row>
    <row r="64" customFormat="false" ht="15" hidden="false" customHeight="false" outlineLevel="0" collapsed="false">
      <c r="A64" s="5" t="n">
        <v>60</v>
      </c>
      <c r="B64" s="6" t="s">
        <v>187</v>
      </c>
      <c r="C64" s="46" t="n">
        <v>250</v>
      </c>
      <c r="D64" s="6" t="s">
        <v>100</v>
      </c>
      <c r="E64" s="6" t="s">
        <v>179</v>
      </c>
    </row>
    <row r="65" customFormat="false" ht="15" hidden="false" customHeight="false" outlineLevel="0" collapsed="false">
      <c r="A65" s="5" t="n">
        <v>61</v>
      </c>
      <c r="B65" s="6" t="s">
        <v>188</v>
      </c>
      <c r="C65" s="46" t="n">
        <v>1500</v>
      </c>
      <c r="D65" s="6" t="s">
        <v>100</v>
      </c>
      <c r="E65" s="6" t="s">
        <v>189</v>
      </c>
    </row>
    <row r="66" customFormat="false" ht="15" hidden="false" customHeight="false" outlineLevel="0" collapsed="false">
      <c r="A66" s="5" t="n">
        <v>62</v>
      </c>
      <c r="B66" s="6" t="s">
        <v>190</v>
      </c>
      <c r="C66" s="46" t="n">
        <v>500</v>
      </c>
      <c r="D66" s="6" t="s">
        <v>117</v>
      </c>
      <c r="E66" s="6" t="s">
        <v>179</v>
      </c>
    </row>
    <row r="67" customFormat="false" ht="15" hidden="false" customHeight="false" outlineLevel="0" collapsed="false">
      <c r="A67" s="5" t="n">
        <v>63</v>
      </c>
      <c r="B67" s="6" t="s">
        <v>191</v>
      </c>
      <c r="C67" s="46" t="n">
        <v>500</v>
      </c>
      <c r="D67" s="6" t="s">
        <v>100</v>
      </c>
      <c r="E67" s="6" t="s">
        <v>179</v>
      </c>
    </row>
    <row r="68" customFormat="false" ht="15" hidden="false" customHeight="false" outlineLevel="0" collapsed="false">
      <c r="A68" s="5" t="n">
        <v>64</v>
      </c>
      <c r="B68" s="6" t="s">
        <v>192</v>
      </c>
      <c r="C68" s="46" t="n">
        <v>250</v>
      </c>
      <c r="D68" s="6" t="s">
        <v>100</v>
      </c>
      <c r="E68" s="6" t="s">
        <v>179</v>
      </c>
    </row>
    <row r="69" customFormat="false" ht="15" hidden="false" customHeight="false" outlineLevel="0" collapsed="false">
      <c r="A69" s="5" t="n">
        <v>65</v>
      </c>
      <c r="B69" s="6" t="s">
        <v>193</v>
      </c>
      <c r="C69" s="44" t="n">
        <v>2</v>
      </c>
      <c r="D69" s="6" t="s">
        <v>113</v>
      </c>
      <c r="E69" s="6" t="s">
        <v>194</v>
      </c>
    </row>
    <row r="70" customFormat="false" ht="15" hidden="false" customHeight="false" outlineLevel="0" collapsed="false">
      <c r="A70" s="5" t="n">
        <v>66</v>
      </c>
      <c r="B70" s="6" t="s">
        <v>195</v>
      </c>
      <c r="C70" s="47" t="n">
        <v>0.1</v>
      </c>
      <c r="D70" s="6" t="s">
        <v>196</v>
      </c>
      <c r="E70" s="6" t="s">
        <v>197</v>
      </c>
    </row>
    <row r="71" customFormat="false" ht="15" hidden="false" customHeight="false" outlineLevel="0" collapsed="false">
      <c r="A71" s="5" t="n">
        <v>67</v>
      </c>
      <c r="B71" s="6" t="s">
        <v>198</v>
      </c>
      <c r="C71" s="43" t="n">
        <v>3.5</v>
      </c>
      <c r="D71" s="6" t="s">
        <v>104</v>
      </c>
      <c r="E71" s="6" t="s">
        <v>199</v>
      </c>
    </row>
    <row r="72" customFormat="false" ht="15" hidden="false" customHeight="false" outlineLevel="0" collapsed="false">
      <c r="A72" s="5" t="n">
        <v>68</v>
      </c>
      <c r="B72" s="6" t="s">
        <v>200</v>
      </c>
      <c r="C72" s="43" t="n">
        <v>2.5</v>
      </c>
      <c r="D72" s="6" t="s">
        <v>104</v>
      </c>
      <c r="E72" s="6" t="s">
        <v>97</v>
      </c>
    </row>
    <row r="73" customFormat="false" ht="15" hidden="false" customHeight="false" outlineLevel="0" collapsed="false">
      <c r="A73" s="5" t="n">
        <v>69</v>
      </c>
      <c r="B73" s="6" t="s">
        <v>201</v>
      </c>
      <c r="C73" s="48" t="n">
        <f aca="false">C71-C72</f>
        <v>1</v>
      </c>
      <c r="D73" s="6" t="s">
        <v>104</v>
      </c>
      <c r="E73" s="6" t="s">
        <v>202</v>
      </c>
    </row>
    <row r="74" customFormat="false" ht="15" hidden="false" customHeight="false" outlineLevel="0" collapsed="false">
      <c r="A74" s="5" t="n">
        <v>70</v>
      </c>
      <c r="B74" s="6" t="s">
        <v>203</v>
      </c>
      <c r="C74" s="43" t="n">
        <v>2.1</v>
      </c>
      <c r="D74" s="6" t="s">
        <v>104</v>
      </c>
      <c r="E74" s="6" t="s">
        <v>204</v>
      </c>
    </row>
    <row r="75" customFormat="false" ht="15" hidden="false" customHeight="false" outlineLevel="0" collapsed="false">
      <c r="A75" s="5" t="n">
        <v>71</v>
      </c>
      <c r="B75" s="6" t="s">
        <v>205</v>
      </c>
      <c r="C75" s="48" t="n">
        <f aca="false">C71-C74</f>
        <v>1.4</v>
      </c>
      <c r="D75" s="6" t="s">
        <v>104</v>
      </c>
      <c r="E75" s="6" t="s">
        <v>206</v>
      </c>
    </row>
    <row r="76" customFormat="false" ht="15" hidden="false" customHeight="false" outlineLevel="0" collapsed="false">
      <c r="A76" s="5" t="n">
        <v>72</v>
      </c>
      <c r="B76" s="6" t="s">
        <v>207</v>
      </c>
      <c r="C76" s="43" t="n">
        <v>0.9</v>
      </c>
      <c r="D76" s="6" t="s">
        <v>104</v>
      </c>
      <c r="E76" s="6" t="s">
        <v>208</v>
      </c>
    </row>
    <row r="77" customFormat="false" ht="15" hidden="false" customHeight="false" outlineLevel="0" collapsed="false">
      <c r="A77" s="5" t="n">
        <v>73</v>
      </c>
      <c r="B77" s="6" t="s">
        <v>209</v>
      </c>
      <c r="C77" s="49" t="n">
        <f aca="false">C71</f>
        <v>3.5</v>
      </c>
      <c r="D77" s="6" t="s">
        <v>104</v>
      </c>
      <c r="E77" s="6" t="s">
        <v>210</v>
      </c>
    </row>
    <row r="78" customFormat="false" ht="15" hidden="false" customHeight="false" outlineLevel="0" collapsed="false">
      <c r="A78" s="5" t="n">
        <v>74</v>
      </c>
      <c r="B78" s="6" t="s">
        <v>211</v>
      </c>
      <c r="C78" s="43" t="n">
        <v>2.5</v>
      </c>
      <c r="D78" s="6" t="s">
        <v>104</v>
      </c>
      <c r="E78" s="6" t="s">
        <v>97</v>
      </c>
    </row>
    <row r="80" customFormat="false" ht="15" hidden="false" customHeight="false" outlineLevel="0" collapsed="false">
      <c r="B80" s="3" t="s">
        <v>212</v>
      </c>
    </row>
    <row r="81" customFormat="false" ht="15" hidden="false" customHeight="false" outlineLevel="0" collapsed="false">
      <c r="B81" s="2" t="s">
        <v>213</v>
      </c>
    </row>
    <row r="82" customFormat="false" ht="15" hidden="false" customHeight="false" outlineLevel="0" collapsed="false">
      <c r="B82" s="2" t="s">
        <v>214</v>
      </c>
    </row>
    <row r="83" customFormat="false" ht="15" hidden="false" customHeight="false" outlineLevel="0" collapsed="false">
      <c r="B83" s="2" t="s">
        <v>215</v>
      </c>
    </row>
    <row r="84" customFormat="false" ht="15" hidden="false" customHeight="false" outlineLevel="0" collapsed="false">
      <c r="B84" s="2" t="s">
        <v>216</v>
      </c>
    </row>
    <row r="85" customFormat="false" ht="15" hidden="false" customHeight="false" outlineLevel="0" collapsed="false">
      <c r="B85" s="2" t="s">
        <v>217</v>
      </c>
    </row>
    <row r="86" customFormat="false" ht="15" hidden="false" customHeight="false" outlineLevel="0" collapsed="false">
      <c r="B86" s="2" t="s">
        <v>218</v>
      </c>
    </row>
    <row r="87" customFormat="false" ht="15" hidden="false" customHeight="false" outlineLevel="0" collapsed="false">
      <c r="B87" s="2" t="s">
        <v>219</v>
      </c>
    </row>
    <row r="88" customFormat="false" ht="15" hidden="false" customHeight="false" outlineLevel="0" collapsed="false">
      <c r="B88" s="2" t="s">
        <v>220</v>
      </c>
    </row>
    <row r="89" customFormat="false" ht="15" hidden="false" customHeight="false" outlineLevel="0" collapsed="false">
      <c r="B89" s="2" t="s">
        <v>221</v>
      </c>
    </row>
    <row r="90" customFormat="false" ht="15" hidden="false" customHeight="false" outlineLevel="0" collapsed="false">
      <c r="B90" s="2" t="s">
        <v>222</v>
      </c>
    </row>
    <row r="91" customFormat="false" ht="15" hidden="false" customHeight="false" outlineLevel="0" collapsed="false">
      <c r="B91" s="2" t="s">
        <v>223</v>
      </c>
    </row>
    <row r="92" customFormat="false" ht="15" hidden="false" customHeight="false" outlineLevel="0" collapsed="false">
      <c r="B92" s="2" t="s">
        <v>224</v>
      </c>
    </row>
    <row r="93" customFormat="false" ht="15" hidden="false" customHeight="false" outlineLevel="0" collapsed="false">
      <c r="B93" s="2" t="s">
        <v>225</v>
      </c>
    </row>
    <row r="94" customFormat="false" ht="15" hidden="false" customHeight="false" outlineLevel="0" collapsed="false">
      <c r="B94" s="2" t="s">
        <v>226</v>
      </c>
    </row>
    <row r="95" customFormat="false" ht="15" hidden="false" customHeight="false" outlineLevel="0" collapsed="false">
      <c r="B95" s="2" t="s">
        <v>227</v>
      </c>
    </row>
    <row r="96" customFormat="false" ht="15" hidden="false" customHeight="false" outlineLevel="0" collapsed="false">
      <c r="B96" s="2" t="s">
        <v>228</v>
      </c>
    </row>
    <row r="97" customFormat="false" ht="15" hidden="false" customHeight="false" outlineLevel="0" collapsed="false">
      <c r="B97" s="2" t="s">
        <v>229</v>
      </c>
    </row>
    <row r="98" customFormat="false" ht="15" hidden="false" customHeight="false" outlineLevel="0" collapsed="false">
      <c r="B98" s="2" t="s">
        <v>230</v>
      </c>
    </row>
    <row r="99" customFormat="false" ht="15" hidden="false" customHeight="false" outlineLevel="0" collapsed="false">
      <c r="B99" s="2" t="s">
        <v>231</v>
      </c>
    </row>
    <row r="100" customFormat="false" ht="15" hidden="false" customHeight="false" outlineLevel="0" collapsed="false">
      <c r="B100" s="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4" t="s">
        <v>3</v>
      </c>
      <c r="B4" s="4" t="s">
        <v>38</v>
      </c>
      <c r="C4" s="4" t="s">
        <v>235</v>
      </c>
      <c r="D4" s="4" t="s">
        <v>236</v>
      </c>
      <c r="E4" s="4" t="s">
        <v>237</v>
      </c>
      <c r="F4" s="4" t="s">
        <v>238</v>
      </c>
      <c r="G4" s="4" t="s">
        <v>239</v>
      </c>
      <c r="H4" s="4" t="s">
        <v>94</v>
      </c>
      <c r="I4" s="4" t="s">
        <v>240</v>
      </c>
      <c r="J4" s="4" t="s">
        <v>5</v>
      </c>
    </row>
    <row r="5" customFormat="false" ht="15" hidden="false" customHeight="false" outlineLevel="0" collapsed="false">
      <c r="A5" s="29" t="s">
        <v>61</v>
      </c>
      <c r="B5" s="30"/>
      <c r="C5" s="30"/>
      <c r="D5" s="30"/>
      <c r="E5" s="30"/>
      <c r="F5" s="30"/>
      <c r="G5" s="30"/>
      <c r="H5" s="30"/>
      <c r="I5" s="30"/>
      <c r="J5" s="30"/>
    </row>
    <row r="6" customFormat="false" ht="15" hidden="false" customHeight="false" outlineLevel="0" collapsed="false">
      <c r="A6" s="5" t="n">
        <v>1</v>
      </c>
      <c r="B6" s="6" t="s">
        <v>61</v>
      </c>
      <c r="C6" s="6" t="s">
        <v>15</v>
      </c>
      <c r="D6" s="6" t="s">
        <v>241</v>
      </c>
      <c r="E6" s="50"/>
      <c r="F6" s="51"/>
      <c r="G6" s="52" t="n">
        <v>1</v>
      </c>
      <c r="H6" s="5" t="s">
        <v>113</v>
      </c>
      <c r="I6" s="7" t="n">
        <f aca="false">Narxlar!$C$67</f>
        <v>500</v>
      </c>
      <c r="J6" s="53" t="n">
        <f aca="false">G6*I6</f>
        <v>500</v>
      </c>
    </row>
    <row r="7" customFormat="false" ht="15" hidden="false" customHeight="false" outlineLevel="0" collapsed="false">
      <c r="A7" s="5" t="n">
        <v>2</v>
      </c>
      <c r="B7" s="6" t="s">
        <v>61</v>
      </c>
      <c r="C7" s="6" t="s">
        <v>15</v>
      </c>
      <c r="D7" s="6" t="s">
        <v>242</v>
      </c>
      <c r="E7" s="50"/>
      <c r="F7" s="51"/>
      <c r="G7" s="52" t="n">
        <v>1</v>
      </c>
      <c r="H7" s="5" t="s">
        <v>113</v>
      </c>
      <c r="I7" s="7" t="n">
        <f aca="false">Narxlar!$C$68</f>
        <v>250</v>
      </c>
      <c r="J7" s="53" t="n">
        <f aca="false">G7*I7</f>
        <v>250</v>
      </c>
    </row>
    <row r="8" customFormat="false" ht="15" hidden="false" customHeight="false" outlineLevel="0" collapsed="false">
      <c r="A8" s="5" t="n">
        <v>3</v>
      </c>
      <c r="B8" s="6" t="s">
        <v>61</v>
      </c>
      <c r="C8" s="6" t="s">
        <v>22</v>
      </c>
      <c r="D8" s="6" t="s">
        <v>243</v>
      </c>
      <c r="E8" s="50"/>
      <c r="F8" s="51"/>
      <c r="G8" s="52" t="n">
        <v>1</v>
      </c>
      <c r="H8" s="5" t="s">
        <v>113</v>
      </c>
      <c r="I8" s="7" t="n">
        <f aca="false">Narxlar!$C$65</f>
        <v>1500</v>
      </c>
      <c r="J8" s="53" t="n">
        <f aca="false">G8*I8</f>
        <v>1500</v>
      </c>
    </row>
    <row r="9" customFormat="false" ht="15" hidden="false" customHeight="false" outlineLevel="0" collapsed="false">
      <c r="A9" s="5" t="n">
        <v>4</v>
      </c>
      <c r="B9" s="6" t="s">
        <v>61</v>
      </c>
      <c r="C9" s="6" t="s">
        <v>22</v>
      </c>
      <c r="D9" s="6" t="s">
        <v>244</v>
      </c>
      <c r="E9" s="50"/>
      <c r="F9" s="51"/>
      <c r="G9" s="52" t="n">
        <v>1</v>
      </c>
      <c r="H9" s="5" t="s">
        <v>245</v>
      </c>
      <c r="I9" s="7" t="n">
        <f aca="false">Narxlar!$C$66</f>
        <v>500</v>
      </c>
      <c r="J9" s="53" t="n">
        <f aca="false">G9*I9</f>
        <v>500</v>
      </c>
    </row>
    <row r="10" customFormat="false" ht="15" hidden="false" customHeight="false" outlineLevel="0" collapsed="false">
      <c r="A10" s="5" t="n">
        <v>5</v>
      </c>
      <c r="B10" s="6" t="s">
        <v>61</v>
      </c>
      <c r="C10" s="6" t="s">
        <v>22</v>
      </c>
      <c r="D10" s="6" t="s">
        <v>246</v>
      </c>
      <c r="E10" s="50"/>
      <c r="F10" s="51"/>
      <c r="G10" s="52" t="n">
        <v>1</v>
      </c>
      <c r="H10" s="5" t="s">
        <v>113</v>
      </c>
      <c r="I10" s="7" t="n">
        <f aca="false">Narxlar!$C$56</f>
        <v>130</v>
      </c>
      <c r="J10" s="53" t="n">
        <f aca="false">G10*I10</f>
        <v>130</v>
      </c>
    </row>
    <row r="11" customFormat="false" ht="15" hidden="false" customHeight="false" outlineLevel="0" collapsed="false">
      <c r="A11" s="5" t="n">
        <v>6</v>
      </c>
      <c r="B11" s="6" t="s">
        <v>61</v>
      </c>
      <c r="C11" s="6" t="s">
        <v>22</v>
      </c>
      <c r="D11" s="6" t="s">
        <v>247</v>
      </c>
      <c r="E11" s="50"/>
      <c r="F11" s="51"/>
      <c r="G11" s="52" t="n">
        <v>1</v>
      </c>
      <c r="H11" s="5" t="s">
        <v>113</v>
      </c>
      <c r="I11" s="7" t="n">
        <f aca="false">Narxlar!$C$58</f>
        <v>450</v>
      </c>
      <c r="J11" s="53" t="n">
        <f aca="false">G11*I11</f>
        <v>450</v>
      </c>
    </row>
    <row r="12" customFormat="false" ht="15" hidden="false" customHeight="false" outlineLevel="0" collapsed="false">
      <c r="A12" s="5" t="n">
        <v>7</v>
      </c>
      <c r="B12" s="6" t="s">
        <v>61</v>
      </c>
      <c r="C12" s="6" t="s">
        <v>22</v>
      </c>
      <c r="D12" s="6" t="s">
        <v>183</v>
      </c>
      <c r="E12" s="50"/>
      <c r="F12" s="51"/>
      <c r="G12" s="52" t="n">
        <v>1</v>
      </c>
      <c r="H12" s="5" t="s">
        <v>113</v>
      </c>
      <c r="I12" s="7" t="n">
        <f aca="false">Narxlar!$C$60</f>
        <v>100</v>
      </c>
      <c r="J12" s="53" t="n">
        <f aca="false">G12*I12</f>
        <v>100</v>
      </c>
    </row>
    <row r="13" customFormat="false" ht="15" hidden="false" customHeight="false" outlineLevel="0" collapsed="false">
      <c r="A13" s="54"/>
      <c r="B13" s="54"/>
      <c r="C13" s="54"/>
      <c r="D13" s="11" t="s">
        <v>248</v>
      </c>
      <c r="E13" s="54"/>
      <c r="F13" s="54"/>
      <c r="G13" s="54"/>
      <c r="H13" s="54"/>
      <c r="I13" s="54"/>
      <c r="J13" s="12" t="n">
        <f aca="false">SUM(J6:J12)</f>
        <v>3430</v>
      </c>
    </row>
    <row r="15" customFormat="false" ht="15" hidden="false" customHeight="false" outlineLevel="0" collapsed="false">
      <c r="A15" s="29" t="s">
        <v>63</v>
      </c>
      <c r="B15" s="30"/>
      <c r="C15" s="30"/>
      <c r="D15" s="30"/>
      <c r="E15" s="30"/>
      <c r="F15" s="30"/>
      <c r="G15" s="30"/>
      <c r="H15" s="30"/>
      <c r="I15" s="30"/>
      <c r="J15" s="30"/>
    </row>
    <row r="16" customFormat="false" ht="15" hidden="false" customHeight="false" outlineLevel="0" collapsed="false">
      <c r="A16" s="5" t="n">
        <v>8</v>
      </c>
      <c r="B16" s="6" t="s">
        <v>63</v>
      </c>
      <c r="C16" s="6" t="s">
        <v>8</v>
      </c>
      <c r="D16" s="6" t="s">
        <v>249</v>
      </c>
      <c r="E16" s="50" t="n">
        <v>4.6</v>
      </c>
      <c r="F16" s="31" t="n">
        <f aca="false">Narxlar!$C$72</f>
        <v>2.5</v>
      </c>
      <c r="G16" s="51" t="n">
        <f aca="false">E16*F16</f>
        <v>11.5</v>
      </c>
      <c r="H16" s="5" t="s">
        <v>157</v>
      </c>
      <c r="I16" s="7" t="n">
        <f aca="false">Narxlar!$C$5</f>
        <v>55</v>
      </c>
      <c r="J16" s="53" t="n">
        <f aca="false">G16*I16</f>
        <v>632.5</v>
      </c>
    </row>
    <row r="17" customFormat="false" ht="15" hidden="false" customHeight="false" outlineLevel="0" collapsed="false">
      <c r="A17" s="5" t="n">
        <v>9</v>
      </c>
      <c r="B17" s="6" t="s">
        <v>63</v>
      </c>
      <c r="C17" s="6" t="s">
        <v>8</v>
      </c>
      <c r="D17" s="6" t="s">
        <v>250</v>
      </c>
      <c r="E17" s="31" t="n">
        <f aca="false">Narxlar!$C$76</f>
        <v>0.9</v>
      </c>
      <c r="F17" s="31" t="n">
        <f aca="false">Narxlar!$C$72</f>
        <v>2.5</v>
      </c>
      <c r="G17" s="51" t="n">
        <f aca="false">E17*F17</f>
        <v>2.25</v>
      </c>
      <c r="H17" s="5" t="s">
        <v>157</v>
      </c>
      <c r="I17" s="7" t="n">
        <f aca="false">Narxlar!$C$5</f>
        <v>55</v>
      </c>
      <c r="J17" s="53" t="n">
        <f aca="false">G17*I17</f>
        <v>123.75</v>
      </c>
    </row>
    <row r="18" customFormat="false" ht="15" hidden="false" customHeight="false" outlineLevel="0" collapsed="false">
      <c r="A18" s="5" t="n">
        <v>10</v>
      </c>
      <c r="B18" s="6" t="s">
        <v>63</v>
      </c>
      <c r="C18" s="6" t="s">
        <v>9</v>
      </c>
      <c r="D18" s="6" t="s">
        <v>251</v>
      </c>
      <c r="E18" s="50" t="n">
        <v>0.3</v>
      </c>
      <c r="F18" s="31" t="n">
        <f aca="false">Narxlar!$C$71</f>
        <v>3.5</v>
      </c>
      <c r="G18" s="51" t="n">
        <f aca="false">E18*F18</f>
        <v>1.05</v>
      </c>
      <c r="H18" s="5" t="s">
        <v>157</v>
      </c>
      <c r="I18" s="7" t="n">
        <f aca="false">Narxlar!$C$6</f>
        <v>12</v>
      </c>
      <c r="J18" s="53" t="n">
        <f aca="false">G18*I18</f>
        <v>12.6</v>
      </c>
    </row>
    <row r="19" customFormat="false" ht="15" hidden="false" customHeight="false" outlineLevel="0" collapsed="false">
      <c r="A19" s="5" t="n">
        <v>11</v>
      </c>
      <c r="B19" s="6" t="s">
        <v>63</v>
      </c>
      <c r="C19" s="6" t="s">
        <v>9</v>
      </c>
      <c r="D19" s="6" t="s">
        <v>252</v>
      </c>
      <c r="E19" s="50" t="n">
        <v>4.6</v>
      </c>
      <c r="F19" s="31" t="n">
        <f aca="false">Narxlar!$C$73</f>
        <v>1</v>
      </c>
      <c r="G19" s="51" t="n">
        <f aca="false">E19*F19</f>
        <v>4.6</v>
      </c>
      <c r="H19" s="5" t="s">
        <v>157</v>
      </c>
      <c r="I19" s="7" t="n">
        <f aca="false">Narxlar!$C$6</f>
        <v>12</v>
      </c>
      <c r="J19" s="53" t="n">
        <f aca="false">G19*I19</f>
        <v>55.2</v>
      </c>
    </row>
    <row r="20" customFormat="false" ht="15" hidden="false" customHeight="false" outlineLevel="0" collapsed="false">
      <c r="A20" s="5" t="n">
        <v>12</v>
      </c>
      <c r="B20" s="6" t="s">
        <v>63</v>
      </c>
      <c r="C20" s="6" t="s">
        <v>9</v>
      </c>
      <c r="D20" s="6" t="s">
        <v>253</v>
      </c>
      <c r="E20" s="50" t="n">
        <v>0.2</v>
      </c>
      <c r="F20" s="31" t="n">
        <f aca="false">Narxlar!$C$71</f>
        <v>3.5</v>
      </c>
      <c r="G20" s="51" t="n">
        <f aca="false">E20*F20</f>
        <v>0.7</v>
      </c>
      <c r="H20" s="5" t="s">
        <v>157</v>
      </c>
      <c r="I20" s="7" t="n">
        <f aca="false">Narxlar!$C$6</f>
        <v>12</v>
      </c>
      <c r="J20" s="53" t="n">
        <f aca="false">G20*I20</f>
        <v>8.4</v>
      </c>
    </row>
    <row r="21" customFormat="false" ht="15" hidden="false" customHeight="false" outlineLevel="0" collapsed="false">
      <c r="A21" s="5" t="n">
        <v>13</v>
      </c>
      <c r="B21" s="6" t="s">
        <v>63</v>
      </c>
      <c r="C21" s="6" t="s">
        <v>9</v>
      </c>
      <c r="D21" s="6" t="s">
        <v>254</v>
      </c>
      <c r="E21" s="31" t="n">
        <f aca="false">Narxlar!$C$76</f>
        <v>0.9</v>
      </c>
      <c r="F21" s="31" t="n">
        <f aca="false">Narxlar!$C$73</f>
        <v>1</v>
      </c>
      <c r="G21" s="51" t="n">
        <f aca="false">E21*F21</f>
        <v>0.9</v>
      </c>
      <c r="H21" s="5" t="s">
        <v>157</v>
      </c>
      <c r="I21" s="7" t="n">
        <f aca="false">Narxlar!$C$6</f>
        <v>12</v>
      </c>
      <c r="J21" s="53" t="n">
        <f aca="false">G21*I21</f>
        <v>10.8</v>
      </c>
    </row>
    <row r="22" customFormat="false" ht="15" hidden="false" customHeight="false" outlineLevel="0" collapsed="false">
      <c r="A22" s="5" t="n">
        <v>14</v>
      </c>
      <c r="B22" s="6" t="s">
        <v>63</v>
      </c>
      <c r="C22" s="6" t="s">
        <v>10</v>
      </c>
      <c r="D22" s="6" t="s">
        <v>255</v>
      </c>
      <c r="E22" s="50" t="n">
        <v>7.7</v>
      </c>
      <c r="F22" s="31" t="n">
        <f aca="false">Narxlar!$C$77</f>
        <v>3.5</v>
      </c>
      <c r="G22" s="51" t="n">
        <f aca="false">E22*F22</f>
        <v>26.95</v>
      </c>
      <c r="H22" s="5" t="s">
        <v>157</v>
      </c>
      <c r="I22" s="7" t="n">
        <f aca="false">Narxlar!$C$7</f>
        <v>15.5</v>
      </c>
      <c r="J22" s="53" t="n">
        <f aca="false">G22*I22</f>
        <v>417.725</v>
      </c>
    </row>
    <row r="23" customFormat="false" ht="15" hidden="false" customHeight="false" outlineLevel="0" collapsed="false">
      <c r="A23" s="5" t="n">
        <v>15</v>
      </c>
      <c r="B23" s="6" t="s">
        <v>63</v>
      </c>
      <c r="C23" s="6" t="s">
        <v>10</v>
      </c>
      <c r="D23" s="6" t="s">
        <v>256</v>
      </c>
      <c r="E23" s="50" t="n">
        <v>7.7</v>
      </c>
      <c r="F23" s="31" t="n">
        <f aca="false">Narxlar!$C$77</f>
        <v>3.5</v>
      </c>
      <c r="G23" s="51" t="n">
        <f aca="false">E23*F23</f>
        <v>26.95</v>
      </c>
      <c r="H23" s="5" t="s">
        <v>157</v>
      </c>
      <c r="I23" s="7" t="n">
        <f aca="false">Narxlar!$C$7</f>
        <v>15.5</v>
      </c>
      <c r="J23" s="53" t="n">
        <f aca="false">G23*I23</f>
        <v>417.725</v>
      </c>
    </row>
    <row r="24" customFormat="false" ht="15" hidden="false" customHeight="false" outlineLevel="0" collapsed="false">
      <c r="A24" s="5" t="n">
        <v>16</v>
      </c>
      <c r="B24" s="6" t="s">
        <v>63</v>
      </c>
      <c r="C24" s="6" t="s">
        <v>11</v>
      </c>
      <c r="D24" s="6" t="s">
        <v>257</v>
      </c>
      <c r="E24" s="50"/>
      <c r="F24" s="51"/>
      <c r="G24" s="52" t="n">
        <v>1</v>
      </c>
      <c r="H24" s="5" t="s">
        <v>113</v>
      </c>
      <c r="I24" s="7" t="n">
        <f aca="false">Narxlar!$C$8</f>
        <v>1032</v>
      </c>
      <c r="J24" s="53" t="n">
        <f aca="false">G24*I24</f>
        <v>1032</v>
      </c>
    </row>
    <row r="25" customFormat="false" ht="15" hidden="false" customHeight="false" outlineLevel="0" collapsed="false">
      <c r="A25" s="5" t="n">
        <v>17</v>
      </c>
      <c r="B25" s="6" t="s">
        <v>63</v>
      </c>
      <c r="C25" s="6" t="s">
        <v>13</v>
      </c>
      <c r="D25" s="6" t="s">
        <v>258</v>
      </c>
      <c r="E25" s="50"/>
      <c r="F25" s="51"/>
      <c r="G25" s="52" t="n">
        <v>1</v>
      </c>
      <c r="H25" s="5" t="s">
        <v>245</v>
      </c>
      <c r="I25" s="7" t="n">
        <f aca="false">Narxlar!$C$12</f>
        <v>168</v>
      </c>
      <c r="J25" s="53" t="n">
        <f aca="false">G25*I25</f>
        <v>168</v>
      </c>
    </row>
    <row r="26" customFormat="false" ht="15" hidden="false" customHeight="false" outlineLevel="0" collapsed="false">
      <c r="A26" s="54"/>
      <c r="B26" s="54"/>
      <c r="C26" s="54"/>
      <c r="D26" s="11" t="s">
        <v>259</v>
      </c>
      <c r="E26" s="54"/>
      <c r="F26" s="54"/>
      <c r="G26" s="54"/>
      <c r="H26" s="54"/>
      <c r="I26" s="54"/>
      <c r="J26" s="12" t="n">
        <f aca="false">SUM(J16:J25)</f>
        <v>2878.7</v>
      </c>
    </row>
    <row r="28" customFormat="false" ht="15" hidden="false" customHeight="false" outlineLevel="0" collapsed="false">
      <c r="A28" s="29" t="s">
        <v>64</v>
      </c>
      <c r="B28" s="30"/>
      <c r="C28" s="30"/>
      <c r="D28" s="30"/>
      <c r="E28" s="30"/>
      <c r="F28" s="30"/>
      <c r="G28" s="30"/>
      <c r="H28" s="30"/>
      <c r="I28" s="30"/>
      <c r="J28" s="30"/>
    </row>
    <row r="29" customFormat="false" ht="15" hidden="false" customHeight="false" outlineLevel="0" collapsed="false">
      <c r="A29" s="5" t="n">
        <v>18</v>
      </c>
      <c r="B29" s="6" t="s">
        <v>64</v>
      </c>
      <c r="C29" s="6" t="s">
        <v>8</v>
      </c>
      <c r="D29" s="6" t="s">
        <v>249</v>
      </c>
      <c r="E29" s="50" t="n">
        <v>4.7</v>
      </c>
      <c r="F29" s="31" t="n">
        <f aca="false">Narxlar!$C$72</f>
        <v>2.5</v>
      </c>
      <c r="G29" s="51" t="n">
        <f aca="false">E29*F29</f>
        <v>11.75</v>
      </c>
      <c r="H29" s="5" t="s">
        <v>157</v>
      </c>
      <c r="I29" s="7" t="n">
        <f aca="false">Narxlar!$C$5</f>
        <v>55</v>
      </c>
      <c r="J29" s="53" t="n">
        <f aca="false">G29*I29</f>
        <v>646.25</v>
      </c>
    </row>
    <row r="30" customFormat="false" ht="15" hidden="false" customHeight="false" outlineLevel="0" collapsed="false">
      <c r="A30" s="5" t="n">
        <v>19</v>
      </c>
      <c r="B30" s="6" t="s">
        <v>64</v>
      </c>
      <c r="C30" s="6" t="s">
        <v>8</v>
      </c>
      <c r="D30" s="6" t="s">
        <v>250</v>
      </c>
      <c r="E30" s="31" t="n">
        <f aca="false">Narxlar!$C$76</f>
        <v>0.9</v>
      </c>
      <c r="F30" s="31" t="n">
        <f aca="false">Narxlar!$C$72</f>
        <v>2.5</v>
      </c>
      <c r="G30" s="51" t="n">
        <f aca="false">E30*F30</f>
        <v>2.25</v>
      </c>
      <c r="H30" s="5" t="s">
        <v>157</v>
      </c>
      <c r="I30" s="7" t="n">
        <f aca="false">Narxlar!$C$5</f>
        <v>55</v>
      </c>
      <c r="J30" s="53" t="n">
        <f aca="false">G30*I30</f>
        <v>123.75</v>
      </c>
    </row>
    <row r="31" customFormat="false" ht="15" hidden="false" customHeight="false" outlineLevel="0" collapsed="false">
      <c r="A31" s="5" t="n">
        <v>20</v>
      </c>
      <c r="B31" s="6" t="s">
        <v>64</v>
      </c>
      <c r="C31" s="6" t="s">
        <v>9</v>
      </c>
      <c r="D31" s="6" t="s">
        <v>252</v>
      </c>
      <c r="E31" s="50" t="n">
        <v>4.7</v>
      </c>
      <c r="F31" s="31" t="n">
        <f aca="false">Narxlar!$C$73</f>
        <v>1</v>
      </c>
      <c r="G31" s="51" t="n">
        <f aca="false">E31*F31</f>
        <v>4.7</v>
      </c>
      <c r="H31" s="5" t="s">
        <v>157</v>
      </c>
      <c r="I31" s="7" t="n">
        <f aca="false">Narxlar!$C$6</f>
        <v>12</v>
      </c>
      <c r="J31" s="53" t="n">
        <f aca="false">G31*I31</f>
        <v>56.4</v>
      </c>
    </row>
    <row r="32" customFormat="false" ht="15" hidden="false" customHeight="false" outlineLevel="0" collapsed="false">
      <c r="A32" s="5" t="n">
        <v>21</v>
      </c>
      <c r="B32" s="6" t="s">
        <v>64</v>
      </c>
      <c r="C32" s="6" t="s">
        <v>9</v>
      </c>
      <c r="D32" s="6" t="s">
        <v>253</v>
      </c>
      <c r="E32" s="50" t="n">
        <v>0.2</v>
      </c>
      <c r="F32" s="31" t="n">
        <f aca="false">Narxlar!$C$71</f>
        <v>3.5</v>
      </c>
      <c r="G32" s="51" t="n">
        <f aca="false">E32*F32</f>
        <v>0.7</v>
      </c>
      <c r="H32" s="5" t="s">
        <v>157</v>
      </c>
      <c r="I32" s="7" t="n">
        <f aca="false">Narxlar!$C$6</f>
        <v>12</v>
      </c>
      <c r="J32" s="53" t="n">
        <f aca="false">G32*I32</f>
        <v>8.4</v>
      </c>
    </row>
    <row r="33" customFormat="false" ht="15" hidden="false" customHeight="false" outlineLevel="0" collapsed="false">
      <c r="A33" s="5" t="n">
        <v>22</v>
      </c>
      <c r="B33" s="6" t="s">
        <v>64</v>
      </c>
      <c r="C33" s="6" t="s">
        <v>9</v>
      </c>
      <c r="D33" s="6" t="s">
        <v>254</v>
      </c>
      <c r="E33" s="31" t="n">
        <f aca="false">Narxlar!$C$76</f>
        <v>0.9</v>
      </c>
      <c r="F33" s="31" t="n">
        <f aca="false">Narxlar!$C$73</f>
        <v>1</v>
      </c>
      <c r="G33" s="51" t="n">
        <f aca="false">E33*F33</f>
        <v>0.9</v>
      </c>
      <c r="H33" s="5" t="s">
        <v>157</v>
      </c>
      <c r="I33" s="7" t="n">
        <f aca="false">Narxlar!$C$6</f>
        <v>12</v>
      </c>
      <c r="J33" s="53" t="n">
        <f aca="false">G33*I33</f>
        <v>10.8</v>
      </c>
    </row>
    <row r="34" customFormat="false" ht="15" hidden="false" customHeight="false" outlineLevel="0" collapsed="false">
      <c r="A34" s="5" t="n">
        <v>23</v>
      </c>
      <c r="B34" s="6" t="s">
        <v>64</v>
      </c>
      <c r="C34" s="6" t="s">
        <v>10</v>
      </c>
      <c r="D34" s="6" t="s">
        <v>255</v>
      </c>
      <c r="E34" s="50" t="n">
        <v>7.7</v>
      </c>
      <c r="F34" s="31" t="n">
        <f aca="false">Narxlar!$C$77</f>
        <v>3.5</v>
      </c>
      <c r="G34" s="51" t="n">
        <f aca="false">E34*F34</f>
        <v>26.95</v>
      </c>
      <c r="H34" s="5" t="s">
        <v>157</v>
      </c>
      <c r="I34" s="7" t="n">
        <f aca="false">Narxlar!$C$7</f>
        <v>15.5</v>
      </c>
      <c r="J34" s="53" t="n">
        <f aca="false">G34*I34</f>
        <v>417.725</v>
      </c>
    </row>
    <row r="35" customFormat="false" ht="15" hidden="false" customHeight="false" outlineLevel="0" collapsed="false">
      <c r="A35" s="5" t="n">
        <v>24</v>
      </c>
      <c r="B35" s="6" t="s">
        <v>64</v>
      </c>
      <c r="C35" s="6" t="s">
        <v>10</v>
      </c>
      <c r="D35" s="6" t="s">
        <v>256</v>
      </c>
      <c r="E35" s="50" t="n">
        <v>7.7</v>
      </c>
      <c r="F35" s="31" t="n">
        <f aca="false">Narxlar!$C$77</f>
        <v>3.5</v>
      </c>
      <c r="G35" s="51" t="n">
        <f aca="false">E35*F35</f>
        <v>26.95</v>
      </c>
      <c r="H35" s="5" t="s">
        <v>157</v>
      </c>
      <c r="I35" s="7" t="n">
        <f aca="false">Narxlar!$C$7</f>
        <v>15.5</v>
      </c>
      <c r="J35" s="53" t="n">
        <f aca="false">G35*I35</f>
        <v>417.725</v>
      </c>
    </row>
    <row r="36" customFormat="false" ht="15" hidden="false" customHeight="false" outlineLevel="0" collapsed="false">
      <c r="A36" s="5" t="n">
        <v>25</v>
      </c>
      <c r="B36" s="6" t="s">
        <v>64</v>
      </c>
      <c r="C36" s="6" t="s">
        <v>11</v>
      </c>
      <c r="D36" s="6" t="s">
        <v>257</v>
      </c>
      <c r="E36" s="50"/>
      <c r="F36" s="51"/>
      <c r="G36" s="52" t="n">
        <v>1</v>
      </c>
      <c r="H36" s="5" t="s">
        <v>113</v>
      </c>
      <c r="I36" s="7" t="n">
        <f aca="false">Narxlar!$C$8</f>
        <v>1032</v>
      </c>
      <c r="J36" s="53" t="n">
        <f aca="false">G36*I36</f>
        <v>1032</v>
      </c>
    </row>
    <row r="37" customFormat="false" ht="15" hidden="false" customHeight="false" outlineLevel="0" collapsed="false">
      <c r="A37" s="5" t="n">
        <v>26</v>
      </c>
      <c r="B37" s="6" t="s">
        <v>64</v>
      </c>
      <c r="C37" s="6" t="s">
        <v>13</v>
      </c>
      <c r="D37" s="6" t="s">
        <v>258</v>
      </c>
      <c r="E37" s="50"/>
      <c r="F37" s="51"/>
      <c r="G37" s="52" t="n">
        <v>1</v>
      </c>
      <c r="H37" s="5" t="s">
        <v>245</v>
      </c>
      <c r="I37" s="7" t="n">
        <f aca="false">Narxlar!$C$12</f>
        <v>168</v>
      </c>
      <c r="J37" s="53" t="n">
        <f aca="false">G37*I37</f>
        <v>168</v>
      </c>
    </row>
    <row r="38" customFormat="false" ht="15" hidden="false" customHeight="false" outlineLevel="0" collapsed="false">
      <c r="A38" s="54"/>
      <c r="B38" s="54"/>
      <c r="C38" s="54"/>
      <c r="D38" s="11" t="s">
        <v>260</v>
      </c>
      <c r="E38" s="54"/>
      <c r="F38" s="54"/>
      <c r="G38" s="54"/>
      <c r="H38" s="54"/>
      <c r="I38" s="54"/>
      <c r="J38" s="12" t="n">
        <f aca="false">SUM(J29:J37)</f>
        <v>2881.05</v>
      </c>
    </row>
    <row r="40" customFormat="false" ht="15" hidden="false" customHeight="false" outlineLevel="0" collapsed="false">
      <c r="A40" s="29" t="s">
        <v>65</v>
      </c>
      <c r="B40" s="30"/>
      <c r="C40" s="30"/>
      <c r="D40" s="30"/>
      <c r="E40" s="30"/>
      <c r="F40" s="30"/>
      <c r="G40" s="30"/>
      <c r="H40" s="30"/>
      <c r="I40" s="30"/>
      <c r="J40" s="30"/>
    </row>
    <row r="41" customFormat="false" ht="15" hidden="false" customHeight="false" outlineLevel="0" collapsed="false">
      <c r="A41" s="5" t="n">
        <v>27</v>
      </c>
      <c r="B41" s="6" t="s">
        <v>65</v>
      </c>
      <c r="C41" s="6" t="s">
        <v>8</v>
      </c>
      <c r="D41" s="6" t="s">
        <v>250</v>
      </c>
      <c r="E41" s="31" t="n">
        <f aca="false">Narxlar!$C$76</f>
        <v>0.9</v>
      </c>
      <c r="F41" s="31" t="n">
        <f aca="false">Narxlar!$C$72</f>
        <v>2.5</v>
      </c>
      <c r="G41" s="51" t="n">
        <f aca="false">E41*F41</f>
        <v>2.25</v>
      </c>
      <c r="H41" s="5" t="s">
        <v>157</v>
      </c>
      <c r="I41" s="7" t="n">
        <f aca="false">Narxlar!$C$5</f>
        <v>55</v>
      </c>
      <c r="J41" s="53" t="n">
        <f aca="false">G41*I41</f>
        <v>123.75</v>
      </c>
    </row>
    <row r="42" customFormat="false" ht="15" hidden="false" customHeight="false" outlineLevel="0" collapsed="false">
      <c r="A42" s="5" t="n">
        <v>28</v>
      </c>
      <c r="B42" s="6" t="s">
        <v>65</v>
      </c>
      <c r="C42" s="6" t="s">
        <v>9</v>
      </c>
      <c r="D42" s="6" t="s">
        <v>253</v>
      </c>
      <c r="E42" s="50" t="n">
        <v>0.15</v>
      </c>
      <c r="F42" s="31" t="n">
        <f aca="false">Narxlar!$C$71</f>
        <v>3.5</v>
      </c>
      <c r="G42" s="51" t="n">
        <f aca="false">E42*F42</f>
        <v>0.525</v>
      </c>
      <c r="H42" s="5" t="s">
        <v>157</v>
      </c>
      <c r="I42" s="7" t="n">
        <f aca="false">Narxlar!$C$6</f>
        <v>12</v>
      </c>
      <c r="J42" s="53" t="n">
        <f aca="false">G42*I42</f>
        <v>6.3</v>
      </c>
    </row>
    <row r="43" customFormat="false" ht="15" hidden="false" customHeight="false" outlineLevel="0" collapsed="false">
      <c r="A43" s="5" t="n">
        <v>29</v>
      </c>
      <c r="B43" s="6" t="s">
        <v>65</v>
      </c>
      <c r="C43" s="6" t="s">
        <v>9</v>
      </c>
      <c r="D43" s="6" t="s">
        <v>261</v>
      </c>
      <c r="E43" s="50" t="n">
        <v>4.7</v>
      </c>
      <c r="F43" s="31" t="n">
        <f aca="false">Narxlar!$C$71</f>
        <v>3.5</v>
      </c>
      <c r="G43" s="51" t="n">
        <f aca="false">E43*F43</f>
        <v>16.45</v>
      </c>
      <c r="H43" s="5" t="s">
        <v>157</v>
      </c>
      <c r="I43" s="7" t="n">
        <f aca="false">Narxlar!$C$6</f>
        <v>12</v>
      </c>
      <c r="J43" s="53" t="n">
        <f aca="false">G43*I43</f>
        <v>197.4</v>
      </c>
    </row>
    <row r="44" customFormat="false" ht="15" hidden="false" customHeight="false" outlineLevel="0" collapsed="false">
      <c r="A44" s="5" t="n">
        <v>30</v>
      </c>
      <c r="B44" s="6" t="s">
        <v>65</v>
      </c>
      <c r="C44" s="6" t="s">
        <v>9</v>
      </c>
      <c r="D44" s="6" t="s">
        <v>254</v>
      </c>
      <c r="E44" s="31" t="n">
        <f aca="false">Narxlar!$C$76</f>
        <v>0.9</v>
      </c>
      <c r="F44" s="31" t="n">
        <f aca="false">Narxlar!$C$73</f>
        <v>1</v>
      </c>
      <c r="G44" s="51" t="n">
        <f aca="false">E44*F44</f>
        <v>0.9</v>
      </c>
      <c r="H44" s="5" t="s">
        <v>157</v>
      </c>
      <c r="I44" s="7" t="n">
        <f aca="false">Narxlar!$C$6</f>
        <v>12</v>
      </c>
      <c r="J44" s="53" t="n">
        <f aca="false">G44*I44</f>
        <v>10.8</v>
      </c>
    </row>
    <row r="45" customFormat="false" ht="15" hidden="false" customHeight="false" outlineLevel="0" collapsed="false">
      <c r="A45" s="5" t="n">
        <v>31</v>
      </c>
      <c r="B45" s="6" t="s">
        <v>65</v>
      </c>
      <c r="C45" s="6" t="s">
        <v>10</v>
      </c>
      <c r="D45" s="6" t="s">
        <v>255</v>
      </c>
      <c r="E45" s="50" t="n">
        <v>7.7</v>
      </c>
      <c r="F45" s="31" t="n">
        <f aca="false">Narxlar!$C$77</f>
        <v>3.5</v>
      </c>
      <c r="G45" s="51" t="n">
        <f aca="false">E45*F45</f>
        <v>26.95</v>
      </c>
      <c r="H45" s="5" t="s">
        <v>157</v>
      </c>
      <c r="I45" s="7" t="n">
        <f aca="false">Narxlar!$C$7</f>
        <v>15.5</v>
      </c>
      <c r="J45" s="53" t="n">
        <f aca="false">G45*I45</f>
        <v>417.725</v>
      </c>
    </row>
    <row r="46" customFormat="false" ht="15" hidden="false" customHeight="false" outlineLevel="0" collapsed="false">
      <c r="A46" s="5" t="n">
        <v>32</v>
      </c>
      <c r="B46" s="6" t="s">
        <v>65</v>
      </c>
      <c r="C46" s="6" t="s">
        <v>10</v>
      </c>
      <c r="D46" s="6" t="s">
        <v>256</v>
      </c>
      <c r="E46" s="50" t="n">
        <v>7.7</v>
      </c>
      <c r="F46" s="31" t="n">
        <f aca="false">Narxlar!$C$77</f>
        <v>3.5</v>
      </c>
      <c r="G46" s="51" t="n">
        <f aca="false">E46*F46</f>
        <v>26.95</v>
      </c>
      <c r="H46" s="5" t="s">
        <v>157</v>
      </c>
      <c r="I46" s="7" t="n">
        <f aca="false">Narxlar!$C$7</f>
        <v>15.5</v>
      </c>
      <c r="J46" s="53" t="n">
        <f aca="false">G46*I46</f>
        <v>417.725</v>
      </c>
    </row>
    <row r="47" customFormat="false" ht="15" hidden="false" customHeight="false" outlineLevel="0" collapsed="false">
      <c r="A47" s="5" t="n">
        <v>33</v>
      </c>
      <c r="B47" s="6" t="s">
        <v>65</v>
      </c>
      <c r="C47" s="6" t="s">
        <v>11</v>
      </c>
      <c r="D47" s="6" t="s">
        <v>257</v>
      </c>
      <c r="E47" s="50"/>
      <c r="F47" s="51"/>
      <c r="G47" s="52" t="n">
        <v>1</v>
      </c>
      <c r="H47" s="5" t="s">
        <v>113</v>
      </c>
      <c r="I47" s="7" t="n">
        <f aca="false">Narxlar!$C$8</f>
        <v>1032</v>
      </c>
      <c r="J47" s="53" t="n">
        <f aca="false">G47*I47</f>
        <v>1032</v>
      </c>
    </row>
    <row r="48" customFormat="false" ht="15" hidden="false" customHeight="false" outlineLevel="0" collapsed="false">
      <c r="A48" s="5" t="n">
        <v>34</v>
      </c>
      <c r="B48" s="6" t="s">
        <v>65</v>
      </c>
      <c r="C48" s="6" t="s">
        <v>13</v>
      </c>
      <c r="D48" s="6" t="s">
        <v>258</v>
      </c>
      <c r="E48" s="50"/>
      <c r="F48" s="51"/>
      <c r="G48" s="52" t="n">
        <v>1</v>
      </c>
      <c r="H48" s="5" t="s">
        <v>245</v>
      </c>
      <c r="I48" s="7" t="n">
        <f aca="false">Narxlar!$C$12</f>
        <v>168</v>
      </c>
      <c r="J48" s="53" t="n">
        <f aca="false">G48*I48</f>
        <v>168</v>
      </c>
    </row>
    <row r="49" customFormat="false" ht="15" hidden="false" customHeight="false" outlineLevel="0" collapsed="false">
      <c r="A49" s="54"/>
      <c r="B49" s="54"/>
      <c r="C49" s="54"/>
      <c r="D49" s="11" t="s">
        <v>262</v>
      </c>
      <c r="E49" s="54"/>
      <c r="F49" s="54"/>
      <c r="G49" s="54"/>
      <c r="H49" s="54"/>
      <c r="I49" s="54"/>
      <c r="J49" s="12" t="n">
        <f aca="false">SUM(J41:J48)</f>
        <v>2373.7</v>
      </c>
    </row>
    <row r="51" customFormat="false" ht="15" hidden="false" customHeight="false" outlineLevel="0" collapsed="false">
      <c r="A51" s="29" t="s">
        <v>66</v>
      </c>
      <c r="B51" s="30"/>
      <c r="C51" s="30"/>
      <c r="D51" s="30"/>
      <c r="E51" s="30"/>
      <c r="F51" s="30"/>
      <c r="G51" s="30"/>
      <c r="H51" s="30"/>
      <c r="I51" s="30"/>
      <c r="J51" s="30"/>
    </row>
    <row r="52" customFormat="false" ht="15" hidden="false" customHeight="false" outlineLevel="0" collapsed="false">
      <c r="A52" s="5" t="n">
        <v>35</v>
      </c>
      <c r="B52" s="6" t="s">
        <v>66</v>
      </c>
      <c r="C52" s="6" t="s">
        <v>8</v>
      </c>
      <c r="D52" s="6" t="s">
        <v>263</v>
      </c>
      <c r="E52" s="31" t="n">
        <f aca="false">Narxlar!$C$76</f>
        <v>0.9</v>
      </c>
      <c r="F52" s="31" t="n">
        <f aca="false">Narxlar!$C$72</f>
        <v>2.5</v>
      </c>
      <c r="G52" s="51" t="n">
        <f aca="false">E52*F52</f>
        <v>2.25</v>
      </c>
      <c r="H52" s="5" t="s">
        <v>157</v>
      </c>
      <c r="I52" s="7" t="n">
        <f aca="false">Narxlar!$C$5</f>
        <v>55</v>
      </c>
      <c r="J52" s="53" t="n">
        <f aca="false">G52*I52</f>
        <v>123.75</v>
      </c>
    </row>
    <row r="53" customFormat="false" ht="15" hidden="false" customHeight="false" outlineLevel="0" collapsed="false">
      <c r="A53" s="5" t="n">
        <v>36</v>
      </c>
      <c r="B53" s="6" t="s">
        <v>66</v>
      </c>
      <c r="C53" s="6" t="s">
        <v>9</v>
      </c>
      <c r="D53" s="6" t="s">
        <v>264</v>
      </c>
      <c r="E53" s="50" t="n">
        <v>1</v>
      </c>
      <c r="F53" s="31" t="n">
        <f aca="false">Narxlar!$C$71</f>
        <v>3.5</v>
      </c>
      <c r="G53" s="51" t="n">
        <f aca="false">E53*F53</f>
        <v>3.5</v>
      </c>
      <c r="H53" s="5" t="s">
        <v>157</v>
      </c>
      <c r="I53" s="7" t="n">
        <f aca="false">Narxlar!$C$6</f>
        <v>12</v>
      </c>
      <c r="J53" s="53" t="n">
        <f aca="false">G53*I53</f>
        <v>42</v>
      </c>
    </row>
    <row r="54" customFormat="false" ht="15" hidden="false" customHeight="false" outlineLevel="0" collapsed="false">
      <c r="A54" s="5" t="n">
        <v>37</v>
      </c>
      <c r="B54" s="6" t="s">
        <v>66</v>
      </c>
      <c r="C54" s="6" t="s">
        <v>9</v>
      </c>
      <c r="D54" s="6" t="s">
        <v>265</v>
      </c>
      <c r="E54" s="50" t="n">
        <v>4.5</v>
      </c>
      <c r="F54" s="31" t="n">
        <f aca="false">Narxlar!$C$71</f>
        <v>3.5</v>
      </c>
      <c r="G54" s="51" t="n">
        <f aca="false">E54*F54</f>
        <v>15.75</v>
      </c>
      <c r="H54" s="5" t="s">
        <v>157</v>
      </c>
      <c r="I54" s="7" t="n">
        <f aca="false">Narxlar!$C$6</f>
        <v>12</v>
      </c>
      <c r="J54" s="53" t="n">
        <f aca="false">G54*I54</f>
        <v>189</v>
      </c>
    </row>
    <row r="55" customFormat="false" ht="15" hidden="false" customHeight="false" outlineLevel="0" collapsed="false">
      <c r="A55" s="5" t="n">
        <v>38</v>
      </c>
      <c r="B55" s="6" t="s">
        <v>66</v>
      </c>
      <c r="C55" s="6" t="s">
        <v>9</v>
      </c>
      <c r="D55" s="6" t="s">
        <v>266</v>
      </c>
      <c r="E55" s="50" t="n">
        <v>1.5</v>
      </c>
      <c r="F55" s="31" t="n">
        <f aca="false">Narxlar!$C$71</f>
        <v>3.5</v>
      </c>
      <c r="G55" s="51" t="n">
        <f aca="false">E55*F55</f>
        <v>5.25</v>
      </c>
      <c r="H55" s="5" t="s">
        <v>157</v>
      </c>
      <c r="I55" s="7" t="n">
        <f aca="false">Narxlar!$C$6</f>
        <v>12</v>
      </c>
      <c r="J55" s="53" t="n">
        <f aca="false">G55*I55</f>
        <v>63</v>
      </c>
    </row>
    <row r="56" customFormat="false" ht="15" hidden="false" customHeight="false" outlineLevel="0" collapsed="false">
      <c r="A56" s="5" t="n">
        <v>39</v>
      </c>
      <c r="B56" s="6" t="s">
        <v>66</v>
      </c>
      <c r="C56" s="6" t="s">
        <v>9</v>
      </c>
      <c r="D56" s="6" t="s">
        <v>267</v>
      </c>
      <c r="E56" s="50" t="n">
        <v>1.15</v>
      </c>
      <c r="F56" s="31" t="n">
        <f aca="false">Narxlar!$C$71</f>
        <v>3.5</v>
      </c>
      <c r="G56" s="51" t="n">
        <f aca="false">E56*F56</f>
        <v>4.025</v>
      </c>
      <c r="H56" s="5" t="s">
        <v>157</v>
      </c>
      <c r="I56" s="7" t="n">
        <f aca="false">Narxlar!$C$6</f>
        <v>12</v>
      </c>
      <c r="J56" s="53" t="n">
        <f aca="false">G56*I56</f>
        <v>48.3</v>
      </c>
    </row>
    <row r="57" customFormat="false" ht="15" hidden="false" customHeight="false" outlineLevel="0" collapsed="false">
      <c r="A57" s="5" t="n">
        <v>40</v>
      </c>
      <c r="B57" s="6" t="s">
        <v>66</v>
      </c>
      <c r="C57" s="6" t="s">
        <v>9</v>
      </c>
      <c r="D57" s="6" t="s">
        <v>268</v>
      </c>
      <c r="E57" s="50" t="n">
        <v>0.1</v>
      </c>
      <c r="F57" s="31" t="n">
        <f aca="false">Narxlar!$C$71</f>
        <v>3.5</v>
      </c>
      <c r="G57" s="51" t="n">
        <f aca="false">E57*F57</f>
        <v>0.35</v>
      </c>
      <c r="H57" s="5" t="s">
        <v>157</v>
      </c>
      <c r="I57" s="7" t="n">
        <f aca="false">Narxlar!$C$6</f>
        <v>12</v>
      </c>
      <c r="J57" s="53" t="n">
        <f aca="false">G57*I57</f>
        <v>4.2</v>
      </c>
    </row>
    <row r="58" customFormat="false" ht="15" hidden="false" customHeight="false" outlineLevel="0" collapsed="false">
      <c r="A58" s="5" t="n">
        <v>41</v>
      </c>
      <c r="B58" s="6" t="s">
        <v>66</v>
      </c>
      <c r="C58" s="6" t="s">
        <v>9</v>
      </c>
      <c r="D58" s="6" t="s">
        <v>269</v>
      </c>
      <c r="E58" s="50" t="n">
        <v>0.1</v>
      </c>
      <c r="F58" s="31" t="n">
        <f aca="false">Narxlar!$C$71</f>
        <v>3.5</v>
      </c>
      <c r="G58" s="51" t="n">
        <f aca="false">E58*F58</f>
        <v>0.35</v>
      </c>
      <c r="H58" s="5" t="s">
        <v>157</v>
      </c>
      <c r="I58" s="7" t="n">
        <f aca="false">Narxlar!$C$6</f>
        <v>12</v>
      </c>
      <c r="J58" s="53" t="n">
        <f aca="false">G58*I58</f>
        <v>4.2</v>
      </c>
    </row>
    <row r="59" customFormat="false" ht="15" hidden="false" customHeight="false" outlineLevel="0" collapsed="false">
      <c r="A59" s="5" t="n">
        <v>42</v>
      </c>
      <c r="B59" s="6" t="s">
        <v>66</v>
      </c>
      <c r="C59" s="6" t="s">
        <v>9</v>
      </c>
      <c r="D59" s="6" t="s">
        <v>269</v>
      </c>
      <c r="E59" s="50" t="n">
        <v>0.25</v>
      </c>
      <c r="F59" s="31" t="n">
        <f aca="false">Narxlar!$C$71</f>
        <v>3.5</v>
      </c>
      <c r="G59" s="51" t="n">
        <f aca="false">E59*F59</f>
        <v>0.875</v>
      </c>
      <c r="H59" s="5" t="s">
        <v>157</v>
      </c>
      <c r="I59" s="7" t="n">
        <f aca="false">Narxlar!$C$6</f>
        <v>12</v>
      </c>
      <c r="J59" s="53" t="n">
        <f aca="false">G59*I59</f>
        <v>10.5</v>
      </c>
    </row>
    <row r="60" customFormat="false" ht="15" hidden="false" customHeight="false" outlineLevel="0" collapsed="false">
      <c r="A60" s="5" t="n">
        <v>43</v>
      </c>
      <c r="B60" s="6" t="s">
        <v>66</v>
      </c>
      <c r="C60" s="6" t="s">
        <v>9</v>
      </c>
      <c r="D60" s="6" t="s">
        <v>270</v>
      </c>
      <c r="E60" s="50" t="n">
        <v>1.5</v>
      </c>
      <c r="F60" s="31" t="n">
        <f aca="false">Narxlar!$C$71</f>
        <v>3.5</v>
      </c>
      <c r="G60" s="51" t="n">
        <f aca="false">E60*F60</f>
        <v>5.25</v>
      </c>
      <c r="H60" s="5" t="s">
        <v>157</v>
      </c>
      <c r="I60" s="7" t="n">
        <f aca="false">Narxlar!$C$6</f>
        <v>12</v>
      </c>
      <c r="J60" s="53" t="n">
        <f aca="false">G60*I60</f>
        <v>63</v>
      </c>
    </row>
    <row r="61" customFormat="false" ht="15" hidden="false" customHeight="false" outlineLevel="0" collapsed="false">
      <c r="A61" s="5" t="n">
        <v>44</v>
      </c>
      <c r="B61" s="6" t="s">
        <v>66</v>
      </c>
      <c r="C61" s="6" t="s">
        <v>9</v>
      </c>
      <c r="D61" s="6" t="s">
        <v>271</v>
      </c>
      <c r="E61" s="50" t="n">
        <v>4.5</v>
      </c>
      <c r="F61" s="31" t="n">
        <f aca="false">Narxlar!$C$71</f>
        <v>3.5</v>
      </c>
      <c r="G61" s="51" t="n">
        <f aca="false">E61*F61</f>
        <v>15.75</v>
      </c>
      <c r="H61" s="5" t="s">
        <v>157</v>
      </c>
      <c r="I61" s="7" t="n">
        <f aca="false">Narxlar!$C$6</f>
        <v>12</v>
      </c>
      <c r="J61" s="53" t="n">
        <f aca="false">G61*I61</f>
        <v>189</v>
      </c>
    </row>
    <row r="62" customFormat="false" ht="15" hidden="false" customHeight="false" outlineLevel="0" collapsed="false">
      <c r="A62" s="5" t="n">
        <v>45</v>
      </c>
      <c r="B62" s="6" t="s">
        <v>66</v>
      </c>
      <c r="C62" s="6" t="s">
        <v>9</v>
      </c>
      <c r="D62" s="6" t="s">
        <v>272</v>
      </c>
      <c r="E62" s="31" t="n">
        <f aca="false">Narxlar!$C$76</f>
        <v>0.9</v>
      </c>
      <c r="F62" s="31" t="n">
        <f aca="false">Narxlar!$C$73</f>
        <v>1</v>
      </c>
      <c r="G62" s="51" t="n">
        <f aca="false">E62*F62</f>
        <v>0.9</v>
      </c>
      <c r="H62" s="5" t="s">
        <v>157</v>
      </c>
      <c r="I62" s="7" t="n">
        <f aca="false">Narxlar!$C$6</f>
        <v>12</v>
      </c>
      <c r="J62" s="53" t="n">
        <f aca="false">G62*I62</f>
        <v>10.8</v>
      </c>
    </row>
    <row r="63" customFormat="false" ht="15" hidden="false" customHeight="false" outlineLevel="0" collapsed="false">
      <c r="A63" s="5" t="n">
        <v>46</v>
      </c>
      <c r="B63" s="6" t="s">
        <v>66</v>
      </c>
      <c r="C63" s="6" t="s">
        <v>10</v>
      </c>
      <c r="D63" s="6" t="s">
        <v>255</v>
      </c>
      <c r="E63" s="50" t="n">
        <v>8.8</v>
      </c>
      <c r="F63" s="31" t="n">
        <f aca="false">Narxlar!$C$77</f>
        <v>3.5</v>
      </c>
      <c r="G63" s="51" t="n">
        <f aca="false">E63*F63</f>
        <v>30.8</v>
      </c>
      <c r="H63" s="5" t="s">
        <v>157</v>
      </c>
      <c r="I63" s="7" t="n">
        <f aca="false">Narxlar!$C$7</f>
        <v>15.5</v>
      </c>
      <c r="J63" s="53" t="n">
        <f aca="false">G63*I63</f>
        <v>477.4</v>
      </c>
    </row>
    <row r="64" customFormat="false" ht="15" hidden="false" customHeight="false" outlineLevel="0" collapsed="false">
      <c r="A64" s="5" t="n">
        <v>47</v>
      </c>
      <c r="B64" s="6" t="s">
        <v>66</v>
      </c>
      <c r="C64" s="6" t="s">
        <v>10</v>
      </c>
      <c r="D64" s="6" t="s">
        <v>273</v>
      </c>
      <c r="E64" s="50" t="n">
        <v>5.6</v>
      </c>
      <c r="F64" s="31" t="n">
        <f aca="false">Narxlar!$C$77</f>
        <v>3.5</v>
      </c>
      <c r="G64" s="51" t="n">
        <f aca="false">E64*F64</f>
        <v>19.6</v>
      </c>
      <c r="H64" s="5" t="s">
        <v>157</v>
      </c>
      <c r="I64" s="7" t="n">
        <f aca="false">Narxlar!$C$7</f>
        <v>15.5</v>
      </c>
      <c r="J64" s="53" t="n">
        <f aca="false">G64*I64</f>
        <v>303.8</v>
      </c>
    </row>
    <row r="65" customFormat="false" ht="15" hidden="false" customHeight="false" outlineLevel="0" collapsed="false">
      <c r="A65" s="5" t="n">
        <v>48</v>
      </c>
      <c r="B65" s="6" t="s">
        <v>66</v>
      </c>
      <c r="C65" s="6" t="s">
        <v>11</v>
      </c>
      <c r="D65" s="6" t="s">
        <v>257</v>
      </c>
      <c r="E65" s="50"/>
      <c r="F65" s="51"/>
      <c r="G65" s="52" t="n">
        <v>1</v>
      </c>
      <c r="H65" s="5" t="s">
        <v>113</v>
      </c>
      <c r="I65" s="7" t="n">
        <f aca="false">Narxlar!$C$8</f>
        <v>1032</v>
      </c>
      <c r="J65" s="53" t="n">
        <f aca="false">G65*I65</f>
        <v>1032</v>
      </c>
    </row>
    <row r="66" customFormat="false" ht="15" hidden="false" customHeight="false" outlineLevel="0" collapsed="false">
      <c r="A66" s="5" t="n">
        <v>49</v>
      </c>
      <c r="B66" s="6" t="s">
        <v>66</v>
      </c>
      <c r="C66" s="6" t="s">
        <v>13</v>
      </c>
      <c r="D66" s="6" t="s">
        <v>258</v>
      </c>
      <c r="E66" s="50"/>
      <c r="F66" s="51"/>
      <c r="G66" s="52" t="n">
        <v>1</v>
      </c>
      <c r="H66" s="5" t="s">
        <v>245</v>
      </c>
      <c r="I66" s="7" t="n">
        <f aca="false">Narxlar!$C$12</f>
        <v>168</v>
      </c>
      <c r="J66" s="53" t="n">
        <f aca="false">G66*I66</f>
        <v>168</v>
      </c>
    </row>
    <row r="67" customFormat="false" ht="15" hidden="false" customHeight="false" outlineLevel="0" collapsed="false">
      <c r="A67" s="54"/>
      <c r="B67" s="54"/>
      <c r="C67" s="54"/>
      <c r="D67" s="11" t="s">
        <v>274</v>
      </c>
      <c r="E67" s="54"/>
      <c r="F67" s="54"/>
      <c r="G67" s="54"/>
      <c r="H67" s="54"/>
      <c r="I67" s="54"/>
      <c r="J67" s="12" t="n">
        <f aca="false">SUM(J52:J66)</f>
        <v>2728.95</v>
      </c>
    </row>
    <row r="69" customFormat="false" ht="15" hidden="false" customHeight="false" outlineLevel="0" collapsed="false">
      <c r="A69" s="29" t="s">
        <v>67</v>
      </c>
      <c r="B69" s="30"/>
      <c r="C69" s="30"/>
      <c r="D69" s="30"/>
      <c r="E69" s="30"/>
      <c r="F69" s="30"/>
      <c r="G69" s="30"/>
      <c r="H69" s="30"/>
      <c r="I69" s="30"/>
      <c r="J69" s="30"/>
    </row>
    <row r="70" customFormat="false" ht="15" hidden="false" customHeight="false" outlineLevel="0" collapsed="false">
      <c r="A70" s="5" t="n">
        <v>50</v>
      </c>
      <c r="B70" s="6" t="s">
        <v>67</v>
      </c>
      <c r="C70" s="6" t="s">
        <v>8</v>
      </c>
      <c r="D70" s="6" t="s">
        <v>263</v>
      </c>
      <c r="E70" s="31" t="n">
        <f aca="false">Narxlar!$C$76</f>
        <v>0.9</v>
      </c>
      <c r="F70" s="31" t="n">
        <f aca="false">Narxlar!$C$72</f>
        <v>2.5</v>
      </c>
      <c r="G70" s="51" t="n">
        <f aca="false">E70*F70</f>
        <v>2.25</v>
      </c>
      <c r="H70" s="5" t="s">
        <v>157</v>
      </c>
      <c r="I70" s="7" t="n">
        <f aca="false">Narxlar!$C$5</f>
        <v>55</v>
      </c>
      <c r="J70" s="53" t="n">
        <f aca="false">G70*I70</f>
        <v>123.75</v>
      </c>
    </row>
    <row r="71" customFormat="false" ht="15" hidden="false" customHeight="false" outlineLevel="0" collapsed="false">
      <c r="A71" s="5" t="n">
        <v>51</v>
      </c>
      <c r="B71" s="6" t="s">
        <v>67</v>
      </c>
      <c r="C71" s="6" t="s">
        <v>9</v>
      </c>
      <c r="D71" s="6" t="s">
        <v>275</v>
      </c>
      <c r="E71" s="50" t="n">
        <v>2.75</v>
      </c>
      <c r="F71" s="31" t="n">
        <f aca="false">Narxlar!$C$71</f>
        <v>3.5</v>
      </c>
      <c r="G71" s="51" t="n">
        <f aca="false">E71*F71</f>
        <v>9.625</v>
      </c>
      <c r="H71" s="5" t="s">
        <v>157</v>
      </c>
      <c r="I71" s="7" t="n">
        <f aca="false">Narxlar!$C$6</f>
        <v>12</v>
      </c>
      <c r="J71" s="53" t="n">
        <f aca="false">G71*I71</f>
        <v>115.5</v>
      </c>
    </row>
    <row r="72" customFormat="false" ht="15" hidden="false" customHeight="false" outlineLevel="0" collapsed="false">
      <c r="A72" s="5" t="n">
        <v>52</v>
      </c>
      <c r="B72" s="6" t="s">
        <v>67</v>
      </c>
      <c r="C72" s="6" t="s">
        <v>9</v>
      </c>
      <c r="D72" s="6" t="s">
        <v>269</v>
      </c>
      <c r="E72" s="50" t="n">
        <v>0.15</v>
      </c>
      <c r="F72" s="31" t="n">
        <f aca="false">Narxlar!$C$71</f>
        <v>3.5</v>
      </c>
      <c r="G72" s="51" t="n">
        <f aca="false">E72*F72</f>
        <v>0.525</v>
      </c>
      <c r="H72" s="5" t="s">
        <v>157</v>
      </c>
      <c r="I72" s="7" t="n">
        <f aca="false">Narxlar!$C$6</f>
        <v>12</v>
      </c>
      <c r="J72" s="53" t="n">
        <f aca="false">G72*I72</f>
        <v>6.3</v>
      </c>
    </row>
    <row r="73" customFormat="false" ht="15" hidden="false" customHeight="false" outlineLevel="0" collapsed="false">
      <c r="A73" s="5" t="n">
        <v>53</v>
      </c>
      <c r="B73" s="6" t="s">
        <v>67</v>
      </c>
      <c r="C73" s="6" t="s">
        <v>9</v>
      </c>
      <c r="D73" s="6" t="s">
        <v>276</v>
      </c>
      <c r="E73" s="50" t="n">
        <v>4.7</v>
      </c>
      <c r="F73" s="31" t="n">
        <f aca="false">Narxlar!$C$71</f>
        <v>3.5</v>
      </c>
      <c r="G73" s="51" t="n">
        <f aca="false">E73*F73</f>
        <v>16.45</v>
      </c>
      <c r="H73" s="5" t="s">
        <v>157</v>
      </c>
      <c r="I73" s="7" t="n">
        <f aca="false">Narxlar!$C$6</f>
        <v>12</v>
      </c>
      <c r="J73" s="53" t="n">
        <f aca="false">G73*I73</f>
        <v>197.4</v>
      </c>
    </row>
    <row r="74" customFormat="false" ht="15" hidden="false" customHeight="false" outlineLevel="0" collapsed="false">
      <c r="A74" s="5" t="n">
        <v>54</v>
      </c>
      <c r="B74" s="6" t="s">
        <v>67</v>
      </c>
      <c r="C74" s="6" t="s">
        <v>9</v>
      </c>
      <c r="D74" s="6" t="s">
        <v>272</v>
      </c>
      <c r="E74" s="31" t="n">
        <f aca="false">Narxlar!$C$76</f>
        <v>0.9</v>
      </c>
      <c r="F74" s="31" t="n">
        <f aca="false">Narxlar!$C$73</f>
        <v>1</v>
      </c>
      <c r="G74" s="51" t="n">
        <f aca="false">E74*F74</f>
        <v>0.9</v>
      </c>
      <c r="H74" s="5" t="s">
        <v>157</v>
      </c>
      <c r="I74" s="7" t="n">
        <f aca="false">Narxlar!$C$6</f>
        <v>12</v>
      </c>
      <c r="J74" s="53" t="n">
        <f aca="false">G74*I74</f>
        <v>10.8</v>
      </c>
    </row>
    <row r="75" customFormat="false" ht="15" hidden="false" customHeight="false" outlineLevel="0" collapsed="false">
      <c r="A75" s="5" t="n">
        <v>55</v>
      </c>
      <c r="B75" s="6" t="s">
        <v>67</v>
      </c>
      <c r="C75" s="6" t="s">
        <v>10</v>
      </c>
      <c r="D75" s="6" t="s">
        <v>255</v>
      </c>
      <c r="E75" s="50" t="n">
        <v>7.7</v>
      </c>
      <c r="F75" s="31" t="n">
        <f aca="false">Narxlar!$C$77</f>
        <v>3.5</v>
      </c>
      <c r="G75" s="51" t="n">
        <f aca="false">E75*F75</f>
        <v>26.95</v>
      </c>
      <c r="H75" s="5" t="s">
        <v>157</v>
      </c>
      <c r="I75" s="7" t="n">
        <f aca="false">Narxlar!$C$7</f>
        <v>15.5</v>
      </c>
      <c r="J75" s="53" t="n">
        <f aca="false">G75*I75</f>
        <v>417.725</v>
      </c>
    </row>
    <row r="76" customFormat="false" ht="15" hidden="false" customHeight="false" outlineLevel="0" collapsed="false">
      <c r="A76" s="5" t="n">
        <v>56</v>
      </c>
      <c r="B76" s="6" t="s">
        <v>67</v>
      </c>
      <c r="C76" s="6" t="s">
        <v>10</v>
      </c>
      <c r="D76" s="6" t="s">
        <v>256</v>
      </c>
      <c r="E76" s="50" t="n">
        <v>7.7</v>
      </c>
      <c r="F76" s="31" t="n">
        <f aca="false">Narxlar!$C$77</f>
        <v>3.5</v>
      </c>
      <c r="G76" s="51" t="n">
        <f aca="false">E76*F76</f>
        <v>26.95</v>
      </c>
      <c r="H76" s="5" t="s">
        <v>157</v>
      </c>
      <c r="I76" s="7" t="n">
        <f aca="false">Narxlar!$C$7</f>
        <v>15.5</v>
      </c>
      <c r="J76" s="53" t="n">
        <f aca="false">G76*I76</f>
        <v>417.725</v>
      </c>
    </row>
    <row r="77" customFormat="false" ht="15" hidden="false" customHeight="false" outlineLevel="0" collapsed="false">
      <c r="A77" s="5" t="n">
        <v>57</v>
      </c>
      <c r="B77" s="6" t="s">
        <v>67</v>
      </c>
      <c r="C77" s="6" t="s">
        <v>11</v>
      </c>
      <c r="D77" s="6" t="s">
        <v>257</v>
      </c>
      <c r="E77" s="50"/>
      <c r="F77" s="51"/>
      <c r="G77" s="52" t="n">
        <v>1</v>
      </c>
      <c r="H77" s="5" t="s">
        <v>113</v>
      </c>
      <c r="I77" s="7" t="n">
        <f aca="false">Narxlar!$C$8</f>
        <v>1032</v>
      </c>
      <c r="J77" s="53" t="n">
        <f aca="false">G77*I77</f>
        <v>1032</v>
      </c>
    </row>
    <row r="78" customFormat="false" ht="15" hidden="false" customHeight="false" outlineLevel="0" collapsed="false">
      <c r="A78" s="5" t="n">
        <v>58</v>
      </c>
      <c r="B78" s="6" t="s">
        <v>67</v>
      </c>
      <c r="C78" s="6" t="s">
        <v>13</v>
      </c>
      <c r="D78" s="6" t="s">
        <v>258</v>
      </c>
      <c r="E78" s="50"/>
      <c r="F78" s="51"/>
      <c r="G78" s="52" t="n">
        <v>1</v>
      </c>
      <c r="H78" s="5" t="s">
        <v>245</v>
      </c>
      <c r="I78" s="7" t="n">
        <f aca="false">Narxlar!$C$12</f>
        <v>168</v>
      </c>
      <c r="J78" s="53" t="n">
        <f aca="false">G78*I78</f>
        <v>168</v>
      </c>
    </row>
    <row r="79" customFormat="false" ht="15" hidden="false" customHeight="false" outlineLevel="0" collapsed="false">
      <c r="A79" s="54"/>
      <c r="B79" s="54"/>
      <c r="C79" s="54"/>
      <c r="D79" s="11" t="s">
        <v>277</v>
      </c>
      <c r="E79" s="54"/>
      <c r="F79" s="54"/>
      <c r="G79" s="54"/>
      <c r="H79" s="54"/>
      <c r="I79" s="54"/>
      <c r="J79" s="12" t="n">
        <f aca="false">SUM(J70:J78)</f>
        <v>2489.2</v>
      </c>
    </row>
    <row r="81" customFormat="false" ht="15" hidden="false" customHeight="false" outlineLevel="0" collapsed="false">
      <c r="A81" s="29" t="s">
        <v>68</v>
      </c>
      <c r="B81" s="30"/>
      <c r="C81" s="30"/>
      <c r="D81" s="30"/>
      <c r="E81" s="30"/>
      <c r="F81" s="30"/>
      <c r="G81" s="30"/>
      <c r="H81" s="30"/>
      <c r="I81" s="30"/>
      <c r="J81" s="30"/>
    </row>
    <row r="82" customFormat="false" ht="15" hidden="false" customHeight="false" outlineLevel="0" collapsed="false">
      <c r="A82" s="5" t="n">
        <v>59</v>
      </c>
      <c r="B82" s="6" t="s">
        <v>68</v>
      </c>
      <c r="C82" s="6" t="s">
        <v>8</v>
      </c>
      <c r="D82" s="6" t="s">
        <v>278</v>
      </c>
      <c r="E82" s="50" t="n">
        <v>4.7</v>
      </c>
      <c r="F82" s="31" t="n">
        <f aca="false">Narxlar!$C$72</f>
        <v>2.5</v>
      </c>
      <c r="G82" s="51" t="n">
        <f aca="false">E82*F82</f>
        <v>11.75</v>
      </c>
      <c r="H82" s="5" t="s">
        <v>157</v>
      </c>
      <c r="I82" s="7" t="n">
        <f aca="false">Narxlar!$C$5</f>
        <v>55</v>
      </c>
      <c r="J82" s="53" t="n">
        <f aca="false">G82*I82</f>
        <v>646.25</v>
      </c>
    </row>
    <row r="83" customFormat="false" ht="15" hidden="false" customHeight="false" outlineLevel="0" collapsed="false">
      <c r="A83" s="5" t="n">
        <v>60</v>
      </c>
      <c r="B83" s="6" t="s">
        <v>68</v>
      </c>
      <c r="C83" s="6" t="s">
        <v>8</v>
      </c>
      <c r="D83" s="6" t="s">
        <v>263</v>
      </c>
      <c r="E83" s="31" t="n">
        <f aca="false">Narxlar!$C$76</f>
        <v>0.9</v>
      </c>
      <c r="F83" s="31" t="n">
        <f aca="false">Narxlar!$C$72</f>
        <v>2.5</v>
      </c>
      <c r="G83" s="51" t="n">
        <f aca="false">E83*F83</f>
        <v>2.25</v>
      </c>
      <c r="H83" s="5" t="s">
        <v>157</v>
      </c>
      <c r="I83" s="7" t="n">
        <f aca="false">Narxlar!$C$5</f>
        <v>55</v>
      </c>
      <c r="J83" s="53" t="n">
        <f aca="false">G83*I83</f>
        <v>123.75</v>
      </c>
    </row>
    <row r="84" customFormat="false" ht="15" hidden="false" customHeight="false" outlineLevel="0" collapsed="false">
      <c r="A84" s="5" t="n">
        <v>61</v>
      </c>
      <c r="B84" s="6" t="s">
        <v>68</v>
      </c>
      <c r="C84" s="6" t="s">
        <v>9</v>
      </c>
      <c r="D84" s="6" t="s">
        <v>279</v>
      </c>
      <c r="E84" s="50" t="n">
        <v>2.75</v>
      </c>
      <c r="F84" s="31" t="n">
        <f aca="false">Narxlar!$C$71</f>
        <v>3.5</v>
      </c>
      <c r="G84" s="51" t="n">
        <f aca="false">E84*F84</f>
        <v>9.625</v>
      </c>
      <c r="H84" s="5" t="s">
        <v>157</v>
      </c>
      <c r="I84" s="7" t="n">
        <f aca="false">Narxlar!$C$6</f>
        <v>12</v>
      </c>
      <c r="J84" s="53" t="n">
        <f aca="false">G84*I84</f>
        <v>115.5</v>
      </c>
    </row>
    <row r="85" customFormat="false" ht="15" hidden="false" customHeight="false" outlineLevel="0" collapsed="false">
      <c r="A85" s="5" t="n">
        <v>62</v>
      </c>
      <c r="B85" s="6" t="s">
        <v>68</v>
      </c>
      <c r="C85" s="6" t="s">
        <v>9</v>
      </c>
      <c r="D85" s="6" t="s">
        <v>280</v>
      </c>
      <c r="E85" s="50" t="n">
        <v>2.75</v>
      </c>
      <c r="F85" s="31" t="n">
        <f aca="false">Narxlar!$C$71</f>
        <v>3.5</v>
      </c>
      <c r="G85" s="51" t="n">
        <f aca="false">E85*F85</f>
        <v>9.625</v>
      </c>
      <c r="H85" s="5" t="s">
        <v>157</v>
      </c>
      <c r="I85" s="7" t="n">
        <f aca="false">Narxlar!$C$6</f>
        <v>12</v>
      </c>
      <c r="J85" s="53" t="n">
        <f aca="false">G85*I85</f>
        <v>115.5</v>
      </c>
    </row>
    <row r="86" customFormat="false" ht="15" hidden="false" customHeight="false" outlineLevel="0" collapsed="false">
      <c r="A86" s="5" t="n">
        <v>63</v>
      </c>
      <c r="B86" s="6" t="s">
        <v>68</v>
      </c>
      <c r="C86" s="6" t="s">
        <v>9</v>
      </c>
      <c r="D86" s="6" t="s">
        <v>269</v>
      </c>
      <c r="E86" s="50" t="n">
        <v>0.2</v>
      </c>
      <c r="F86" s="31" t="n">
        <f aca="false">Narxlar!$C$71</f>
        <v>3.5</v>
      </c>
      <c r="G86" s="51" t="n">
        <f aca="false">E86*F86</f>
        <v>0.7</v>
      </c>
      <c r="H86" s="5" t="s">
        <v>157</v>
      </c>
      <c r="I86" s="7" t="n">
        <f aca="false">Narxlar!$C$6</f>
        <v>12</v>
      </c>
      <c r="J86" s="53" t="n">
        <f aca="false">G86*I86</f>
        <v>8.4</v>
      </c>
    </row>
    <row r="87" customFormat="false" ht="15" hidden="false" customHeight="false" outlineLevel="0" collapsed="false">
      <c r="A87" s="5" t="n">
        <v>64</v>
      </c>
      <c r="B87" s="6" t="s">
        <v>68</v>
      </c>
      <c r="C87" s="6" t="s">
        <v>9</v>
      </c>
      <c r="D87" s="6" t="s">
        <v>281</v>
      </c>
      <c r="E87" s="50" t="n">
        <v>4.7</v>
      </c>
      <c r="F87" s="31" t="n">
        <f aca="false">Narxlar!$C$73</f>
        <v>1</v>
      </c>
      <c r="G87" s="51" t="n">
        <f aca="false">E87*F87</f>
        <v>4.7</v>
      </c>
      <c r="H87" s="5" t="s">
        <v>157</v>
      </c>
      <c r="I87" s="7" t="n">
        <f aca="false">Narxlar!$C$6</f>
        <v>12</v>
      </c>
      <c r="J87" s="53" t="n">
        <f aca="false">G87*I87</f>
        <v>56.4</v>
      </c>
    </row>
    <row r="88" customFormat="false" ht="15" hidden="false" customHeight="false" outlineLevel="0" collapsed="false">
      <c r="A88" s="5" t="n">
        <v>65</v>
      </c>
      <c r="B88" s="6" t="s">
        <v>68</v>
      </c>
      <c r="C88" s="6" t="s">
        <v>9</v>
      </c>
      <c r="D88" s="6" t="s">
        <v>272</v>
      </c>
      <c r="E88" s="31" t="n">
        <f aca="false">Narxlar!$C$76</f>
        <v>0.9</v>
      </c>
      <c r="F88" s="31" t="n">
        <f aca="false">Narxlar!$C$73</f>
        <v>1</v>
      </c>
      <c r="G88" s="51" t="n">
        <f aca="false">E88*F88</f>
        <v>0.9</v>
      </c>
      <c r="H88" s="5" t="s">
        <v>157</v>
      </c>
      <c r="I88" s="7" t="n">
        <f aca="false">Narxlar!$C$6</f>
        <v>12</v>
      </c>
      <c r="J88" s="53" t="n">
        <f aca="false">G88*I88</f>
        <v>10.8</v>
      </c>
    </row>
    <row r="89" customFormat="false" ht="15" hidden="false" customHeight="false" outlineLevel="0" collapsed="false">
      <c r="A89" s="5" t="n">
        <v>66</v>
      </c>
      <c r="B89" s="6" t="s">
        <v>68</v>
      </c>
      <c r="C89" s="6" t="s">
        <v>10</v>
      </c>
      <c r="D89" s="6" t="s">
        <v>255</v>
      </c>
      <c r="E89" s="50" t="n">
        <v>7.7</v>
      </c>
      <c r="F89" s="31" t="n">
        <f aca="false">Narxlar!$C$77</f>
        <v>3.5</v>
      </c>
      <c r="G89" s="51" t="n">
        <f aca="false">E89*F89</f>
        <v>26.95</v>
      </c>
      <c r="H89" s="5" t="s">
        <v>157</v>
      </c>
      <c r="I89" s="7" t="n">
        <f aca="false">Narxlar!$C$7</f>
        <v>15.5</v>
      </c>
      <c r="J89" s="53" t="n">
        <f aca="false">G89*I89</f>
        <v>417.725</v>
      </c>
    </row>
    <row r="90" customFormat="false" ht="15" hidden="false" customHeight="false" outlineLevel="0" collapsed="false">
      <c r="A90" s="5" t="n">
        <v>67</v>
      </c>
      <c r="B90" s="6" t="s">
        <v>68</v>
      </c>
      <c r="C90" s="6" t="s">
        <v>10</v>
      </c>
      <c r="D90" s="6" t="s">
        <v>256</v>
      </c>
      <c r="E90" s="50" t="n">
        <v>7.7</v>
      </c>
      <c r="F90" s="31" t="n">
        <f aca="false">Narxlar!$C$77</f>
        <v>3.5</v>
      </c>
      <c r="G90" s="51" t="n">
        <f aca="false">E90*F90</f>
        <v>26.95</v>
      </c>
      <c r="H90" s="5" t="s">
        <v>157</v>
      </c>
      <c r="I90" s="7" t="n">
        <f aca="false">Narxlar!$C$7</f>
        <v>15.5</v>
      </c>
      <c r="J90" s="53" t="n">
        <f aca="false">G90*I90</f>
        <v>417.725</v>
      </c>
    </row>
    <row r="91" customFormat="false" ht="15" hidden="false" customHeight="false" outlineLevel="0" collapsed="false">
      <c r="A91" s="5" t="n">
        <v>68</v>
      </c>
      <c r="B91" s="6" t="s">
        <v>68</v>
      </c>
      <c r="C91" s="6" t="s">
        <v>11</v>
      </c>
      <c r="D91" s="6" t="s">
        <v>257</v>
      </c>
      <c r="E91" s="50"/>
      <c r="F91" s="51"/>
      <c r="G91" s="52" t="n">
        <v>1</v>
      </c>
      <c r="H91" s="5" t="s">
        <v>113</v>
      </c>
      <c r="I91" s="7" t="n">
        <f aca="false">Narxlar!$C$8</f>
        <v>1032</v>
      </c>
      <c r="J91" s="53" t="n">
        <f aca="false">G91*I91</f>
        <v>1032</v>
      </c>
    </row>
    <row r="92" customFormat="false" ht="15" hidden="false" customHeight="false" outlineLevel="0" collapsed="false">
      <c r="A92" s="5" t="n">
        <v>69</v>
      </c>
      <c r="B92" s="6" t="s">
        <v>68</v>
      </c>
      <c r="C92" s="6" t="s">
        <v>13</v>
      </c>
      <c r="D92" s="6" t="s">
        <v>258</v>
      </c>
      <c r="E92" s="50"/>
      <c r="F92" s="51"/>
      <c r="G92" s="52" t="n">
        <v>1</v>
      </c>
      <c r="H92" s="5" t="s">
        <v>245</v>
      </c>
      <c r="I92" s="7" t="n">
        <f aca="false">Narxlar!$C$12</f>
        <v>168</v>
      </c>
      <c r="J92" s="53" t="n">
        <f aca="false">G92*I92</f>
        <v>168</v>
      </c>
    </row>
    <row r="93" customFormat="false" ht="15" hidden="false" customHeight="false" outlineLevel="0" collapsed="false">
      <c r="A93" s="54"/>
      <c r="B93" s="54"/>
      <c r="C93" s="54"/>
      <c r="D93" s="11" t="s">
        <v>282</v>
      </c>
      <c r="E93" s="54"/>
      <c r="F93" s="54"/>
      <c r="G93" s="54"/>
      <c r="H93" s="54"/>
      <c r="I93" s="54"/>
      <c r="J93" s="12" t="n">
        <f aca="false">SUM(J82:J92)</f>
        <v>3112.05</v>
      </c>
    </row>
    <row r="95" customFormat="false" ht="15" hidden="false" customHeight="false" outlineLevel="0" collapsed="false">
      <c r="A95" s="29" t="s">
        <v>69</v>
      </c>
      <c r="B95" s="30"/>
      <c r="C95" s="30"/>
      <c r="D95" s="30"/>
      <c r="E95" s="30"/>
      <c r="F95" s="30"/>
      <c r="G95" s="30"/>
      <c r="H95" s="30"/>
      <c r="I95" s="30"/>
      <c r="J95" s="30"/>
    </row>
    <row r="96" customFormat="false" ht="15" hidden="false" customHeight="false" outlineLevel="0" collapsed="false">
      <c r="A96" s="5" t="n">
        <v>70</v>
      </c>
      <c r="B96" s="6" t="s">
        <v>69</v>
      </c>
      <c r="C96" s="6" t="s">
        <v>8</v>
      </c>
      <c r="D96" s="6" t="s">
        <v>278</v>
      </c>
      <c r="E96" s="50" t="n">
        <v>4.7</v>
      </c>
      <c r="F96" s="31" t="n">
        <f aca="false">Narxlar!$C$72</f>
        <v>2.5</v>
      </c>
      <c r="G96" s="51" t="n">
        <f aca="false">E96*F96</f>
        <v>11.75</v>
      </c>
      <c r="H96" s="5" t="s">
        <v>157</v>
      </c>
      <c r="I96" s="7" t="n">
        <f aca="false">Narxlar!$C$5</f>
        <v>55</v>
      </c>
      <c r="J96" s="53" t="n">
        <f aca="false">G96*I96</f>
        <v>646.25</v>
      </c>
    </row>
    <row r="97" customFormat="false" ht="15" hidden="false" customHeight="false" outlineLevel="0" collapsed="false">
      <c r="A97" s="5" t="n">
        <v>71</v>
      </c>
      <c r="B97" s="6" t="s">
        <v>69</v>
      </c>
      <c r="C97" s="6" t="s">
        <v>8</v>
      </c>
      <c r="D97" s="6" t="s">
        <v>263</v>
      </c>
      <c r="E97" s="31" t="n">
        <f aca="false">Narxlar!$C$76</f>
        <v>0.9</v>
      </c>
      <c r="F97" s="31" t="n">
        <f aca="false">Narxlar!$C$72</f>
        <v>2.5</v>
      </c>
      <c r="G97" s="51" t="n">
        <f aca="false">E97*F97</f>
        <v>2.25</v>
      </c>
      <c r="H97" s="5" t="s">
        <v>157</v>
      </c>
      <c r="I97" s="7" t="n">
        <f aca="false">Narxlar!$C$5</f>
        <v>55</v>
      </c>
      <c r="J97" s="53" t="n">
        <f aca="false">G97*I97</f>
        <v>123.75</v>
      </c>
    </row>
    <row r="98" customFormat="false" ht="15" hidden="false" customHeight="false" outlineLevel="0" collapsed="false">
      <c r="A98" s="5" t="n">
        <v>72</v>
      </c>
      <c r="B98" s="6" t="s">
        <v>69</v>
      </c>
      <c r="C98" s="6" t="s">
        <v>9</v>
      </c>
      <c r="D98" s="6" t="s">
        <v>251</v>
      </c>
      <c r="E98" s="50" t="n">
        <v>1.55</v>
      </c>
      <c r="F98" s="31" t="n">
        <f aca="false">Narxlar!$C$71</f>
        <v>3.5</v>
      </c>
      <c r="G98" s="51" t="n">
        <f aca="false">E98*F98</f>
        <v>5.425</v>
      </c>
      <c r="H98" s="5" t="s">
        <v>157</v>
      </c>
      <c r="I98" s="7" t="n">
        <f aca="false">Narxlar!$C$6</f>
        <v>12</v>
      </c>
      <c r="J98" s="53" t="n">
        <f aca="false">G98*I98</f>
        <v>65.1</v>
      </c>
    </row>
    <row r="99" customFormat="false" ht="15" hidden="false" customHeight="false" outlineLevel="0" collapsed="false">
      <c r="A99" s="5" t="n">
        <v>73</v>
      </c>
      <c r="B99" s="6" t="s">
        <v>69</v>
      </c>
      <c r="C99" s="6" t="s">
        <v>9</v>
      </c>
      <c r="D99" s="6" t="s">
        <v>283</v>
      </c>
      <c r="E99" s="50" t="n">
        <v>2.6</v>
      </c>
      <c r="F99" s="31" t="n">
        <f aca="false">Narxlar!$C$71</f>
        <v>3.5</v>
      </c>
      <c r="G99" s="51" t="n">
        <f aca="false">E99*F99</f>
        <v>9.1</v>
      </c>
      <c r="H99" s="5" t="s">
        <v>157</v>
      </c>
      <c r="I99" s="7" t="n">
        <f aca="false">Narxlar!$C$6</f>
        <v>12</v>
      </c>
      <c r="J99" s="53" t="n">
        <f aca="false">G99*I99</f>
        <v>109.2</v>
      </c>
    </row>
    <row r="100" customFormat="false" ht="15" hidden="false" customHeight="false" outlineLevel="0" collapsed="false">
      <c r="A100" s="5" t="n">
        <v>74</v>
      </c>
      <c r="B100" s="6" t="s">
        <v>69</v>
      </c>
      <c r="C100" s="6" t="s">
        <v>9</v>
      </c>
      <c r="D100" s="6" t="s">
        <v>275</v>
      </c>
      <c r="E100" s="50" t="n">
        <v>2.75</v>
      </c>
      <c r="F100" s="31" t="n">
        <f aca="false">Narxlar!$C$71</f>
        <v>3.5</v>
      </c>
      <c r="G100" s="51" t="n">
        <f aca="false">E100*F100</f>
        <v>9.625</v>
      </c>
      <c r="H100" s="5" t="s">
        <v>157</v>
      </c>
      <c r="I100" s="7" t="n">
        <f aca="false">Narxlar!$C$6</f>
        <v>12</v>
      </c>
      <c r="J100" s="53" t="n">
        <f aca="false">G100*I100</f>
        <v>115.5</v>
      </c>
    </row>
    <row r="101" customFormat="false" ht="15" hidden="false" customHeight="false" outlineLevel="0" collapsed="false">
      <c r="A101" s="5" t="n">
        <v>75</v>
      </c>
      <c r="B101" s="6" t="s">
        <v>69</v>
      </c>
      <c r="C101" s="6" t="s">
        <v>9</v>
      </c>
      <c r="D101" s="6" t="s">
        <v>269</v>
      </c>
      <c r="E101" s="50" t="n">
        <v>0.2</v>
      </c>
      <c r="F101" s="31" t="n">
        <f aca="false">Narxlar!$C$71</f>
        <v>3.5</v>
      </c>
      <c r="G101" s="51" t="n">
        <f aca="false">E101*F101</f>
        <v>0.7</v>
      </c>
      <c r="H101" s="5" t="s">
        <v>157</v>
      </c>
      <c r="I101" s="7" t="n">
        <f aca="false">Narxlar!$C$6</f>
        <v>12</v>
      </c>
      <c r="J101" s="53" t="n">
        <f aca="false">G101*I101</f>
        <v>8.4</v>
      </c>
    </row>
    <row r="102" customFormat="false" ht="15" hidden="false" customHeight="false" outlineLevel="0" collapsed="false">
      <c r="A102" s="5" t="n">
        <v>76</v>
      </c>
      <c r="B102" s="6" t="s">
        <v>69</v>
      </c>
      <c r="C102" s="6" t="s">
        <v>9</v>
      </c>
      <c r="D102" s="6" t="s">
        <v>281</v>
      </c>
      <c r="E102" s="50" t="n">
        <v>4.7</v>
      </c>
      <c r="F102" s="31" t="n">
        <f aca="false">Narxlar!$C$73</f>
        <v>1</v>
      </c>
      <c r="G102" s="51" t="n">
        <f aca="false">E102*F102</f>
        <v>4.7</v>
      </c>
      <c r="H102" s="5" t="s">
        <v>157</v>
      </c>
      <c r="I102" s="7" t="n">
        <f aca="false">Narxlar!$C$6</f>
        <v>12</v>
      </c>
      <c r="J102" s="53" t="n">
        <f aca="false">G102*I102</f>
        <v>56.4</v>
      </c>
    </row>
    <row r="103" customFormat="false" ht="15" hidden="false" customHeight="false" outlineLevel="0" collapsed="false">
      <c r="A103" s="5" t="n">
        <v>77</v>
      </c>
      <c r="B103" s="6" t="s">
        <v>69</v>
      </c>
      <c r="C103" s="6" t="s">
        <v>9</v>
      </c>
      <c r="D103" s="6" t="s">
        <v>272</v>
      </c>
      <c r="E103" s="31" t="n">
        <f aca="false">Narxlar!$C$76</f>
        <v>0.9</v>
      </c>
      <c r="F103" s="31" t="n">
        <f aca="false">Narxlar!$C$73</f>
        <v>1</v>
      </c>
      <c r="G103" s="51" t="n">
        <f aca="false">E103*F103</f>
        <v>0.9</v>
      </c>
      <c r="H103" s="5" t="s">
        <v>157</v>
      </c>
      <c r="I103" s="7" t="n">
        <f aca="false">Narxlar!$C$6</f>
        <v>12</v>
      </c>
      <c r="J103" s="53" t="n">
        <f aca="false">G103*I103</f>
        <v>10.8</v>
      </c>
    </row>
    <row r="104" customFormat="false" ht="15" hidden="false" customHeight="false" outlineLevel="0" collapsed="false">
      <c r="A104" s="5" t="n">
        <v>78</v>
      </c>
      <c r="B104" s="6" t="s">
        <v>69</v>
      </c>
      <c r="C104" s="6" t="s">
        <v>10</v>
      </c>
      <c r="D104" s="6" t="s">
        <v>255</v>
      </c>
      <c r="E104" s="50" t="n">
        <v>7.7</v>
      </c>
      <c r="F104" s="31" t="n">
        <f aca="false">Narxlar!$C$77</f>
        <v>3.5</v>
      </c>
      <c r="G104" s="51" t="n">
        <f aca="false">E104*F104</f>
        <v>26.95</v>
      </c>
      <c r="H104" s="5" t="s">
        <v>157</v>
      </c>
      <c r="I104" s="7" t="n">
        <f aca="false">Narxlar!$C$7</f>
        <v>15.5</v>
      </c>
      <c r="J104" s="53" t="n">
        <f aca="false">G104*I104</f>
        <v>417.725</v>
      </c>
    </row>
    <row r="105" customFormat="false" ht="15" hidden="false" customHeight="false" outlineLevel="0" collapsed="false">
      <c r="A105" s="5" t="n">
        <v>79</v>
      </c>
      <c r="B105" s="6" t="s">
        <v>69</v>
      </c>
      <c r="C105" s="6" t="s">
        <v>10</v>
      </c>
      <c r="D105" s="6" t="s">
        <v>256</v>
      </c>
      <c r="E105" s="50" t="n">
        <v>7.7</v>
      </c>
      <c r="F105" s="31" t="n">
        <f aca="false">Narxlar!$C$77</f>
        <v>3.5</v>
      </c>
      <c r="G105" s="51" t="n">
        <f aca="false">E105*F105</f>
        <v>26.95</v>
      </c>
      <c r="H105" s="5" t="s">
        <v>157</v>
      </c>
      <c r="I105" s="7" t="n">
        <f aca="false">Narxlar!$C$7</f>
        <v>15.5</v>
      </c>
      <c r="J105" s="53" t="n">
        <f aca="false">G105*I105</f>
        <v>417.725</v>
      </c>
    </row>
    <row r="106" customFormat="false" ht="15" hidden="false" customHeight="false" outlineLevel="0" collapsed="false">
      <c r="A106" s="5" t="n">
        <v>80</v>
      </c>
      <c r="B106" s="6" t="s">
        <v>69</v>
      </c>
      <c r="C106" s="6" t="s">
        <v>11</v>
      </c>
      <c r="D106" s="6" t="s">
        <v>257</v>
      </c>
      <c r="E106" s="50"/>
      <c r="F106" s="51"/>
      <c r="G106" s="52" t="n">
        <v>1</v>
      </c>
      <c r="H106" s="5" t="s">
        <v>113</v>
      </c>
      <c r="I106" s="7" t="n">
        <f aca="false">Narxlar!$C$8</f>
        <v>1032</v>
      </c>
      <c r="J106" s="53" t="n">
        <f aca="false">G106*I106</f>
        <v>1032</v>
      </c>
    </row>
    <row r="107" customFormat="false" ht="15" hidden="false" customHeight="false" outlineLevel="0" collapsed="false">
      <c r="A107" s="5" t="n">
        <v>81</v>
      </c>
      <c r="B107" s="6" t="s">
        <v>69</v>
      </c>
      <c r="C107" s="6" t="s">
        <v>13</v>
      </c>
      <c r="D107" s="6" t="s">
        <v>258</v>
      </c>
      <c r="E107" s="50"/>
      <c r="F107" s="51"/>
      <c r="G107" s="52" t="n">
        <v>1</v>
      </c>
      <c r="H107" s="5" t="s">
        <v>245</v>
      </c>
      <c r="I107" s="7" t="n">
        <f aca="false">Narxlar!$C$12</f>
        <v>168</v>
      </c>
      <c r="J107" s="53" t="n">
        <f aca="false">G107*I107</f>
        <v>168</v>
      </c>
    </row>
    <row r="108" customFormat="false" ht="15" hidden="false" customHeight="false" outlineLevel="0" collapsed="false">
      <c r="A108" s="54"/>
      <c r="B108" s="54"/>
      <c r="C108" s="54"/>
      <c r="D108" s="11" t="s">
        <v>284</v>
      </c>
      <c r="E108" s="54"/>
      <c r="F108" s="54"/>
      <c r="G108" s="54"/>
      <c r="H108" s="54"/>
      <c r="I108" s="54"/>
      <c r="J108" s="12" t="n">
        <f aca="false">SUM(J96:J107)</f>
        <v>3170.85</v>
      </c>
    </row>
    <row r="110" customFormat="false" ht="15" hidden="false" customHeight="false" outlineLevel="0" collapsed="false">
      <c r="A110" s="29" t="s">
        <v>71</v>
      </c>
      <c r="B110" s="30"/>
      <c r="C110" s="30"/>
      <c r="D110" s="30"/>
      <c r="E110" s="30"/>
      <c r="F110" s="30"/>
      <c r="G110" s="30"/>
      <c r="H110" s="30"/>
      <c r="I110" s="30"/>
      <c r="J110" s="30"/>
    </row>
    <row r="111" customFormat="false" ht="15" hidden="false" customHeight="false" outlineLevel="0" collapsed="false">
      <c r="A111" s="5" t="n">
        <v>82</v>
      </c>
      <c r="B111" s="6" t="s">
        <v>71</v>
      </c>
      <c r="C111" s="6" t="s">
        <v>8</v>
      </c>
      <c r="D111" s="6" t="s">
        <v>278</v>
      </c>
      <c r="E111" s="50" t="n">
        <v>0.15</v>
      </c>
      <c r="F111" s="31" t="n">
        <f aca="false">Narxlar!$C$72</f>
        <v>2.5</v>
      </c>
      <c r="G111" s="51" t="n">
        <f aca="false">E111*F111</f>
        <v>0.375</v>
      </c>
      <c r="H111" s="5" t="s">
        <v>157</v>
      </c>
      <c r="I111" s="7" t="n">
        <f aca="false">Narxlar!$C$5</f>
        <v>55</v>
      </c>
      <c r="J111" s="53" t="n">
        <f aca="false">G111*I111</f>
        <v>20.625</v>
      </c>
    </row>
    <row r="112" customFormat="false" ht="15" hidden="false" customHeight="false" outlineLevel="0" collapsed="false">
      <c r="A112" s="5" t="n">
        <v>83</v>
      </c>
      <c r="B112" s="6" t="s">
        <v>71</v>
      </c>
      <c r="C112" s="6" t="s">
        <v>8</v>
      </c>
      <c r="D112" s="6" t="s">
        <v>278</v>
      </c>
      <c r="E112" s="50" t="n">
        <v>1.75</v>
      </c>
      <c r="F112" s="31" t="n">
        <f aca="false">Narxlar!$C$72</f>
        <v>2.5</v>
      </c>
      <c r="G112" s="51" t="n">
        <f aca="false">E112*F112</f>
        <v>4.375</v>
      </c>
      <c r="H112" s="5" t="s">
        <v>157</v>
      </c>
      <c r="I112" s="7" t="n">
        <f aca="false">Narxlar!$C$5</f>
        <v>55</v>
      </c>
      <c r="J112" s="53" t="n">
        <f aca="false">G112*I112</f>
        <v>240.625</v>
      </c>
    </row>
    <row r="113" customFormat="false" ht="15" hidden="false" customHeight="false" outlineLevel="0" collapsed="false">
      <c r="A113" s="5" t="n">
        <v>84</v>
      </c>
      <c r="B113" s="6" t="s">
        <v>71</v>
      </c>
      <c r="C113" s="6" t="s">
        <v>8</v>
      </c>
      <c r="D113" s="6" t="s">
        <v>263</v>
      </c>
      <c r="E113" s="31" t="n">
        <f aca="false">Narxlar!$C$76</f>
        <v>0.9</v>
      </c>
      <c r="F113" s="31" t="n">
        <f aca="false">Narxlar!$C$72</f>
        <v>2.5</v>
      </c>
      <c r="G113" s="51" t="n">
        <f aca="false">E113*F113</f>
        <v>2.25</v>
      </c>
      <c r="H113" s="5" t="s">
        <v>157</v>
      </c>
      <c r="I113" s="7" t="n">
        <f aca="false">Narxlar!$C$5</f>
        <v>55</v>
      </c>
      <c r="J113" s="53" t="n">
        <f aca="false">G113*I113</f>
        <v>123.75</v>
      </c>
    </row>
    <row r="114" customFormat="false" ht="15" hidden="false" customHeight="false" outlineLevel="0" collapsed="false">
      <c r="A114" s="5" t="n">
        <v>85</v>
      </c>
      <c r="B114" s="6" t="s">
        <v>71</v>
      </c>
      <c r="C114" s="6" t="s">
        <v>9</v>
      </c>
      <c r="D114" s="6" t="s">
        <v>251</v>
      </c>
      <c r="E114" s="50" t="n">
        <v>0.6</v>
      </c>
      <c r="F114" s="31" t="n">
        <f aca="false">Narxlar!$C$71</f>
        <v>3.5</v>
      </c>
      <c r="G114" s="51" t="n">
        <f aca="false">E114*F114</f>
        <v>2.1</v>
      </c>
      <c r="H114" s="5" t="s">
        <v>157</v>
      </c>
      <c r="I114" s="7" t="n">
        <f aca="false">Narxlar!$C$6</f>
        <v>12</v>
      </c>
      <c r="J114" s="53" t="n">
        <f aca="false">G114*I114</f>
        <v>25.2</v>
      </c>
    </row>
    <row r="115" customFormat="false" ht="15" hidden="false" customHeight="false" outlineLevel="0" collapsed="false">
      <c r="A115" s="5" t="n">
        <v>86</v>
      </c>
      <c r="B115" s="6" t="s">
        <v>71</v>
      </c>
      <c r="C115" s="6" t="s">
        <v>9</v>
      </c>
      <c r="D115" s="6" t="s">
        <v>267</v>
      </c>
      <c r="E115" s="50" t="n">
        <v>2.8</v>
      </c>
      <c r="F115" s="31" t="n">
        <f aca="false">Narxlar!$C$71</f>
        <v>3.5</v>
      </c>
      <c r="G115" s="51" t="n">
        <f aca="false">E115*F115</f>
        <v>9.8</v>
      </c>
      <c r="H115" s="5" t="s">
        <v>157</v>
      </c>
      <c r="I115" s="7" t="n">
        <f aca="false">Narxlar!$C$6</f>
        <v>12</v>
      </c>
      <c r="J115" s="53" t="n">
        <f aca="false">G115*I115</f>
        <v>117.6</v>
      </c>
    </row>
    <row r="116" customFormat="false" ht="15" hidden="false" customHeight="false" outlineLevel="0" collapsed="false">
      <c r="A116" s="5" t="n">
        <v>87</v>
      </c>
      <c r="B116" s="6" t="s">
        <v>71</v>
      </c>
      <c r="C116" s="6" t="s">
        <v>9</v>
      </c>
      <c r="D116" s="6" t="s">
        <v>285</v>
      </c>
      <c r="E116" s="50" t="n">
        <v>5.6</v>
      </c>
      <c r="F116" s="31" t="n">
        <f aca="false">Narxlar!$C$71</f>
        <v>3.5</v>
      </c>
      <c r="G116" s="51" t="n">
        <f aca="false">E116*F116</f>
        <v>19.6</v>
      </c>
      <c r="H116" s="5" t="s">
        <v>157</v>
      </c>
      <c r="I116" s="7" t="n">
        <f aca="false">Narxlar!$C$6</f>
        <v>12</v>
      </c>
      <c r="J116" s="53" t="n">
        <f aca="false">G116*I116</f>
        <v>235.2</v>
      </c>
    </row>
    <row r="117" customFormat="false" ht="15" hidden="false" customHeight="false" outlineLevel="0" collapsed="false">
      <c r="A117" s="5" t="n">
        <v>88</v>
      </c>
      <c r="B117" s="6" t="s">
        <v>71</v>
      </c>
      <c r="C117" s="6" t="s">
        <v>9</v>
      </c>
      <c r="D117" s="6" t="s">
        <v>281</v>
      </c>
      <c r="E117" s="50" t="n">
        <v>0.15</v>
      </c>
      <c r="F117" s="31" t="n">
        <f aca="false">Narxlar!$C$73</f>
        <v>1</v>
      </c>
      <c r="G117" s="51" t="n">
        <f aca="false">E117*F117</f>
        <v>0.15</v>
      </c>
      <c r="H117" s="5" t="s">
        <v>157</v>
      </c>
      <c r="I117" s="7" t="n">
        <f aca="false">Narxlar!$C$6</f>
        <v>12</v>
      </c>
      <c r="J117" s="53" t="n">
        <f aca="false">G117*I117</f>
        <v>1.8</v>
      </c>
    </row>
    <row r="118" customFormat="false" ht="15" hidden="false" customHeight="false" outlineLevel="0" collapsed="false">
      <c r="A118" s="5" t="n">
        <v>89</v>
      </c>
      <c r="B118" s="6" t="s">
        <v>71</v>
      </c>
      <c r="C118" s="6" t="s">
        <v>9</v>
      </c>
      <c r="D118" s="6" t="s">
        <v>281</v>
      </c>
      <c r="E118" s="50" t="n">
        <v>1.75</v>
      </c>
      <c r="F118" s="31" t="n">
        <f aca="false">Narxlar!$C$73</f>
        <v>1</v>
      </c>
      <c r="G118" s="51" t="n">
        <f aca="false">E118*F118</f>
        <v>1.75</v>
      </c>
      <c r="H118" s="5" t="s">
        <v>157</v>
      </c>
      <c r="I118" s="7" t="n">
        <f aca="false">Narxlar!$C$6</f>
        <v>12</v>
      </c>
      <c r="J118" s="53" t="n">
        <f aca="false">G118*I118</f>
        <v>21</v>
      </c>
    </row>
    <row r="119" customFormat="false" ht="15" hidden="false" customHeight="false" outlineLevel="0" collapsed="false">
      <c r="A119" s="5" t="n">
        <v>90</v>
      </c>
      <c r="B119" s="6" t="s">
        <v>71</v>
      </c>
      <c r="C119" s="6" t="s">
        <v>9</v>
      </c>
      <c r="D119" s="6" t="s">
        <v>272</v>
      </c>
      <c r="E119" s="31" t="n">
        <f aca="false">Narxlar!$C$76</f>
        <v>0.9</v>
      </c>
      <c r="F119" s="31" t="n">
        <f aca="false">Narxlar!$C$73</f>
        <v>1</v>
      </c>
      <c r="G119" s="51" t="n">
        <f aca="false">E119*F119</f>
        <v>0.9</v>
      </c>
      <c r="H119" s="5" t="s">
        <v>157</v>
      </c>
      <c r="I119" s="7" t="n">
        <f aca="false">Narxlar!$C$6</f>
        <v>12</v>
      </c>
      <c r="J119" s="53" t="n">
        <f aca="false">G119*I119</f>
        <v>10.8</v>
      </c>
    </row>
    <row r="120" customFormat="false" ht="15" hidden="false" customHeight="false" outlineLevel="0" collapsed="false">
      <c r="A120" s="5" t="n">
        <v>91</v>
      </c>
      <c r="B120" s="6" t="s">
        <v>71</v>
      </c>
      <c r="C120" s="6" t="s">
        <v>10</v>
      </c>
      <c r="D120" s="6" t="s">
        <v>286</v>
      </c>
      <c r="E120" s="50" t="n">
        <v>5.6</v>
      </c>
      <c r="F120" s="31" t="n">
        <f aca="false">Narxlar!$C$77</f>
        <v>3.5</v>
      </c>
      <c r="G120" s="51" t="n">
        <f aca="false">E120*F120</f>
        <v>19.6</v>
      </c>
      <c r="H120" s="5" t="s">
        <v>157</v>
      </c>
      <c r="I120" s="7" t="n">
        <f aca="false">Narxlar!$C$7</f>
        <v>15.5</v>
      </c>
      <c r="J120" s="53" t="n">
        <f aca="false">G120*I120</f>
        <v>303.8</v>
      </c>
    </row>
    <row r="121" customFormat="false" ht="15" hidden="false" customHeight="false" outlineLevel="0" collapsed="false">
      <c r="A121" s="5" t="n">
        <v>92</v>
      </c>
      <c r="B121" s="6" t="s">
        <v>71</v>
      </c>
      <c r="C121" s="6" t="s">
        <v>10</v>
      </c>
      <c r="D121" s="6" t="s">
        <v>285</v>
      </c>
      <c r="E121" s="50" t="n">
        <v>5.6</v>
      </c>
      <c r="F121" s="31" t="n">
        <f aca="false">Narxlar!$C$77</f>
        <v>3.5</v>
      </c>
      <c r="G121" s="51" t="n">
        <f aca="false">E121*F121</f>
        <v>19.6</v>
      </c>
      <c r="H121" s="5" t="s">
        <v>157</v>
      </c>
      <c r="I121" s="7" t="n">
        <f aca="false">Narxlar!$C$7</f>
        <v>15.5</v>
      </c>
      <c r="J121" s="53" t="n">
        <f aca="false">G121*I121</f>
        <v>303.8</v>
      </c>
    </row>
    <row r="122" customFormat="false" ht="15" hidden="false" customHeight="false" outlineLevel="0" collapsed="false">
      <c r="A122" s="5" t="n">
        <v>93</v>
      </c>
      <c r="B122" s="6" t="s">
        <v>71</v>
      </c>
      <c r="C122" s="6" t="s">
        <v>13</v>
      </c>
      <c r="D122" s="6" t="s">
        <v>258</v>
      </c>
      <c r="E122" s="50"/>
      <c r="F122" s="51"/>
      <c r="G122" s="52" t="n">
        <v>1</v>
      </c>
      <c r="H122" s="5" t="s">
        <v>245</v>
      </c>
      <c r="I122" s="7" t="n">
        <f aca="false">Narxlar!$C$12</f>
        <v>168</v>
      </c>
      <c r="J122" s="53" t="n">
        <f aca="false">G122*I122</f>
        <v>168</v>
      </c>
    </row>
    <row r="123" customFormat="false" ht="15" hidden="false" customHeight="false" outlineLevel="0" collapsed="false">
      <c r="A123" s="5" t="n">
        <v>94</v>
      </c>
      <c r="B123" s="6" t="s">
        <v>71</v>
      </c>
      <c r="C123" s="6" t="s">
        <v>22</v>
      </c>
      <c r="D123" s="6" t="s">
        <v>287</v>
      </c>
      <c r="E123" s="50"/>
      <c r="F123" s="51"/>
      <c r="G123" s="52" t="n">
        <v>2</v>
      </c>
      <c r="H123" s="5" t="s">
        <v>113</v>
      </c>
      <c r="I123" s="7" t="n">
        <f aca="false">Narxlar!$C$55</f>
        <v>220</v>
      </c>
      <c r="J123" s="53" t="n">
        <f aca="false">G123*I123</f>
        <v>440</v>
      </c>
    </row>
    <row r="124" customFormat="false" ht="15" hidden="false" customHeight="false" outlineLevel="0" collapsed="false">
      <c r="A124" s="5" t="n">
        <v>95</v>
      </c>
      <c r="B124" s="6" t="s">
        <v>71</v>
      </c>
      <c r="C124" s="6" t="s">
        <v>22</v>
      </c>
      <c r="D124" s="6" t="s">
        <v>288</v>
      </c>
      <c r="E124" s="50"/>
      <c r="F124" s="51"/>
      <c r="G124" s="52" t="n">
        <v>2</v>
      </c>
      <c r="H124" s="5" t="s">
        <v>113</v>
      </c>
      <c r="I124" s="7" t="n">
        <f aca="false">Narxlar!$C$56</f>
        <v>130</v>
      </c>
      <c r="J124" s="53" t="n">
        <f aca="false">G124*I124</f>
        <v>260</v>
      </c>
    </row>
    <row r="125" customFormat="false" ht="15" hidden="false" customHeight="false" outlineLevel="0" collapsed="false">
      <c r="A125" s="5" t="n">
        <v>96</v>
      </c>
      <c r="B125" s="6" t="s">
        <v>71</v>
      </c>
      <c r="C125" s="6" t="s">
        <v>22</v>
      </c>
      <c r="D125" s="6" t="s">
        <v>289</v>
      </c>
      <c r="E125" s="50"/>
      <c r="F125" s="51"/>
      <c r="G125" s="52" t="n">
        <v>4</v>
      </c>
      <c r="H125" s="5" t="s">
        <v>113</v>
      </c>
      <c r="I125" s="7" t="n">
        <f aca="false">Narxlar!$C$57</f>
        <v>60</v>
      </c>
      <c r="J125" s="53" t="n">
        <f aca="false">G125*I125</f>
        <v>240</v>
      </c>
    </row>
    <row r="126" customFormat="false" ht="15" hidden="false" customHeight="false" outlineLevel="0" collapsed="false">
      <c r="A126" s="5" t="n">
        <v>97</v>
      </c>
      <c r="B126" s="6" t="s">
        <v>71</v>
      </c>
      <c r="C126" s="6" t="s">
        <v>22</v>
      </c>
      <c r="D126" s="6" t="s">
        <v>290</v>
      </c>
      <c r="E126" s="50"/>
      <c r="F126" s="51"/>
      <c r="G126" s="52" t="n">
        <v>1</v>
      </c>
      <c r="H126" s="5" t="s">
        <v>113</v>
      </c>
      <c r="I126" s="7" t="n">
        <f aca="false">Narxlar!$C$58</f>
        <v>450</v>
      </c>
      <c r="J126" s="53" t="n">
        <f aca="false">G126*I126</f>
        <v>450</v>
      </c>
    </row>
    <row r="127" customFormat="false" ht="15" hidden="false" customHeight="false" outlineLevel="0" collapsed="false">
      <c r="A127" s="5" t="n">
        <v>98</v>
      </c>
      <c r="B127" s="6" t="s">
        <v>71</v>
      </c>
      <c r="C127" s="6" t="s">
        <v>22</v>
      </c>
      <c r="D127" s="6" t="s">
        <v>291</v>
      </c>
      <c r="E127" s="50"/>
      <c r="F127" s="51"/>
      <c r="G127" s="52" t="n">
        <v>1</v>
      </c>
      <c r="H127" s="5" t="s">
        <v>113</v>
      </c>
      <c r="I127" s="7" t="n">
        <f aca="false">Narxlar!$C$59</f>
        <v>350</v>
      </c>
      <c r="J127" s="53" t="n">
        <f aca="false">G127*I127</f>
        <v>350</v>
      </c>
    </row>
    <row r="128" customFormat="false" ht="15" hidden="false" customHeight="false" outlineLevel="0" collapsed="false">
      <c r="A128" s="5" t="n">
        <v>99</v>
      </c>
      <c r="B128" s="6" t="s">
        <v>71</v>
      </c>
      <c r="C128" s="6" t="s">
        <v>22</v>
      </c>
      <c r="D128" s="6" t="s">
        <v>292</v>
      </c>
      <c r="E128" s="50"/>
      <c r="F128" s="51"/>
      <c r="G128" s="52" t="n">
        <v>1</v>
      </c>
      <c r="H128" s="5" t="s">
        <v>245</v>
      </c>
      <c r="I128" s="7" t="n">
        <f aca="false">Narxlar!$C$61</f>
        <v>600</v>
      </c>
      <c r="J128" s="53" t="n">
        <f aca="false">G128*I128</f>
        <v>600</v>
      </c>
    </row>
    <row r="129" customFormat="false" ht="15" hidden="false" customHeight="false" outlineLevel="0" collapsed="false">
      <c r="A129" s="54"/>
      <c r="B129" s="54"/>
      <c r="C129" s="54"/>
      <c r="D129" s="11" t="s">
        <v>293</v>
      </c>
      <c r="E129" s="54"/>
      <c r="F129" s="54"/>
      <c r="G129" s="54"/>
      <c r="H129" s="54"/>
      <c r="I129" s="54"/>
      <c r="J129" s="12" t="n">
        <f aca="false">SUM(J111:J128)</f>
        <v>3912.2</v>
      </c>
    </row>
    <row r="131" customFormat="false" ht="15" hidden="false" customHeight="false" outlineLevel="0" collapsed="false">
      <c r="A131" s="29" t="s">
        <v>72</v>
      </c>
      <c r="B131" s="30"/>
      <c r="C131" s="30"/>
      <c r="D131" s="30"/>
      <c r="E131" s="30"/>
      <c r="F131" s="30"/>
      <c r="G131" s="30"/>
      <c r="H131" s="30"/>
      <c r="I131" s="30"/>
      <c r="J131" s="30"/>
    </row>
    <row r="132" customFormat="false" ht="15" hidden="false" customHeight="false" outlineLevel="0" collapsed="false">
      <c r="A132" s="5" t="n">
        <v>100</v>
      </c>
      <c r="B132" s="6" t="s">
        <v>72</v>
      </c>
      <c r="C132" s="6" t="s">
        <v>8</v>
      </c>
      <c r="D132" s="6" t="s">
        <v>278</v>
      </c>
      <c r="E132" s="50" t="n">
        <v>0.15</v>
      </c>
      <c r="F132" s="31" t="n">
        <f aca="false">Narxlar!$C$72</f>
        <v>2.5</v>
      </c>
      <c r="G132" s="51" t="n">
        <f aca="false">E132*F132</f>
        <v>0.375</v>
      </c>
      <c r="H132" s="5" t="s">
        <v>157</v>
      </c>
      <c r="I132" s="7" t="n">
        <f aca="false">Narxlar!$C$5</f>
        <v>55</v>
      </c>
      <c r="J132" s="53" t="n">
        <f aca="false">G132*I132</f>
        <v>20.625</v>
      </c>
    </row>
    <row r="133" customFormat="false" ht="15" hidden="false" customHeight="false" outlineLevel="0" collapsed="false">
      <c r="A133" s="5" t="n">
        <v>101</v>
      </c>
      <c r="B133" s="6" t="s">
        <v>72</v>
      </c>
      <c r="C133" s="6" t="s">
        <v>8</v>
      </c>
      <c r="D133" s="6" t="s">
        <v>278</v>
      </c>
      <c r="E133" s="50" t="n">
        <v>1.75</v>
      </c>
      <c r="F133" s="31" t="n">
        <f aca="false">Narxlar!$C$72</f>
        <v>2.5</v>
      </c>
      <c r="G133" s="51" t="n">
        <f aca="false">E133*F133</f>
        <v>4.375</v>
      </c>
      <c r="H133" s="5" t="s">
        <v>157</v>
      </c>
      <c r="I133" s="7" t="n">
        <f aca="false">Narxlar!$C$5</f>
        <v>55</v>
      </c>
      <c r="J133" s="53" t="n">
        <f aca="false">G133*I133</f>
        <v>240.625</v>
      </c>
    </row>
    <row r="134" customFormat="false" ht="15" hidden="false" customHeight="false" outlineLevel="0" collapsed="false">
      <c r="A134" s="5" t="n">
        <v>102</v>
      </c>
      <c r="B134" s="6" t="s">
        <v>72</v>
      </c>
      <c r="C134" s="6" t="s">
        <v>8</v>
      </c>
      <c r="D134" s="6" t="s">
        <v>263</v>
      </c>
      <c r="E134" s="31" t="n">
        <f aca="false">Narxlar!$C$76</f>
        <v>0.9</v>
      </c>
      <c r="F134" s="31" t="n">
        <f aca="false">Narxlar!$C$72</f>
        <v>2.5</v>
      </c>
      <c r="G134" s="51" t="n">
        <f aca="false">E134*F134</f>
        <v>2.25</v>
      </c>
      <c r="H134" s="5" t="s">
        <v>157</v>
      </c>
      <c r="I134" s="7" t="n">
        <f aca="false">Narxlar!$C$5</f>
        <v>55</v>
      </c>
      <c r="J134" s="53" t="n">
        <f aca="false">G134*I134</f>
        <v>123.75</v>
      </c>
    </row>
    <row r="135" customFormat="false" ht="15" hidden="false" customHeight="false" outlineLevel="0" collapsed="false">
      <c r="A135" s="5" t="n">
        <v>103</v>
      </c>
      <c r="B135" s="6" t="s">
        <v>72</v>
      </c>
      <c r="C135" s="6" t="s">
        <v>9</v>
      </c>
      <c r="D135" s="6" t="s">
        <v>294</v>
      </c>
      <c r="E135" s="50" t="n">
        <v>0.9</v>
      </c>
      <c r="F135" s="31" t="n">
        <f aca="false">Narxlar!$C$71</f>
        <v>3.5</v>
      </c>
      <c r="G135" s="51" t="n">
        <f aca="false">E135*F135</f>
        <v>3.15</v>
      </c>
      <c r="H135" s="5" t="s">
        <v>157</v>
      </c>
      <c r="I135" s="7" t="n">
        <f aca="false">Narxlar!$C$6</f>
        <v>12</v>
      </c>
      <c r="J135" s="53" t="n">
        <f aca="false">G135*I135</f>
        <v>37.8</v>
      </c>
    </row>
    <row r="136" customFormat="false" ht="15" hidden="false" customHeight="false" outlineLevel="0" collapsed="false">
      <c r="A136" s="5" t="n">
        <v>104</v>
      </c>
      <c r="B136" s="6" t="s">
        <v>72</v>
      </c>
      <c r="C136" s="6" t="s">
        <v>9</v>
      </c>
      <c r="D136" s="6" t="s">
        <v>267</v>
      </c>
      <c r="E136" s="50" t="n">
        <v>2.8</v>
      </c>
      <c r="F136" s="31" t="n">
        <f aca="false">Narxlar!$C$71</f>
        <v>3.5</v>
      </c>
      <c r="G136" s="51" t="n">
        <f aca="false">E136*F136</f>
        <v>9.8</v>
      </c>
      <c r="H136" s="5" t="s">
        <v>157</v>
      </c>
      <c r="I136" s="7" t="n">
        <f aca="false">Narxlar!$C$6</f>
        <v>12</v>
      </c>
      <c r="J136" s="53" t="n">
        <f aca="false">G136*I136</f>
        <v>117.6</v>
      </c>
    </row>
    <row r="137" customFormat="false" ht="15" hidden="false" customHeight="false" outlineLevel="0" collapsed="false">
      <c r="A137" s="5" t="n">
        <v>105</v>
      </c>
      <c r="B137" s="6" t="s">
        <v>72</v>
      </c>
      <c r="C137" s="6" t="s">
        <v>9</v>
      </c>
      <c r="D137" s="6" t="s">
        <v>295</v>
      </c>
      <c r="E137" s="50" t="n">
        <v>5.6</v>
      </c>
      <c r="F137" s="31" t="n">
        <f aca="false">Narxlar!$C$71</f>
        <v>3.5</v>
      </c>
      <c r="G137" s="51" t="n">
        <f aca="false">E137*F137</f>
        <v>19.6</v>
      </c>
      <c r="H137" s="5" t="s">
        <v>157</v>
      </c>
      <c r="I137" s="7" t="n">
        <f aca="false">Narxlar!$C$6</f>
        <v>12</v>
      </c>
      <c r="J137" s="53" t="n">
        <f aca="false">G137*I137</f>
        <v>235.2</v>
      </c>
    </row>
    <row r="138" customFormat="false" ht="15" hidden="false" customHeight="false" outlineLevel="0" collapsed="false">
      <c r="A138" s="5" t="n">
        <v>106</v>
      </c>
      <c r="B138" s="6" t="s">
        <v>72</v>
      </c>
      <c r="C138" s="6" t="s">
        <v>9</v>
      </c>
      <c r="D138" s="6" t="s">
        <v>281</v>
      </c>
      <c r="E138" s="50" t="n">
        <v>0.15</v>
      </c>
      <c r="F138" s="31" t="n">
        <f aca="false">Narxlar!$C$73</f>
        <v>1</v>
      </c>
      <c r="G138" s="51" t="n">
        <f aca="false">E138*F138</f>
        <v>0.15</v>
      </c>
      <c r="H138" s="5" t="s">
        <v>157</v>
      </c>
      <c r="I138" s="7" t="n">
        <f aca="false">Narxlar!$C$6</f>
        <v>12</v>
      </c>
      <c r="J138" s="53" t="n">
        <f aca="false">G138*I138</f>
        <v>1.8</v>
      </c>
    </row>
    <row r="139" customFormat="false" ht="15" hidden="false" customHeight="false" outlineLevel="0" collapsed="false">
      <c r="A139" s="5" t="n">
        <v>107</v>
      </c>
      <c r="B139" s="6" t="s">
        <v>72</v>
      </c>
      <c r="C139" s="6" t="s">
        <v>9</v>
      </c>
      <c r="D139" s="6" t="s">
        <v>281</v>
      </c>
      <c r="E139" s="50" t="n">
        <v>1.75</v>
      </c>
      <c r="F139" s="31" t="n">
        <f aca="false">Narxlar!$C$73</f>
        <v>1</v>
      </c>
      <c r="G139" s="51" t="n">
        <f aca="false">E139*F139</f>
        <v>1.75</v>
      </c>
      <c r="H139" s="5" t="s">
        <v>157</v>
      </c>
      <c r="I139" s="7" t="n">
        <f aca="false">Narxlar!$C$6</f>
        <v>12</v>
      </c>
      <c r="J139" s="53" t="n">
        <f aca="false">G139*I139</f>
        <v>21</v>
      </c>
    </row>
    <row r="140" customFormat="false" ht="15" hidden="false" customHeight="false" outlineLevel="0" collapsed="false">
      <c r="A140" s="5" t="n">
        <v>108</v>
      </c>
      <c r="B140" s="6" t="s">
        <v>72</v>
      </c>
      <c r="C140" s="6" t="s">
        <v>9</v>
      </c>
      <c r="D140" s="6" t="s">
        <v>272</v>
      </c>
      <c r="E140" s="31" t="n">
        <f aca="false">Narxlar!$C$76</f>
        <v>0.9</v>
      </c>
      <c r="F140" s="31" t="n">
        <f aca="false">Narxlar!$C$73</f>
        <v>1</v>
      </c>
      <c r="G140" s="51" t="n">
        <f aca="false">E140*F140</f>
        <v>0.9</v>
      </c>
      <c r="H140" s="5" t="s">
        <v>157</v>
      </c>
      <c r="I140" s="7" t="n">
        <f aca="false">Narxlar!$C$6</f>
        <v>12</v>
      </c>
      <c r="J140" s="53" t="n">
        <f aca="false">G140*I140</f>
        <v>10.8</v>
      </c>
    </row>
    <row r="141" customFormat="false" ht="15" hidden="false" customHeight="false" outlineLevel="0" collapsed="false">
      <c r="A141" s="5" t="n">
        <v>109</v>
      </c>
      <c r="B141" s="6" t="s">
        <v>72</v>
      </c>
      <c r="C141" s="6" t="s">
        <v>10</v>
      </c>
      <c r="D141" s="6" t="s">
        <v>295</v>
      </c>
      <c r="E141" s="50" t="n">
        <v>5.6</v>
      </c>
      <c r="F141" s="31" t="n">
        <f aca="false">Narxlar!$C$77</f>
        <v>3.5</v>
      </c>
      <c r="G141" s="51" t="n">
        <f aca="false">E141*F141</f>
        <v>19.6</v>
      </c>
      <c r="H141" s="5" t="s">
        <v>157</v>
      </c>
      <c r="I141" s="7" t="n">
        <f aca="false">Narxlar!$C$7</f>
        <v>15.5</v>
      </c>
      <c r="J141" s="53" t="n">
        <f aca="false">G141*I141</f>
        <v>303.8</v>
      </c>
    </row>
    <row r="142" customFormat="false" ht="15" hidden="false" customHeight="false" outlineLevel="0" collapsed="false">
      <c r="A142" s="5" t="n">
        <v>110</v>
      </c>
      <c r="B142" s="6" t="s">
        <v>72</v>
      </c>
      <c r="C142" s="6" t="s">
        <v>10</v>
      </c>
      <c r="D142" s="6" t="s">
        <v>296</v>
      </c>
      <c r="E142" s="50" t="n">
        <v>5.6</v>
      </c>
      <c r="F142" s="31" t="n">
        <f aca="false">Narxlar!$C$77</f>
        <v>3.5</v>
      </c>
      <c r="G142" s="51" t="n">
        <f aca="false">E142*F142</f>
        <v>19.6</v>
      </c>
      <c r="H142" s="5" t="s">
        <v>157</v>
      </c>
      <c r="I142" s="7" t="n">
        <f aca="false">Narxlar!$C$7</f>
        <v>15.5</v>
      </c>
      <c r="J142" s="53" t="n">
        <f aca="false">G142*I142</f>
        <v>303.8</v>
      </c>
    </row>
    <row r="143" customFormat="false" ht="15" hidden="false" customHeight="false" outlineLevel="0" collapsed="false">
      <c r="A143" s="5" t="n">
        <v>111</v>
      </c>
      <c r="B143" s="6" t="s">
        <v>72</v>
      </c>
      <c r="C143" s="6" t="s">
        <v>13</v>
      </c>
      <c r="D143" s="6" t="s">
        <v>258</v>
      </c>
      <c r="E143" s="50"/>
      <c r="F143" s="51"/>
      <c r="G143" s="52" t="n">
        <v>1</v>
      </c>
      <c r="H143" s="5" t="s">
        <v>245</v>
      </c>
      <c r="I143" s="7" t="n">
        <f aca="false">Narxlar!$C$12</f>
        <v>168</v>
      </c>
      <c r="J143" s="53" t="n">
        <f aca="false">G143*I143</f>
        <v>168</v>
      </c>
    </row>
    <row r="144" customFormat="false" ht="15" hidden="false" customHeight="false" outlineLevel="0" collapsed="false">
      <c r="A144" s="5" t="n">
        <v>112</v>
      </c>
      <c r="B144" s="6" t="s">
        <v>72</v>
      </c>
      <c r="C144" s="6" t="s">
        <v>22</v>
      </c>
      <c r="D144" s="6" t="s">
        <v>297</v>
      </c>
      <c r="E144" s="50"/>
      <c r="F144" s="51"/>
      <c r="G144" s="52" t="n">
        <v>2</v>
      </c>
      <c r="H144" s="5" t="s">
        <v>113</v>
      </c>
      <c r="I144" s="7" t="n">
        <f aca="false">Narxlar!$C$55</f>
        <v>220</v>
      </c>
      <c r="J144" s="53" t="n">
        <f aca="false">G144*I144</f>
        <v>440</v>
      </c>
    </row>
    <row r="145" customFormat="false" ht="15" hidden="false" customHeight="false" outlineLevel="0" collapsed="false">
      <c r="A145" s="5" t="n">
        <v>113</v>
      </c>
      <c r="B145" s="6" t="s">
        <v>72</v>
      </c>
      <c r="C145" s="6" t="s">
        <v>22</v>
      </c>
      <c r="D145" s="6" t="s">
        <v>298</v>
      </c>
      <c r="E145" s="50"/>
      <c r="F145" s="51"/>
      <c r="G145" s="52" t="n">
        <v>2</v>
      </c>
      <c r="H145" s="5" t="s">
        <v>113</v>
      </c>
      <c r="I145" s="7" t="n">
        <f aca="false">Narxlar!$C$56</f>
        <v>130</v>
      </c>
      <c r="J145" s="53" t="n">
        <f aca="false">G145*I145</f>
        <v>260</v>
      </c>
    </row>
    <row r="146" customFormat="false" ht="15" hidden="false" customHeight="false" outlineLevel="0" collapsed="false">
      <c r="A146" s="5" t="n">
        <v>114</v>
      </c>
      <c r="B146" s="6" t="s">
        <v>72</v>
      </c>
      <c r="C146" s="6" t="s">
        <v>22</v>
      </c>
      <c r="D146" s="6" t="s">
        <v>299</v>
      </c>
      <c r="E146" s="50"/>
      <c r="F146" s="51"/>
      <c r="G146" s="52" t="n">
        <v>2</v>
      </c>
      <c r="H146" s="5" t="s">
        <v>113</v>
      </c>
      <c r="I146" s="7" t="n">
        <f aca="false">Narxlar!$C$57</f>
        <v>60</v>
      </c>
      <c r="J146" s="53" t="n">
        <f aca="false">G146*I146</f>
        <v>120</v>
      </c>
    </row>
    <row r="147" customFormat="false" ht="15" hidden="false" customHeight="false" outlineLevel="0" collapsed="false">
      <c r="A147" s="5" t="n">
        <v>115</v>
      </c>
      <c r="B147" s="6" t="s">
        <v>72</v>
      </c>
      <c r="C147" s="6" t="s">
        <v>22</v>
      </c>
      <c r="D147" s="6" t="s">
        <v>291</v>
      </c>
      <c r="E147" s="50"/>
      <c r="F147" s="51"/>
      <c r="G147" s="52" t="n">
        <v>1</v>
      </c>
      <c r="H147" s="5" t="s">
        <v>113</v>
      </c>
      <c r="I147" s="7" t="n">
        <f aca="false">Narxlar!$C$59</f>
        <v>350</v>
      </c>
      <c r="J147" s="53" t="n">
        <f aca="false">G147*I147</f>
        <v>350</v>
      </c>
    </row>
    <row r="148" customFormat="false" ht="15" hidden="false" customHeight="false" outlineLevel="0" collapsed="false">
      <c r="A148" s="5" t="n">
        <v>116</v>
      </c>
      <c r="B148" s="6" t="s">
        <v>72</v>
      </c>
      <c r="C148" s="6" t="s">
        <v>22</v>
      </c>
      <c r="D148" s="6" t="s">
        <v>300</v>
      </c>
      <c r="E148" s="50"/>
      <c r="F148" s="51"/>
      <c r="G148" s="52" t="n">
        <v>1</v>
      </c>
      <c r="H148" s="5" t="s">
        <v>245</v>
      </c>
      <c r="I148" s="7" t="n">
        <f aca="false">Narxlar!$C$62</f>
        <v>300</v>
      </c>
      <c r="J148" s="53" t="n">
        <f aca="false">G148*I148</f>
        <v>300</v>
      </c>
    </row>
    <row r="149" customFormat="false" ht="15" hidden="false" customHeight="false" outlineLevel="0" collapsed="false">
      <c r="A149" s="54"/>
      <c r="B149" s="54"/>
      <c r="C149" s="54"/>
      <c r="D149" s="11" t="s">
        <v>301</v>
      </c>
      <c r="E149" s="54"/>
      <c r="F149" s="54"/>
      <c r="G149" s="54"/>
      <c r="H149" s="54"/>
      <c r="I149" s="54"/>
      <c r="J149" s="12" t="n">
        <f aca="false">SUM(J132:J148)</f>
        <v>3054.8</v>
      </c>
    </row>
    <row r="151" customFormat="false" ht="15" hidden="false" customHeight="false" outlineLevel="0" collapsed="false">
      <c r="A151" s="29" t="s">
        <v>73</v>
      </c>
      <c r="B151" s="30"/>
      <c r="C151" s="30"/>
      <c r="D151" s="30"/>
      <c r="E151" s="30"/>
      <c r="F151" s="30"/>
      <c r="G151" s="30"/>
      <c r="H151" s="30"/>
      <c r="I151" s="30"/>
      <c r="J151" s="30"/>
    </row>
    <row r="152" customFormat="false" ht="15" hidden="false" customHeight="false" outlineLevel="0" collapsed="false">
      <c r="A152" s="5" t="n">
        <v>117</v>
      </c>
      <c r="B152" s="6" t="s">
        <v>73</v>
      </c>
      <c r="C152" s="6" t="s">
        <v>8</v>
      </c>
      <c r="D152" s="6" t="s">
        <v>249</v>
      </c>
      <c r="E152" s="50" t="n">
        <v>0.15</v>
      </c>
      <c r="F152" s="31" t="n">
        <f aca="false">Narxlar!$C$72</f>
        <v>2.5</v>
      </c>
      <c r="G152" s="51" t="n">
        <f aca="false">E152*F152</f>
        <v>0.375</v>
      </c>
      <c r="H152" s="5" t="s">
        <v>157</v>
      </c>
      <c r="I152" s="7" t="n">
        <f aca="false">Narxlar!$C$5</f>
        <v>55</v>
      </c>
      <c r="J152" s="53" t="n">
        <f aca="false">G152*I152</f>
        <v>20.625</v>
      </c>
    </row>
    <row r="153" customFormat="false" ht="15" hidden="false" customHeight="false" outlineLevel="0" collapsed="false">
      <c r="A153" s="5" t="n">
        <v>118</v>
      </c>
      <c r="B153" s="6" t="s">
        <v>73</v>
      </c>
      <c r="C153" s="6" t="s">
        <v>8</v>
      </c>
      <c r="D153" s="6" t="s">
        <v>249</v>
      </c>
      <c r="E153" s="50" t="n">
        <v>1.8</v>
      </c>
      <c r="F153" s="31" t="n">
        <f aca="false">Narxlar!$C$72</f>
        <v>2.5</v>
      </c>
      <c r="G153" s="51" t="n">
        <f aca="false">E153*F153</f>
        <v>4.5</v>
      </c>
      <c r="H153" s="5" t="s">
        <v>157</v>
      </c>
      <c r="I153" s="7" t="n">
        <f aca="false">Narxlar!$C$5</f>
        <v>55</v>
      </c>
      <c r="J153" s="53" t="n">
        <f aca="false">G153*I153</f>
        <v>247.5</v>
      </c>
    </row>
    <row r="154" customFormat="false" ht="15" hidden="false" customHeight="false" outlineLevel="0" collapsed="false">
      <c r="A154" s="5" t="n">
        <v>119</v>
      </c>
      <c r="B154" s="6" t="s">
        <v>73</v>
      </c>
      <c r="C154" s="6" t="s">
        <v>8</v>
      </c>
      <c r="D154" s="6" t="s">
        <v>250</v>
      </c>
      <c r="E154" s="31" t="n">
        <f aca="false">Narxlar!$C$76</f>
        <v>0.9</v>
      </c>
      <c r="F154" s="31" t="n">
        <f aca="false">Narxlar!$C$72</f>
        <v>2.5</v>
      </c>
      <c r="G154" s="51" t="n">
        <f aca="false">E154*F154</f>
        <v>2.25</v>
      </c>
      <c r="H154" s="5" t="s">
        <v>157</v>
      </c>
      <c r="I154" s="7" t="n">
        <f aca="false">Narxlar!$C$5</f>
        <v>55</v>
      </c>
      <c r="J154" s="53" t="n">
        <f aca="false">G154*I154</f>
        <v>123.75</v>
      </c>
    </row>
    <row r="155" customFormat="false" ht="15" hidden="false" customHeight="false" outlineLevel="0" collapsed="false">
      <c r="A155" s="5" t="n">
        <v>120</v>
      </c>
      <c r="B155" s="6" t="s">
        <v>73</v>
      </c>
      <c r="C155" s="6" t="s">
        <v>9</v>
      </c>
      <c r="D155" s="6" t="s">
        <v>302</v>
      </c>
      <c r="E155" s="50" t="n">
        <v>0.9</v>
      </c>
      <c r="F155" s="31" t="n">
        <f aca="false">Narxlar!$C$71</f>
        <v>3.5</v>
      </c>
      <c r="G155" s="51" t="n">
        <f aca="false">E155*F155</f>
        <v>3.15</v>
      </c>
      <c r="H155" s="5" t="s">
        <v>157</v>
      </c>
      <c r="I155" s="7" t="n">
        <f aca="false">Narxlar!$C$6</f>
        <v>12</v>
      </c>
      <c r="J155" s="53" t="n">
        <f aca="false">G155*I155</f>
        <v>37.8</v>
      </c>
    </row>
    <row r="156" customFormat="false" ht="15" hidden="false" customHeight="false" outlineLevel="0" collapsed="false">
      <c r="A156" s="5" t="n">
        <v>121</v>
      </c>
      <c r="B156" s="6" t="s">
        <v>73</v>
      </c>
      <c r="C156" s="6" t="s">
        <v>9</v>
      </c>
      <c r="D156" s="6" t="s">
        <v>252</v>
      </c>
      <c r="E156" s="50" t="n">
        <v>0.15</v>
      </c>
      <c r="F156" s="31" t="n">
        <f aca="false">Narxlar!$C$73</f>
        <v>1</v>
      </c>
      <c r="G156" s="51" t="n">
        <f aca="false">E156*F156</f>
        <v>0.15</v>
      </c>
      <c r="H156" s="5" t="s">
        <v>157</v>
      </c>
      <c r="I156" s="7" t="n">
        <f aca="false">Narxlar!$C$6</f>
        <v>12</v>
      </c>
      <c r="J156" s="53" t="n">
        <f aca="false">G156*I156</f>
        <v>1.8</v>
      </c>
    </row>
    <row r="157" customFormat="false" ht="15" hidden="false" customHeight="false" outlineLevel="0" collapsed="false">
      <c r="A157" s="5" t="n">
        <v>122</v>
      </c>
      <c r="B157" s="6" t="s">
        <v>73</v>
      </c>
      <c r="C157" s="6" t="s">
        <v>9</v>
      </c>
      <c r="D157" s="6" t="s">
        <v>252</v>
      </c>
      <c r="E157" s="50" t="n">
        <v>1.8</v>
      </c>
      <c r="F157" s="31" t="n">
        <f aca="false">Narxlar!$C$73</f>
        <v>1</v>
      </c>
      <c r="G157" s="51" t="n">
        <f aca="false">E157*F157</f>
        <v>1.8</v>
      </c>
      <c r="H157" s="5" t="s">
        <v>157</v>
      </c>
      <c r="I157" s="7" t="n">
        <f aca="false">Narxlar!$C$6</f>
        <v>12</v>
      </c>
      <c r="J157" s="53" t="n">
        <f aca="false">G157*I157</f>
        <v>21.6</v>
      </c>
    </row>
    <row r="158" customFormat="false" ht="15" hidden="false" customHeight="false" outlineLevel="0" collapsed="false">
      <c r="A158" s="5" t="n">
        <v>123</v>
      </c>
      <c r="B158" s="6" t="s">
        <v>73</v>
      </c>
      <c r="C158" s="6" t="s">
        <v>9</v>
      </c>
      <c r="D158" s="6" t="s">
        <v>303</v>
      </c>
      <c r="E158" s="50" t="n">
        <v>5.6</v>
      </c>
      <c r="F158" s="31" t="n">
        <f aca="false">Narxlar!$C$71</f>
        <v>3.5</v>
      </c>
      <c r="G158" s="51" t="n">
        <f aca="false">E158*F158</f>
        <v>19.6</v>
      </c>
      <c r="H158" s="5" t="s">
        <v>157</v>
      </c>
      <c r="I158" s="7" t="n">
        <f aca="false">Narxlar!$C$6</f>
        <v>12</v>
      </c>
      <c r="J158" s="53" t="n">
        <f aca="false">G158*I158</f>
        <v>235.2</v>
      </c>
    </row>
    <row r="159" customFormat="false" ht="15" hidden="false" customHeight="false" outlineLevel="0" collapsed="false">
      <c r="A159" s="5" t="n">
        <v>124</v>
      </c>
      <c r="B159" s="6" t="s">
        <v>73</v>
      </c>
      <c r="C159" s="6" t="s">
        <v>9</v>
      </c>
      <c r="D159" s="6" t="s">
        <v>304</v>
      </c>
      <c r="E159" s="50" t="n">
        <v>2.85</v>
      </c>
      <c r="F159" s="31" t="n">
        <f aca="false">Narxlar!$C$71</f>
        <v>3.5</v>
      </c>
      <c r="G159" s="51" t="n">
        <f aca="false">E159*F159</f>
        <v>9.975</v>
      </c>
      <c r="H159" s="5" t="s">
        <v>157</v>
      </c>
      <c r="I159" s="7" t="n">
        <f aca="false">Narxlar!$C$6</f>
        <v>12</v>
      </c>
      <c r="J159" s="53" t="n">
        <f aca="false">G159*I159</f>
        <v>119.7</v>
      </c>
    </row>
    <row r="160" customFormat="false" ht="15" hidden="false" customHeight="false" outlineLevel="0" collapsed="false">
      <c r="A160" s="5" t="n">
        <v>125</v>
      </c>
      <c r="B160" s="6" t="s">
        <v>73</v>
      </c>
      <c r="C160" s="6" t="s">
        <v>9</v>
      </c>
      <c r="D160" s="6" t="s">
        <v>254</v>
      </c>
      <c r="E160" s="31" t="n">
        <f aca="false">Narxlar!$C$76</f>
        <v>0.9</v>
      </c>
      <c r="F160" s="31" t="n">
        <f aca="false">Narxlar!$C$73</f>
        <v>1</v>
      </c>
      <c r="G160" s="51" t="n">
        <f aca="false">E160*F160</f>
        <v>0.9</v>
      </c>
      <c r="H160" s="5" t="s">
        <v>157</v>
      </c>
      <c r="I160" s="7" t="n">
        <f aca="false">Narxlar!$C$6</f>
        <v>12</v>
      </c>
      <c r="J160" s="53" t="n">
        <f aca="false">G160*I160</f>
        <v>10.8</v>
      </c>
    </row>
    <row r="161" customFormat="false" ht="15" hidden="false" customHeight="false" outlineLevel="0" collapsed="false">
      <c r="A161" s="5" t="n">
        <v>126</v>
      </c>
      <c r="B161" s="6" t="s">
        <v>73</v>
      </c>
      <c r="C161" s="6" t="s">
        <v>10</v>
      </c>
      <c r="D161" s="6" t="s">
        <v>285</v>
      </c>
      <c r="E161" s="50" t="n">
        <v>5.6</v>
      </c>
      <c r="F161" s="31" t="n">
        <f aca="false">Narxlar!$C$77</f>
        <v>3.5</v>
      </c>
      <c r="G161" s="51" t="n">
        <f aca="false">E161*F161</f>
        <v>19.6</v>
      </c>
      <c r="H161" s="5" t="s">
        <v>157</v>
      </c>
      <c r="I161" s="7" t="n">
        <f aca="false">Narxlar!$C$7</f>
        <v>15.5</v>
      </c>
      <c r="J161" s="53" t="n">
        <f aca="false">G161*I161</f>
        <v>303.8</v>
      </c>
    </row>
    <row r="162" customFormat="false" ht="15" hidden="false" customHeight="false" outlineLevel="0" collapsed="false">
      <c r="A162" s="5" t="n">
        <v>127</v>
      </c>
      <c r="B162" s="6" t="s">
        <v>73</v>
      </c>
      <c r="C162" s="6" t="s">
        <v>10</v>
      </c>
      <c r="D162" s="6" t="s">
        <v>303</v>
      </c>
      <c r="E162" s="50" t="n">
        <v>5.6</v>
      </c>
      <c r="F162" s="31" t="n">
        <f aca="false">Narxlar!$C$77</f>
        <v>3.5</v>
      </c>
      <c r="G162" s="51" t="n">
        <f aca="false">E162*F162</f>
        <v>19.6</v>
      </c>
      <c r="H162" s="5" t="s">
        <v>157</v>
      </c>
      <c r="I162" s="7" t="n">
        <f aca="false">Narxlar!$C$7</f>
        <v>15.5</v>
      </c>
      <c r="J162" s="53" t="n">
        <f aca="false">G162*I162</f>
        <v>303.8</v>
      </c>
    </row>
    <row r="163" customFormat="false" ht="15" hidden="false" customHeight="false" outlineLevel="0" collapsed="false">
      <c r="A163" s="5" t="n">
        <v>128</v>
      </c>
      <c r="B163" s="6" t="s">
        <v>73</v>
      </c>
      <c r="C163" s="6" t="s">
        <v>13</v>
      </c>
      <c r="D163" s="6" t="s">
        <v>258</v>
      </c>
      <c r="E163" s="50"/>
      <c r="F163" s="51"/>
      <c r="G163" s="52" t="n">
        <v>1</v>
      </c>
      <c r="H163" s="5" t="s">
        <v>245</v>
      </c>
      <c r="I163" s="7" t="n">
        <f aca="false">Narxlar!$C$12</f>
        <v>168</v>
      </c>
      <c r="J163" s="53" t="n">
        <f aca="false">G163*I163</f>
        <v>168</v>
      </c>
    </row>
    <row r="164" customFormat="false" ht="15" hidden="false" customHeight="false" outlineLevel="0" collapsed="false">
      <c r="A164" s="54"/>
      <c r="B164" s="54"/>
      <c r="C164" s="54"/>
      <c r="D164" s="11" t="s">
        <v>305</v>
      </c>
      <c r="E164" s="54"/>
      <c r="F164" s="54"/>
      <c r="G164" s="54"/>
      <c r="H164" s="54"/>
      <c r="I164" s="54"/>
      <c r="J164" s="12" t="n">
        <f aca="false">SUM(J152:J163)</f>
        <v>1594.375</v>
      </c>
    </row>
    <row r="166" customFormat="false" ht="15" hidden="false" customHeight="false" outlineLevel="0" collapsed="false">
      <c r="A166" s="29" t="s">
        <v>74</v>
      </c>
      <c r="B166" s="30"/>
      <c r="C166" s="30"/>
      <c r="D166" s="30"/>
      <c r="E166" s="30"/>
      <c r="F166" s="30"/>
      <c r="G166" s="30"/>
      <c r="H166" s="30"/>
      <c r="I166" s="30"/>
      <c r="J166" s="30"/>
    </row>
    <row r="167" customFormat="false" ht="15" hidden="false" customHeight="false" outlineLevel="0" collapsed="false">
      <c r="A167" s="5" t="n">
        <v>129</v>
      </c>
      <c r="B167" s="6" t="s">
        <v>74</v>
      </c>
      <c r="C167" s="6" t="s">
        <v>8</v>
      </c>
      <c r="D167" s="6" t="s">
        <v>249</v>
      </c>
      <c r="E167" s="50" t="n">
        <v>0.15</v>
      </c>
      <c r="F167" s="31" t="n">
        <f aca="false">Narxlar!$C$72</f>
        <v>2.5</v>
      </c>
      <c r="G167" s="51" t="n">
        <f aca="false">E167*F167</f>
        <v>0.375</v>
      </c>
      <c r="H167" s="5" t="s">
        <v>157</v>
      </c>
      <c r="I167" s="7" t="n">
        <f aca="false">Narxlar!$C$5</f>
        <v>55</v>
      </c>
      <c r="J167" s="53" t="n">
        <f aca="false">G167*I167</f>
        <v>20.625</v>
      </c>
    </row>
    <row r="168" customFormat="false" ht="15" hidden="false" customHeight="false" outlineLevel="0" collapsed="false">
      <c r="A168" s="5" t="n">
        <v>130</v>
      </c>
      <c r="B168" s="6" t="s">
        <v>74</v>
      </c>
      <c r="C168" s="6" t="s">
        <v>8</v>
      </c>
      <c r="D168" s="6" t="s">
        <v>249</v>
      </c>
      <c r="E168" s="50" t="n">
        <v>1.8</v>
      </c>
      <c r="F168" s="31" t="n">
        <f aca="false">Narxlar!$C$72</f>
        <v>2.5</v>
      </c>
      <c r="G168" s="51" t="n">
        <f aca="false">E168*F168</f>
        <v>4.5</v>
      </c>
      <c r="H168" s="5" t="s">
        <v>157</v>
      </c>
      <c r="I168" s="7" t="n">
        <f aca="false">Narxlar!$C$5</f>
        <v>55</v>
      </c>
      <c r="J168" s="53" t="n">
        <f aca="false">G168*I168</f>
        <v>247.5</v>
      </c>
    </row>
    <row r="169" customFormat="false" ht="15" hidden="false" customHeight="false" outlineLevel="0" collapsed="false">
      <c r="A169" s="5" t="n">
        <v>131</v>
      </c>
      <c r="B169" s="6" t="s">
        <v>74</v>
      </c>
      <c r="C169" s="6" t="s">
        <v>8</v>
      </c>
      <c r="D169" s="6" t="s">
        <v>250</v>
      </c>
      <c r="E169" s="31" t="n">
        <f aca="false">Narxlar!$C$76</f>
        <v>0.9</v>
      </c>
      <c r="F169" s="31" t="n">
        <f aca="false">Narxlar!$C$72</f>
        <v>2.5</v>
      </c>
      <c r="G169" s="51" t="n">
        <f aca="false">E169*F169</f>
        <v>2.25</v>
      </c>
      <c r="H169" s="5" t="s">
        <v>157</v>
      </c>
      <c r="I169" s="7" t="n">
        <f aca="false">Narxlar!$C$5</f>
        <v>55</v>
      </c>
      <c r="J169" s="53" t="n">
        <f aca="false">G169*I169</f>
        <v>123.75</v>
      </c>
    </row>
    <row r="170" customFormat="false" ht="15" hidden="false" customHeight="false" outlineLevel="0" collapsed="false">
      <c r="A170" s="5" t="n">
        <v>132</v>
      </c>
      <c r="B170" s="6" t="s">
        <v>74</v>
      </c>
      <c r="C170" s="6" t="s">
        <v>9</v>
      </c>
      <c r="D170" s="6" t="s">
        <v>306</v>
      </c>
      <c r="E170" s="50" t="n">
        <v>1</v>
      </c>
      <c r="F170" s="31" t="n">
        <f aca="false">Narxlar!$C$71</f>
        <v>3.5</v>
      </c>
      <c r="G170" s="51" t="n">
        <f aca="false">E170*F170</f>
        <v>3.5</v>
      </c>
      <c r="H170" s="5" t="s">
        <v>157</v>
      </c>
      <c r="I170" s="7" t="n">
        <f aca="false">Narxlar!$C$6</f>
        <v>12</v>
      </c>
      <c r="J170" s="53" t="n">
        <f aca="false">G170*I170</f>
        <v>42</v>
      </c>
    </row>
    <row r="171" customFormat="false" ht="15" hidden="false" customHeight="false" outlineLevel="0" collapsed="false">
      <c r="A171" s="5" t="n">
        <v>133</v>
      </c>
      <c r="B171" s="6" t="s">
        <v>74</v>
      </c>
      <c r="C171" s="6" t="s">
        <v>9</v>
      </c>
      <c r="D171" s="6" t="s">
        <v>252</v>
      </c>
      <c r="E171" s="50" t="n">
        <v>0.15</v>
      </c>
      <c r="F171" s="31" t="n">
        <f aca="false">Narxlar!$C$73</f>
        <v>1</v>
      </c>
      <c r="G171" s="51" t="n">
        <f aca="false">E171*F171</f>
        <v>0.15</v>
      </c>
      <c r="H171" s="5" t="s">
        <v>157</v>
      </c>
      <c r="I171" s="7" t="n">
        <f aca="false">Narxlar!$C$6</f>
        <v>12</v>
      </c>
      <c r="J171" s="53" t="n">
        <f aca="false">G171*I171</f>
        <v>1.8</v>
      </c>
    </row>
    <row r="172" customFormat="false" ht="15" hidden="false" customHeight="false" outlineLevel="0" collapsed="false">
      <c r="A172" s="5" t="n">
        <v>134</v>
      </c>
      <c r="B172" s="6" t="s">
        <v>74</v>
      </c>
      <c r="C172" s="6" t="s">
        <v>9</v>
      </c>
      <c r="D172" s="6" t="s">
        <v>252</v>
      </c>
      <c r="E172" s="50" t="n">
        <v>1.8</v>
      </c>
      <c r="F172" s="31" t="n">
        <f aca="false">Narxlar!$C$73</f>
        <v>1</v>
      </c>
      <c r="G172" s="51" t="n">
        <f aca="false">E172*F172</f>
        <v>1.8</v>
      </c>
      <c r="H172" s="5" t="s">
        <v>157</v>
      </c>
      <c r="I172" s="7" t="n">
        <f aca="false">Narxlar!$C$6</f>
        <v>12</v>
      </c>
      <c r="J172" s="53" t="n">
        <f aca="false">G172*I172</f>
        <v>21.6</v>
      </c>
    </row>
    <row r="173" customFormat="false" ht="15" hidden="false" customHeight="false" outlineLevel="0" collapsed="false">
      <c r="A173" s="5" t="n">
        <v>135</v>
      </c>
      <c r="B173" s="6" t="s">
        <v>74</v>
      </c>
      <c r="C173" s="6" t="s">
        <v>9</v>
      </c>
      <c r="D173" s="6" t="s">
        <v>296</v>
      </c>
      <c r="E173" s="50" t="n">
        <v>5.6</v>
      </c>
      <c r="F173" s="31" t="n">
        <f aca="false">Narxlar!$C$71</f>
        <v>3.5</v>
      </c>
      <c r="G173" s="51" t="n">
        <f aca="false">E173*F173</f>
        <v>19.6</v>
      </c>
      <c r="H173" s="5" t="s">
        <v>157</v>
      </c>
      <c r="I173" s="7" t="n">
        <f aca="false">Narxlar!$C$6</f>
        <v>12</v>
      </c>
      <c r="J173" s="53" t="n">
        <f aca="false">G173*I173</f>
        <v>235.2</v>
      </c>
    </row>
    <row r="174" customFormat="false" ht="15" hidden="false" customHeight="false" outlineLevel="0" collapsed="false">
      <c r="A174" s="5" t="n">
        <v>136</v>
      </c>
      <c r="B174" s="6" t="s">
        <v>74</v>
      </c>
      <c r="C174" s="6" t="s">
        <v>9</v>
      </c>
      <c r="D174" s="6" t="s">
        <v>304</v>
      </c>
      <c r="E174" s="50" t="n">
        <v>2.85</v>
      </c>
      <c r="F174" s="31" t="n">
        <f aca="false">Narxlar!$C$71</f>
        <v>3.5</v>
      </c>
      <c r="G174" s="51" t="n">
        <f aca="false">E174*F174</f>
        <v>9.975</v>
      </c>
      <c r="H174" s="5" t="s">
        <v>157</v>
      </c>
      <c r="I174" s="7" t="n">
        <f aca="false">Narxlar!$C$6</f>
        <v>12</v>
      </c>
      <c r="J174" s="53" t="n">
        <f aca="false">G174*I174</f>
        <v>119.7</v>
      </c>
    </row>
    <row r="175" customFormat="false" ht="15" hidden="false" customHeight="false" outlineLevel="0" collapsed="false">
      <c r="A175" s="5" t="n">
        <v>137</v>
      </c>
      <c r="B175" s="6" t="s">
        <v>74</v>
      </c>
      <c r="C175" s="6" t="s">
        <v>9</v>
      </c>
      <c r="D175" s="6" t="s">
        <v>254</v>
      </c>
      <c r="E175" s="31" t="n">
        <f aca="false">Narxlar!$C$76</f>
        <v>0.9</v>
      </c>
      <c r="F175" s="31" t="n">
        <f aca="false">Narxlar!$C$73</f>
        <v>1</v>
      </c>
      <c r="G175" s="51" t="n">
        <f aca="false">E175*F175</f>
        <v>0.9</v>
      </c>
      <c r="H175" s="5" t="s">
        <v>157</v>
      </c>
      <c r="I175" s="7" t="n">
        <f aca="false">Narxlar!$C$6</f>
        <v>12</v>
      </c>
      <c r="J175" s="53" t="n">
        <f aca="false">G175*I175</f>
        <v>10.8</v>
      </c>
    </row>
    <row r="176" customFormat="false" ht="15" hidden="false" customHeight="false" outlineLevel="0" collapsed="false">
      <c r="A176" s="5" t="n">
        <v>138</v>
      </c>
      <c r="B176" s="6" t="s">
        <v>74</v>
      </c>
      <c r="C176" s="6" t="s">
        <v>10</v>
      </c>
      <c r="D176" s="6" t="s">
        <v>296</v>
      </c>
      <c r="E176" s="50" t="n">
        <v>5.6</v>
      </c>
      <c r="F176" s="31" t="n">
        <f aca="false">Narxlar!$C$77</f>
        <v>3.5</v>
      </c>
      <c r="G176" s="51" t="n">
        <f aca="false">E176*F176</f>
        <v>19.6</v>
      </c>
      <c r="H176" s="5" t="s">
        <v>157</v>
      </c>
      <c r="I176" s="7" t="n">
        <f aca="false">Narxlar!$C$7</f>
        <v>15.5</v>
      </c>
      <c r="J176" s="53" t="n">
        <f aca="false">G176*I176</f>
        <v>303.8</v>
      </c>
    </row>
    <row r="177" customFormat="false" ht="15" hidden="false" customHeight="false" outlineLevel="0" collapsed="false">
      <c r="A177" s="5" t="n">
        <v>139</v>
      </c>
      <c r="B177" s="6" t="s">
        <v>74</v>
      </c>
      <c r="C177" s="6" t="s">
        <v>10</v>
      </c>
      <c r="D177" s="6" t="s">
        <v>307</v>
      </c>
      <c r="E177" s="50" t="n">
        <v>5.6</v>
      </c>
      <c r="F177" s="31" t="n">
        <f aca="false">Narxlar!$C$77</f>
        <v>3.5</v>
      </c>
      <c r="G177" s="51" t="n">
        <f aca="false">E177*F177</f>
        <v>19.6</v>
      </c>
      <c r="H177" s="5" t="s">
        <v>157</v>
      </c>
      <c r="I177" s="7" t="n">
        <f aca="false">Narxlar!$C$7</f>
        <v>15.5</v>
      </c>
      <c r="J177" s="53" t="n">
        <f aca="false">G177*I177</f>
        <v>303.8</v>
      </c>
    </row>
    <row r="178" customFormat="false" ht="15" hidden="false" customHeight="false" outlineLevel="0" collapsed="false">
      <c r="A178" s="5" t="n">
        <v>140</v>
      </c>
      <c r="B178" s="6" t="s">
        <v>74</v>
      </c>
      <c r="C178" s="6" t="s">
        <v>13</v>
      </c>
      <c r="D178" s="6" t="s">
        <v>258</v>
      </c>
      <c r="E178" s="50"/>
      <c r="F178" s="51"/>
      <c r="G178" s="52" t="n">
        <v>1</v>
      </c>
      <c r="H178" s="5" t="s">
        <v>245</v>
      </c>
      <c r="I178" s="7" t="n">
        <f aca="false">Narxlar!$C$12</f>
        <v>168</v>
      </c>
      <c r="J178" s="53" t="n">
        <f aca="false">G178*I178</f>
        <v>168</v>
      </c>
    </row>
    <row r="179" customFormat="false" ht="15" hidden="false" customHeight="false" outlineLevel="0" collapsed="false">
      <c r="A179" s="54"/>
      <c r="B179" s="54"/>
      <c r="C179" s="54"/>
      <c r="D179" s="11" t="s">
        <v>308</v>
      </c>
      <c r="E179" s="54"/>
      <c r="F179" s="54"/>
      <c r="G179" s="54"/>
      <c r="H179" s="54"/>
      <c r="I179" s="54"/>
      <c r="J179" s="12" t="n">
        <f aca="false">SUM(J167:J178)</f>
        <v>1598.575</v>
      </c>
    </row>
    <row r="181" customFormat="false" ht="15" hidden="false" customHeight="false" outlineLevel="0" collapsed="false">
      <c r="A181" s="29" t="s">
        <v>75</v>
      </c>
      <c r="B181" s="30"/>
      <c r="C181" s="30"/>
      <c r="D181" s="30"/>
      <c r="E181" s="30"/>
      <c r="F181" s="30"/>
      <c r="G181" s="30"/>
      <c r="H181" s="30"/>
      <c r="I181" s="30"/>
      <c r="J181" s="30"/>
    </row>
    <row r="182" customFormat="false" ht="15" hidden="false" customHeight="false" outlineLevel="0" collapsed="false">
      <c r="A182" s="5" t="n">
        <v>141</v>
      </c>
      <c r="B182" s="6" t="s">
        <v>75</v>
      </c>
      <c r="C182" s="6" t="s">
        <v>10</v>
      </c>
      <c r="D182" s="6" t="s">
        <v>309</v>
      </c>
      <c r="E182" s="50" t="n">
        <v>5.95</v>
      </c>
      <c r="F182" s="31" t="n">
        <f aca="false">Narxlar!$C$77</f>
        <v>3.5</v>
      </c>
      <c r="G182" s="51" t="n">
        <f aca="false">E182*F182</f>
        <v>20.825</v>
      </c>
      <c r="H182" s="5" t="s">
        <v>157</v>
      </c>
      <c r="I182" s="7" t="n">
        <f aca="false">Narxlar!$C$7</f>
        <v>15.5</v>
      </c>
      <c r="J182" s="53" t="n">
        <f aca="false">G182*I182</f>
        <v>322.7875</v>
      </c>
    </row>
    <row r="183" customFormat="false" ht="15" hidden="false" customHeight="false" outlineLevel="0" collapsed="false">
      <c r="A183" s="5" t="n">
        <v>142</v>
      </c>
      <c r="B183" s="6" t="s">
        <v>75</v>
      </c>
      <c r="C183" s="6" t="s">
        <v>10</v>
      </c>
      <c r="D183" s="6" t="s">
        <v>310</v>
      </c>
      <c r="E183" s="31" t="n">
        <f aca="false">Narxlar!$C$76</f>
        <v>0.9</v>
      </c>
      <c r="F183" s="31" t="n">
        <f aca="false">Narxlar!$C$74</f>
        <v>2.1</v>
      </c>
      <c r="G183" s="51" t="n">
        <f aca="false">-E183*F183</f>
        <v>-1.89</v>
      </c>
      <c r="H183" s="5" t="s">
        <v>157</v>
      </c>
      <c r="I183" s="7" t="n">
        <f aca="false">Narxlar!$C$7</f>
        <v>15.5</v>
      </c>
      <c r="J183" s="53" t="n">
        <f aca="false">G183*I183</f>
        <v>-29.295</v>
      </c>
    </row>
    <row r="184" customFormat="false" ht="15" hidden="false" customHeight="false" outlineLevel="0" collapsed="false">
      <c r="A184" s="5" t="n">
        <v>143</v>
      </c>
      <c r="B184" s="6" t="s">
        <v>75</v>
      </c>
      <c r="C184" s="6" t="s">
        <v>10</v>
      </c>
      <c r="D184" s="6" t="s">
        <v>311</v>
      </c>
      <c r="E184" s="50" t="n">
        <v>2.95</v>
      </c>
      <c r="F184" s="31" t="n">
        <f aca="false">Narxlar!$C$77</f>
        <v>3.5</v>
      </c>
      <c r="G184" s="51" t="n">
        <f aca="false">E184*F184</f>
        <v>10.325</v>
      </c>
      <c r="H184" s="5" t="s">
        <v>157</v>
      </c>
      <c r="I184" s="7" t="n">
        <f aca="false">Narxlar!$C$7</f>
        <v>15.5</v>
      </c>
      <c r="J184" s="53" t="n">
        <f aca="false">G184*I184</f>
        <v>160.0375</v>
      </c>
    </row>
    <row r="185" customFormat="false" ht="15" hidden="false" customHeight="false" outlineLevel="0" collapsed="false">
      <c r="A185" s="5" t="n">
        <v>144</v>
      </c>
      <c r="B185" s="6" t="s">
        <v>75</v>
      </c>
      <c r="C185" s="6" t="s">
        <v>13</v>
      </c>
      <c r="D185" s="6" t="s">
        <v>258</v>
      </c>
      <c r="E185" s="50"/>
      <c r="F185" s="51"/>
      <c r="G185" s="52" t="n">
        <v>1</v>
      </c>
      <c r="H185" s="5" t="s">
        <v>245</v>
      </c>
      <c r="I185" s="7" t="n">
        <f aca="false">Narxlar!$C$12</f>
        <v>168</v>
      </c>
      <c r="J185" s="53" t="n">
        <f aca="false">G185*I185</f>
        <v>168</v>
      </c>
    </row>
    <row r="186" customFormat="false" ht="15" hidden="false" customHeight="false" outlineLevel="0" collapsed="false">
      <c r="A186" s="54"/>
      <c r="B186" s="54"/>
      <c r="C186" s="54"/>
      <c r="D186" s="11" t="s">
        <v>312</v>
      </c>
      <c r="E186" s="54"/>
      <c r="F186" s="54"/>
      <c r="G186" s="54"/>
      <c r="H186" s="54"/>
      <c r="I186" s="54"/>
      <c r="J186" s="12" t="n">
        <f aca="false">SUM(J182:J185)</f>
        <v>621.53</v>
      </c>
    </row>
    <row r="188" customFormat="false" ht="15" hidden="false" customHeight="false" outlineLevel="0" collapsed="false">
      <c r="A188" s="29" t="s">
        <v>77</v>
      </c>
      <c r="B188" s="30"/>
      <c r="C188" s="30"/>
      <c r="D188" s="30"/>
      <c r="E188" s="30"/>
      <c r="F188" s="30"/>
      <c r="G188" s="30"/>
      <c r="H188" s="30"/>
      <c r="I188" s="30"/>
      <c r="J188" s="30"/>
    </row>
    <row r="189" customFormat="false" ht="15" hidden="false" customHeight="false" outlineLevel="0" collapsed="false">
      <c r="A189" s="5" t="n">
        <v>145</v>
      </c>
      <c r="B189" s="6" t="s">
        <v>77</v>
      </c>
      <c r="C189" s="6" t="s">
        <v>9</v>
      </c>
      <c r="D189" s="6" t="s">
        <v>313</v>
      </c>
      <c r="E189" s="50" t="n">
        <v>4.6</v>
      </c>
      <c r="F189" s="31" t="n">
        <f aca="false">Narxlar!$C$73</f>
        <v>1</v>
      </c>
      <c r="G189" s="51" t="n">
        <f aca="false">E189*F189</f>
        <v>4.6</v>
      </c>
      <c r="H189" s="5" t="s">
        <v>157</v>
      </c>
      <c r="I189" s="7" t="n">
        <f aca="false">Narxlar!$C$6</f>
        <v>12</v>
      </c>
      <c r="J189" s="53" t="n">
        <f aca="false">G189*I189</f>
        <v>55.2</v>
      </c>
    </row>
    <row r="190" customFormat="false" ht="15" hidden="false" customHeight="false" outlineLevel="0" collapsed="false">
      <c r="A190" s="5" t="n">
        <v>146</v>
      </c>
      <c r="B190" s="6" t="s">
        <v>77</v>
      </c>
      <c r="C190" s="6" t="s">
        <v>9</v>
      </c>
      <c r="D190" s="6" t="s">
        <v>314</v>
      </c>
      <c r="E190" s="50" t="n">
        <v>0.4</v>
      </c>
      <c r="F190" s="31" t="n">
        <f aca="false">Narxlar!$C$71</f>
        <v>3.5</v>
      </c>
      <c r="G190" s="51" t="n">
        <f aca="false">E190*F190</f>
        <v>1.4</v>
      </c>
      <c r="H190" s="5" t="s">
        <v>157</v>
      </c>
      <c r="I190" s="7" t="n">
        <f aca="false">Narxlar!$C$6</f>
        <v>12</v>
      </c>
      <c r="J190" s="53" t="n">
        <f aca="false">G190*I190</f>
        <v>16.8</v>
      </c>
    </row>
    <row r="191" customFormat="false" ht="15" hidden="false" customHeight="false" outlineLevel="0" collapsed="false">
      <c r="A191" s="5" t="n">
        <v>147</v>
      </c>
      <c r="B191" s="6" t="s">
        <v>77</v>
      </c>
      <c r="C191" s="6" t="s">
        <v>9</v>
      </c>
      <c r="D191" s="6" t="s">
        <v>315</v>
      </c>
      <c r="E191" s="50" t="n">
        <v>4.7</v>
      </c>
      <c r="F191" s="31" t="n">
        <f aca="false">Narxlar!$C$73</f>
        <v>1</v>
      </c>
      <c r="G191" s="51" t="n">
        <f aca="false">E191*F191</f>
        <v>4.7</v>
      </c>
      <c r="H191" s="5" t="s">
        <v>157</v>
      </c>
      <c r="I191" s="7" t="n">
        <f aca="false">Narxlar!$C$6</f>
        <v>12</v>
      </c>
      <c r="J191" s="53" t="n">
        <f aca="false">G191*I191</f>
        <v>56.4</v>
      </c>
    </row>
    <row r="192" customFormat="false" ht="15" hidden="false" customHeight="false" outlineLevel="0" collapsed="false">
      <c r="A192" s="5" t="n">
        <v>148</v>
      </c>
      <c r="B192" s="6" t="s">
        <v>77</v>
      </c>
      <c r="C192" s="6" t="s">
        <v>9</v>
      </c>
      <c r="D192" s="6" t="s">
        <v>316</v>
      </c>
      <c r="E192" s="50" t="n">
        <v>0.55</v>
      </c>
      <c r="F192" s="31" t="n">
        <f aca="false">Narxlar!$C$71</f>
        <v>3.5</v>
      </c>
      <c r="G192" s="51" t="n">
        <f aca="false">E192*F192</f>
        <v>1.925</v>
      </c>
      <c r="H192" s="5" t="s">
        <v>157</v>
      </c>
      <c r="I192" s="7" t="n">
        <f aca="false">Narxlar!$C$6</f>
        <v>12</v>
      </c>
      <c r="J192" s="53" t="n">
        <f aca="false">G192*I192</f>
        <v>23.1</v>
      </c>
    </row>
    <row r="193" customFormat="false" ht="15" hidden="false" customHeight="false" outlineLevel="0" collapsed="false">
      <c r="A193" s="5" t="n">
        <v>149</v>
      </c>
      <c r="B193" s="6" t="s">
        <v>77</v>
      </c>
      <c r="C193" s="6" t="s">
        <v>9</v>
      </c>
      <c r="D193" s="6" t="s">
        <v>317</v>
      </c>
      <c r="E193" s="50" t="n">
        <v>0.1</v>
      </c>
      <c r="F193" s="31" t="n">
        <f aca="false">Narxlar!$C$71</f>
        <v>3.5</v>
      </c>
      <c r="G193" s="51" t="n">
        <f aca="false">E193*F193</f>
        <v>0.35</v>
      </c>
      <c r="H193" s="5" t="s">
        <v>157</v>
      </c>
      <c r="I193" s="7" t="n">
        <f aca="false">Narxlar!$C$6</f>
        <v>12</v>
      </c>
      <c r="J193" s="53" t="n">
        <f aca="false">G193*I193</f>
        <v>4.2</v>
      </c>
    </row>
    <row r="194" customFormat="false" ht="15" hidden="false" customHeight="false" outlineLevel="0" collapsed="false">
      <c r="A194" s="5" t="n">
        <v>150</v>
      </c>
      <c r="B194" s="6" t="s">
        <v>77</v>
      </c>
      <c r="C194" s="6" t="s">
        <v>9</v>
      </c>
      <c r="D194" s="6" t="s">
        <v>318</v>
      </c>
      <c r="E194" s="50" t="n">
        <v>1.5</v>
      </c>
      <c r="F194" s="31" t="n">
        <f aca="false">Narxlar!$C$71</f>
        <v>3.5</v>
      </c>
      <c r="G194" s="51" t="n">
        <f aca="false">E194*F194</f>
        <v>5.25</v>
      </c>
      <c r="H194" s="5" t="s">
        <v>157</v>
      </c>
      <c r="I194" s="7" t="n">
        <f aca="false">Narxlar!$C$6</f>
        <v>12</v>
      </c>
      <c r="J194" s="53" t="n">
        <f aca="false">G194*I194</f>
        <v>63</v>
      </c>
    </row>
    <row r="195" customFormat="false" ht="15" hidden="false" customHeight="false" outlineLevel="0" collapsed="false">
      <c r="A195" s="5" t="n">
        <v>151</v>
      </c>
      <c r="B195" s="6" t="s">
        <v>77</v>
      </c>
      <c r="C195" s="6" t="s">
        <v>9</v>
      </c>
      <c r="D195" s="6" t="s">
        <v>319</v>
      </c>
      <c r="E195" s="50" t="n">
        <v>5.9</v>
      </c>
      <c r="F195" s="31" t="n">
        <f aca="false">Narxlar!$C$71</f>
        <v>3.5</v>
      </c>
      <c r="G195" s="51" t="n">
        <f aca="false">E195*F195</f>
        <v>20.65</v>
      </c>
      <c r="H195" s="5" t="s">
        <v>157</v>
      </c>
      <c r="I195" s="7" t="n">
        <f aca="false">Narxlar!$C$6</f>
        <v>12</v>
      </c>
      <c r="J195" s="53" t="n">
        <f aca="false">G195*I195</f>
        <v>247.8</v>
      </c>
    </row>
    <row r="196" customFormat="false" ht="15" hidden="false" customHeight="false" outlineLevel="0" collapsed="false">
      <c r="A196" s="5" t="n">
        <v>152</v>
      </c>
      <c r="B196" s="6" t="s">
        <v>77</v>
      </c>
      <c r="C196" s="6" t="s">
        <v>9</v>
      </c>
      <c r="D196" s="6" t="s">
        <v>320</v>
      </c>
      <c r="E196" s="50" t="n">
        <v>0.15</v>
      </c>
      <c r="F196" s="31" t="n">
        <f aca="false">Narxlar!$C$73</f>
        <v>1</v>
      </c>
      <c r="G196" s="51" t="n">
        <f aca="false">E196*F196</f>
        <v>0.15</v>
      </c>
      <c r="H196" s="5" t="s">
        <v>157</v>
      </c>
      <c r="I196" s="7" t="n">
        <f aca="false">Narxlar!$C$6</f>
        <v>12</v>
      </c>
      <c r="J196" s="53" t="n">
        <f aca="false">G196*I196</f>
        <v>1.8</v>
      </c>
    </row>
    <row r="197" customFormat="false" ht="15" hidden="false" customHeight="false" outlineLevel="0" collapsed="false">
      <c r="A197" s="5" t="n">
        <v>153</v>
      </c>
      <c r="B197" s="6" t="s">
        <v>77</v>
      </c>
      <c r="C197" s="6" t="s">
        <v>9</v>
      </c>
      <c r="D197" s="6" t="s">
        <v>320</v>
      </c>
      <c r="E197" s="50" t="n">
        <v>1.8</v>
      </c>
      <c r="F197" s="31" t="n">
        <f aca="false">Narxlar!$C$73</f>
        <v>1</v>
      </c>
      <c r="G197" s="51" t="n">
        <f aca="false">E197*F197</f>
        <v>1.8</v>
      </c>
      <c r="H197" s="5" t="s">
        <v>157</v>
      </c>
      <c r="I197" s="7" t="n">
        <f aca="false">Narxlar!$C$6</f>
        <v>12</v>
      </c>
      <c r="J197" s="53" t="n">
        <f aca="false">G197*I197</f>
        <v>21.6</v>
      </c>
    </row>
    <row r="198" customFormat="false" ht="15" hidden="false" customHeight="false" outlineLevel="0" collapsed="false">
      <c r="A198" s="5" t="n">
        <v>154</v>
      </c>
      <c r="B198" s="6" t="s">
        <v>77</v>
      </c>
      <c r="C198" s="6" t="s">
        <v>9</v>
      </c>
      <c r="D198" s="6" t="s">
        <v>321</v>
      </c>
      <c r="E198" s="50" t="n">
        <v>0.15</v>
      </c>
      <c r="F198" s="31" t="n">
        <f aca="false">Narxlar!$C$73</f>
        <v>1</v>
      </c>
      <c r="G198" s="51" t="n">
        <f aca="false">E198*F198</f>
        <v>0.15</v>
      </c>
      <c r="H198" s="5" t="s">
        <v>157</v>
      </c>
      <c r="I198" s="7" t="n">
        <f aca="false">Narxlar!$C$6</f>
        <v>12</v>
      </c>
      <c r="J198" s="53" t="n">
        <f aca="false">G198*I198</f>
        <v>1.8</v>
      </c>
    </row>
    <row r="199" customFormat="false" ht="15" hidden="false" customHeight="false" outlineLevel="0" collapsed="false">
      <c r="A199" s="5" t="n">
        <v>155</v>
      </c>
      <c r="B199" s="6" t="s">
        <v>77</v>
      </c>
      <c r="C199" s="6" t="s">
        <v>9</v>
      </c>
      <c r="D199" s="6" t="s">
        <v>321</v>
      </c>
      <c r="E199" s="50" t="n">
        <v>1.8</v>
      </c>
      <c r="F199" s="31" t="n">
        <f aca="false">Narxlar!$C$73</f>
        <v>1</v>
      </c>
      <c r="G199" s="51" t="n">
        <f aca="false">E199*F199</f>
        <v>1.8</v>
      </c>
      <c r="H199" s="5" t="s">
        <v>157</v>
      </c>
      <c r="I199" s="7" t="n">
        <f aca="false">Narxlar!$C$6</f>
        <v>12</v>
      </c>
      <c r="J199" s="53" t="n">
        <f aca="false">G199*I199</f>
        <v>21.6</v>
      </c>
    </row>
    <row r="200" customFormat="false" ht="15" hidden="false" customHeight="false" outlineLevel="0" collapsed="false">
      <c r="A200" s="5" t="n">
        <v>156</v>
      </c>
      <c r="B200" s="6" t="s">
        <v>77</v>
      </c>
      <c r="C200" s="6" t="s">
        <v>9</v>
      </c>
      <c r="D200" s="6" t="s">
        <v>268</v>
      </c>
      <c r="E200" s="50" t="n">
        <v>0.2</v>
      </c>
      <c r="F200" s="31" t="n">
        <f aca="false">Narxlar!$C$71</f>
        <v>3.5</v>
      </c>
      <c r="G200" s="51" t="n">
        <f aca="false">E200*F200</f>
        <v>0.7</v>
      </c>
      <c r="H200" s="5" t="s">
        <v>157</v>
      </c>
      <c r="I200" s="7" t="n">
        <f aca="false">Narxlar!$C$6</f>
        <v>12</v>
      </c>
      <c r="J200" s="53" t="n">
        <f aca="false">G200*I200</f>
        <v>8.4</v>
      </c>
    </row>
    <row r="201" customFormat="false" ht="15" hidden="false" customHeight="false" outlineLevel="0" collapsed="false">
      <c r="A201" s="5" t="n">
        <v>157</v>
      </c>
      <c r="B201" s="6" t="s">
        <v>77</v>
      </c>
      <c r="C201" s="6" t="s">
        <v>9</v>
      </c>
      <c r="D201" s="6" t="s">
        <v>307</v>
      </c>
      <c r="E201" s="50" t="n">
        <v>1.15</v>
      </c>
      <c r="F201" s="31" t="n">
        <f aca="false">Narxlar!$C$71</f>
        <v>3.5</v>
      </c>
      <c r="G201" s="51" t="n">
        <f aca="false">E201*F201</f>
        <v>4.025</v>
      </c>
      <c r="H201" s="5" t="s">
        <v>157</v>
      </c>
      <c r="I201" s="7" t="n">
        <f aca="false">Narxlar!$C$6</f>
        <v>12</v>
      </c>
      <c r="J201" s="53" t="n">
        <f aca="false">G201*I201</f>
        <v>48.3</v>
      </c>
    </row>
    <row r="202" customFormat="false" ht="15" hidden="false" customHeight="false" outlineLevel="0" collapsed="false">
      <c r="A202" s="5" t="n">
        <v>158</v>
      </c>
      <c r="B202" s="6" t="s">
        <v>77</v>
      </c>
      <c r="C202" s="6" t="s">
        <v>9</v>
      </c>
      <c r="D202" s="6" t="s">
        <v>322</v>
      </c>
      <c r="E202" s="31" t="n">
        <f aca="false">Narxlar!$C$76</f>
        <v>0.9</v>
      </c>
      <c r="F202" s="31" t="n">
        <f aca="false">Narxlar!$C$73</f>
        <v>1</v>
      </c>
      <c r="G202" s="51" t="n">
        <f aca="false">E202*F202</f>
        <v>0.9</v>
      </c>
      <c r="H202" s="5" t="s">
        <v>157</v>
      </c>
      <c r="I202" s="7" t="n">
        <f aca="false">Narxlar!$C$6</f>
        <v>12</v>
      </c>
      <c r="J202" s="53" t="n">
        <f aca="false">G202*I202</f>
        <v>10.8</v>
      </c>
    </row>
    <row r="203" customFormat="false" ht="15" hidden="false" customHeight="false" outlineLevel="0" collapsed="false">
      <c r="A203" s="5" t="n">
        <v>159</v>
      </c>
      <c r="B203" s="6" t="s">
        <v>77</v>
      </c>
      <c r="C203" s="6" t="s">
        <v>9</v>
      </c>
      <c r="D203" s="6" t="s">
        <v>323</v>
      </c>
      <c r="E203" s="31" t="n">
        <f aca="false">Narxlar!$C$76</f>
        <v>0.9</v>
      </c>
      <c r="F203" s="31" t="n">
        <f aca="false">Narxlar!$C$73</f>
        <v>1</v>
      </c>
      <c r="G203" s="51" t="n">
        <f aca="false">E203*F203</f>
        <v>0.9</v>
      </c>
      <c r="H203" s="5" t="s">
        <v>157</v>
      </c>
      <c r="I203" s="7" t="n">
        <f aca="false">Narxlar!$C$6</f>
        <v>12</v>
      </c>
      <c r="J203" s="53" t="n">
        <f aca="false">G203*I203</f>
        <v>10.8</v>
      </c>
    </row>
    <row r="204" customFormat="false" ht="15" hidden="false" customHeight="false" outlineLevel="0" collapsed="false">
      <c r="A204" s="5" t="n">
        <v>160</v>
      </c>
      <c r="B204" s="6" t="s">
        <v>77</v>
      </c>
      <c r="C204" s="6" t="s">
        <v>9</v>
      </c>
      <c r="D204" s="6" t="s">
        <v>324</v>
      </c>
      <c r="E204" s="31" t="n">
        <f aca="false">Narxlar!$C$76</f>
        <v>0.9</v>
      </c>
      <c r="F204" s="31" t="n">
        <f aca="false">Narxlar!$C$73</f>
        <v>1</v>
      </c>
      <c r="G204" s="51" t="n">
        <f aca="false">E204*F204</f>
        <v>0.9</v>
      </c>
      <c r="H204" s="5" t="s">
        <v>157</v>
      </c>
      <c r="I204" s="7" t="n">
        <f aca="false">Narxlar!$C$6</f>
        <v>12</v>
      </c>
      <c r="J204" s="53" t="n">
        <f aca="false">G204*I204</f>
        <v>10.8</v>
      </c>
    </row>
    <row r="205" customFormat="false" ht="15" hidden="false" customHeight="false" outlineLevel="0" collapsed="false">
      <c r="A205" s="5" t="n">
        <v>161</v>
      </c>
      <c r="B205" s="6" t="s">
        <v>77</v>
      </c>
      <c r="C205" s="6" t="s">
        <v>9</v>
      </c>
      <c r="D205" s="6" t="s">
        <v>325</v>
      </c>
      <c r="E205" s="31" t="n">
        <f aca="false">Narxlar!$C$76</f>
        <v>0.9</v>
      </c>
      <c r="F205" s="31" t="n">
        <f aca="false">Narxlar!$C$73</f>
        <v>1</v>
      </c>
      <c r="G205" s="51" t="n">
        <f aca="false">E205*F205</f>
        <v>0.9</v>
      </c>
      <c r="H205" s="5" t="s">
        <v>157</v>
      </c>
      <c r="I205" s="7" t="n">
        <f aca="false">Narxlar!$C$6</f>
        <v>12</v>
      </c>
      <c r="J205" s="53" t="n">
        <f aca="false">G205*I205</f>
        <v>10.8</v>
      </c>
    </row>
    <row r="206" customFormat="false" ht="15" hidden="false" customHeight="false" outlineLevel="0" collapsed="false">
      <c r="A206" s="5" t="n">
        <v>162</v>
      </c>
      <c r="B206" s="6" t="s">
        <v>77</v>
      </c>
      <c r="C206" s="6" t="s">
        <v>9</v>
      </c>
      <c r="D206" s="6" t="s">
        <v>326</v>
      </c>
      <c r="E206" s="31" t="n">
        <f aca="false">Narxlar!$C$76</f>
        <v>0.9</v>
      </c>
      <c r="F206" s="31" t="n">
        <f aca="false">Narxlar!$C$73</f>
        <v>1</v>
      </c>
      <c r="G206" s="51" t="n">
        <f aca="false">E206*F206</f>
        <v>0.9</v>
      </c>
      <c r="H206" s="5" t="s">
        <v>157</v>
      </c>
      <c r="I206" s="7" t="n">
        <f aca="false">Narxlar!$C$6</f>
        <v>12</v>
      </c>
      <c r="J206" s="53" t="n">
        <f aca="false">G206*I206</f>
        <v>10.8</v>
      </c>
    </row>
    <row r="207" customFormat="false" ht="15" hidden="false" customHeight="false" outlineLevel="0" collapsed="false">
      <c r="A207" s="5" t="n">
        <v>163</v>
      </c>
      <c r="B207" s="6" t="s">
        <v>77</v>
      </c>
      <c r="C207" s="6" t="s">
        <v>13</v>
      </c>
      <c r="D207" s="6" t="s">
        <v>327</v>
      </c>
      <c r="E207" s="50"/>
      <c r="F207" s="51"/>
      <c r="G207" s="52" t="n">
        <v>1</v>
      </c>
      <c r="H207" s="5" t="s">
        <v>245</v>
      </c>
      <c r="I207" s="7" t="n">
        <f aca="false">Narxlar!$C$11</f>
        <v>336</v>
      </c>
      <c r="J207" s="53" t="n">
        <f aca="false">G207*I207</f>
        <v>336</v>
      </c>
    </row>
    <row r="208" customFormat="false" ht="15" hidden="false" customHeight="false" outlineLevel="0" collapsed="false">
      <c r="A208" s="5" t="n">
        <v>164</v>
      </c>
      <c r="B208" s="6" t="s">
        <v>77</v>
      </c>
      <c r="C208" s="6" t="s">
        <v>23</v>
      </c>
      <c r="D208" s="6" t="s">
        <v>328</v>
      </c>
      <c r="E208" s="50"/>
      <c r="F208" s="51"/>
      <c r="G208" s="52" t="n">
        <v>1</v>
      </c>
      <c r="H208" s="5" t="s">
        <v>113</v>
      </c>
      <c r="I208" s="7" t="n">
        <f aca="false">Narxlar!$C$63</f>
        <v>120</v>
      </c>
      <c r="J208" s="53" t="n">
        <f aca="false">G208*I208</f>
        <v>120</v>
      </c>
    </row>
    <row r="209" customFormat="false" ht="15" hidden="false" customHeight="false" outlineLevel="0" collapsed="false">
      <c r="A209" s="5" t="n">
        <v>165</v>
      </c>
      <c r="B209" s="6" t="s">
        <v>77</v>
      </c>
      <c r="C209" s="6" t="s">
        <v>23</v>
      </c>
      <c r="D209" s="6" t="s">
        <v>329</v>
      </c>
      <c r="E209" s="50"/>
      <c r="F209" s="51"/>
      <c r="G209" s="52" t="n">
        <v>1</v>
      </c>
      <c r="H209" s="5" t="s">
        <v>113</v>
      </c>
      <c r="I209" s="7" t="n">
        <f aca="false">Narxlar!$C$64</f>
        <v>250</v>
      </c>
      <c r="J209" s="53" t="n">
        <f aca="false">G209*I209</f>
        <v>250</v>
      </c>
    </row>
    <row r="210" customFormat="false" ht="15" hidden="false" customHeight="false" outlineLevel="0" collapsed="false">
      <c r="A210" s="54"/>
      <c r="B210" s="54"/>
      <c r="C210" s="54"/>
      <c r="D210" s="11" t="s">
        <v>330</v>
      </c>
      <c r="E210" s="54"/>
      <c r="F210" s="54"/>
      <c r="G210" s="54"/>
      <c r="H210" s="54"/>
      <c r="I210" s="54"/>
      <c r="J210" s="12" t="n">
        <f aca="false">SUM(J189:J209)</f>
        <v>1330</v>
      </c>
    </row>
    <row r="212" customFormat="false" ht="15" hidden="false" customHeight="false" outlineLevel="0" collapsed="false">
      <c r="A212" s="29" t="s">
        <v>78</v>
      </c>
      <c r="B212" s="30"/>
      <c r="C212" s="30"/>
      <c r="D212" s="30"/>
      <c r="E212" s="30"/>
      <c r="F212" s="30"/>
      <c r="G212" s="30"/>
      <c r="H212" s="30"/>
      <c r="I212" s="30"/>
      <c r="J212" s="30"/>
    </row>
    <row r="213" customFormat="false" ht="15" hidden="false" customHeight="false" outlineLevel="0" collapsed="false">
      <c r="A213" s="5" t="n">
        <v>166</v>
      </c>
      <c r="B213" s="6" t="s">
        <v>78</v>
      </c>
      <c r="C213" s="6" t="s">
        <v>9</v>
      </c>
      <c r="D213" s="6" t="s">
        <v>331</v>
      </c>
      <c r="E213" s="50" t="n">
        <v>0.15</v>
      </c>
      <c r="F213" s="31" t="n">
        <f aca="false">Narxlar!$C$73</f>
        <v>1</v>
      </c>
      <c r="G213" s="51" t="n">
        <f aca="false">E213*F213</f>
        <v>0.15</v>
      </c>
      <c r="H213" s="5" t="s">
        <v>157</v>
      </c>
      <c r="I213" s="7" t="n">
        <f aca="false">Narxlar!$C$6</f>
        <v>12</v>
      </c>
      <c r="J213" s="53" t="n">
        <f aca="false">G213*I213</f>
        <v>1.8</v>
      </c>
    </row>
    <row r="214" customFormat="false" ht="15" hidden="false" customHeight="false" outlineLevel="0" collapsed="false">
      <c r="A214" s="5" t="n">
        <v>167</v>
      </c>
      <c r="B214" s="6" t="s">
        <v>78</v>
      </c>
      <c r="C214" s="6" t="s">
        <v>9</v>
      </c>
      <c r="D214" s="6" t="s">
        <v>331</v>
      </c>
      <c r="E214" s="50" t="n">
        <v>1.75</v>
      </c>
      <c r="F214" s="31" t="n">
        <f aca="false">Narxlar!$C$73</f>
        <v>1</v>
      </c>
      <c r="G214" s="51" t="n">
        <f aca="false">E214*F214</f>
        <v>1.75</v>
      </c>
      <c r="H214" s="5" t="s">
        <v>157</v>
      </c>
      <c r="I214" s="7" t="n">
        <f aca="false">Narxlar!$C$6</f>
        <v>12</v>
      </c>
      <c r="J214" s="53" t="n">
        <f aca="false">G214*I214</f>
        <v>21</v>
      </c>
    </row>
    <row r="215" customFormat="false" ht="15" hidden="false" customHeight="false" outlineLevel="0" collapsed="false">
      <c r="A215" s="5" t="n">
        <v>168</v>
      </c>
      <c r="B215" s="6" t="s">
        <v>78</v>
      </c>
      <c r="C215" s="6" t="s">
        <v>9</v>
      </c>
      <c r="D215" s="6" t="s">
        <v>332</v>
      </c>
      <c r="E215" s="50" t="n">
        <v>0.15</v>
      </c>
      <c r="F215" s="31" t="n">
        <f aca="false">Narxlar!$C$73</f>
        <v>1</v>
      </c>
      <c r="G215" s="51" t="n">
        <f aca="false">E215*F215</f>
        <v>0.15</v>
      </c>
      <c r="H215" s="5" t="s">
        <v>157</v>
      </c>
      <c r="I215" s="7" t="n">
        <f aca="false">Narxlar!$C$6</f>
        <v>12</v>
      </c>
      <c r="J215" s="53" t="n">
        <f aca="false">G215*I215</f>
        <v>1.8</v>
      </c>
    </row>
    <row r="216" customFormat="false" ht="15" hidden="false" customHeight="false" outlineLevel="0" collapsed="false">
      <c r="A216" s="5" t="n">
        <v>169</v>
      </c>
      <c r="B216" s="6" t="s">
        <v>78</v>
      </c>
      <c r="C216" s="6" t="s">
        <v>9</v>
      </c>
      <c r="D216" s="6" t="s">
        <v>332</v>
      </c>
      <c r="E216" s="50" t="n">
        <v>1.75</v>
      </c>
      <c r="F216" s="31" t="n">
        <f aca="false">Narxlar!$C$73</f>
        <v>1</v>
      </c>
      <c r="G216" s="51" t="n">
        <f aca="false">E216*F216</f>
        <v>1.75</v>
      </c>
      <c r="H216" s="5" t="s">
        <v>157</v>
      </c>
      <c r="I216" s="7" t="n">
        <f aca="false">Narxlar!$C$6</f>
        <v>12</v>
      </c>
      <c r="J216" s="53" t="n">
        <f aca="false">G216*I216</f>
        <v>21</v>
      </c>
    </row>
    <row r="217" customFormat="false" ht="15" hidden="false" customHeight="false" outlineLevel="0" collapsed="false">
      <c r="A217" s="5" t="n">
        <v>170</v>
      </c>
      <c r="B217" s="6" t="s">
        <v>78</v>
      </c>
      <c r="C217" s="6" t="s">
        <v>9</v>
      </c>
      <c r="D217" s="6" t="s">
        <v>333</v>
      </c>
      <c r="E217" s="50" t="n">
        <v>6.3</v>
      </c>
      <c r="F217" s="31" t="n">
        <f aca="false">Narxlar!$C$71</f>
        <v>3.5</v>
      </c>
      <c r="G217" s="51" t="n">
        <f aca="false">E217*F217</f>
        <v>22.05</v>
      </c>
      <c r="H217" s="5" t="s">
        <v>157</v>
      </c>
      <c r="I217" s="7" t="n">
        <f aca="false">Narxlar!$C$6</f>
        <v>12</v>
      </c>
      <c r="J217" s="53" t="n">
        <f aca="false">G217*I217</f>
        <v>264.6</v>
      </c>
    </row>
    <row r="218" customFormat="false" ht="15" hidden="false" customHeight="false" outlineLevel="0" collapsed="false">
      <c r="A218" s="5" t="n">
        <v>171</v>
      </c>
      <c r="B218" s="6" t="s">
        <v>78</v>
      </c>
      <c r="C218" s="6" t="s">
        <v>9</v>
      </c>
      <c r="D218" s="6" t="s">
        <v>334</v>
      </c>
      <c r="E218" s="50" t="n">
        <v>0.15</v>
      </c>
      <c r="F218" s="31" t="n">
        <f aca="false">Narxlar!$C$71</f>
        <v>3.5</v>
      </c>
      <c r="G218" s="51" t="n">
        <f aca="false">E218*F218</f>
        <v>0.525</v>
      </c>
      <c r="H218" s="5" t="s">
        <v>157</v>
      </c>
      <c r="I218" s="7" t="n">
        <f aca="false">Narxlar!$C$6</f>
        <v>12</v>
      </c>
      <c r="J218" s="53" t="n">
        <f aca="false">G218*I218</f>
        <v>6.3</v>
      </c>
    </row>
    <row r="219" customFormat="false" ht="15" hidden="false" customHeight="false" outlineLevel="0" collapsed="false">
      <c r="A219" s="5" t="n">
        <v>172</v>
      </c>
      <c r="B219" s="6" t="s">
        <v>78</v>
      </c>
      <c r="C219" s="6" t="s">
        <v>9</v>
      </c>
      <c r="D219" s="6" t="s">
        <v>318</v>
      </c>
      <c r="E219" s="50" t="n">
        <v>1.5</v>
      </c>
      <c r="F219" s="31" t="n">
        <f aca="false">Narxlar!$C$71</f>
        <v>3.5</v>
      </c>
      <c r="G219" s="51" t="n">
        <f aca="false">E219*F219</f>
        <v>5.25</v>
      </c>
      <c r="H219" s="5" t="s">
        <v>157</v>
      </c>
      <c r="I219" s="7" t="n">
        <f aca="false">Narxlar!$C$6</f>
        <v>12</v>
      </c>
      <c r="J219" s="53" t="n">
        <f aca="false">G219*I219</f>
        <v>63</v>
      </c>
    </row>
    <row r="220" customFormat="false" ht="15" hidden="false" customHeight="false" outlineLevel="0" collapsed="false">
      <c r="A220" s="5" t="n">
        <v>173</v>
      </c>
      <c r="B220" s="6" t="s">
        <v>78</v>
      </c>
      <c r="C220" s="6" t="s">
        <v>9</v>
      </c>
      <c r="D220" s="6" t="s">
        <v>335</v>
      </c>
      <c r="E220" s="50" t="n">
        <v>0.2</v>
      </c>
      <c r="F220" s="31" t="n">
        <f aca="false">Narxlar!$C$71</f>
        <v>3.5</v>
      </c>
      <c r="G220" s="51" t="n">
        <f aca="false">E220*F220</f>
        <v>0.7</v>
      </c>
      <c r="H220" s="5" t="s">
        <v>157</v>
      </c>
      <c r="I220" s="7" t="n">
        <f aca="false">Narxlar!$C$6</f>
        <v>12</v>
      </c>
      <c r="J220" s="53" t="n">
        <f aca="false">G220*I220</f>
        <v>8.4</v>
      </c>
    </row>
    <row r="221" customFormat="false" ht="15" hidden="false" customHeight="false" outlineLevel="0" collapsed="false">
      <c r="A221" s="5" t="n">
        <v>174</v>
      </c>
      <c r="B221" s="6" t="s">
        <v>78</v>
      </c>
      <c r="C221" s="6" t="s">
        <v>9</v>
      </c>
      <c r="D221" s="6" t="s">
        <v>336</v>
      </c>
      <c r="E221" s="50" t="n">
        <v>4.7</v>
      </c>
      <c r="F221" s="31" t="n">
        <f aca="false">Narxlar!$C$73</f>
        <v>1</v>
      </c>
      <c r="G221" s="51" t="n">
        <f aca="false">E221*F221</f>
        <v>4.7</v>
      </c>
      <c r="H221" s="5" t="s">
        <v>157</v>
      </c>
      <c r="I221" s="7" t="n">
        <f aca="false">Narxlar!$C$6</f>
        <v>12</v>
      </c>
      <c r="J221" s="53" t="n">
        <f aca="false">G221*I221</f>
        <v>56.4</v>
      </c>
    </row>
    <row r="222" customFormat="false" ht="15" hidden="false" customHeight="false" outlineLevel="0" collapsed="false">
      <c r="A222" s="5" t="n">
        <v>175</v>
      </c>
      <c r="B222" s="6" t="s">
        <v>78</v>
      </c>
      <c r="C222" s="6" t="s">
        <v>9</v>
      </c>
      <c r="D222" s="6" t="s">
        <v>337</v>
      </c>
      <c r="E222" s="50" t="n">
        <v>0.4</v>
      </c>
      <c r="F222" s="31" t="n">
        <f aca="false">Narxlar!$C$71</f>
        <v>3.5</v>
      </c>
      <c r="G222" s="51" t="n">
        <f aca="false">E222*F222</f>
        <v>1.4</v>
      </c>
      <c r="H222" s="5" t="s">
        <v>157</v>
      </c>
      <c r="I222" s="7" t="n">
        <f aca="false">Narxlar!$C$6</f>
        <v>12</v>
      </c>
      <c r="J222" s="53" t="n">
        <f aca="false">G222*I222</f>
        <v>16.8</v>
      </c>
    </row>
    <row r="223" customFormat="false" ht="15" hidden="false" customHeight="false" outlineLevel="0" collapsed="false">
      <c r="A223" s="5" t="n">
        <v>176</v>
      </c>
      <c r="B223" s="6" t="s">
        <v>78</v>
      </c>
      <c r="C223" s="6" t="s">
        <v>9</v>
      </c>
      <c r="D223" s="6" t="s">
        <v>338</v>
      </c>
      <c r="E223" s="50" t="n">
        <v>4.7</v>
      </c>
      <c r="F223" s="31" t="n">
        <f aca="false">Narxlar!$C$73</f>
        <v>1</v>
      </c>
      <c r="G223" s="51" t="n">
        <f aca="false">E223*F223</f>
        <v>4.7</v>
      </c>
      <c r="H223" s="5" t="s">
        <v>157</v>
      </c>
      <c r="I223" s="7" t="n">
        <f aca="false">Narxlar!$C$6</f>
        <v>12</v>
      </c>
      <c r="J223" s="53" t="n">
        <f aca="false">G223*I223</f>
        <v>56.4</v>
      </c>
    </row>
    <row r="224" customFormat="false" ht="15" hidden="false" customHeight="false" outlineLevel="0" collapsed="false">
      <c r="A224" s="5" t="n">
        <v>177</v>
      </c>
      <c r="B224" s="6" t="s">
        <v>78</v>
      </c>
      <c r="C224" s="6" t="s">
        <v>9</v>
      </c>
      <c r="D224" s="6" t="s">
        <v>339</v>
      </c>
      <c r="E224" s="50" t="n">
        <v>0.35</v>
      </c>
      <c r="F224" s="31" t="n">
        <f aca="false">Narxlar!$C$71</f>
        <v>3.5</v>
      </c>
      <c r="G224" s="51" t="n">
        <f aca="false">E224*F224</f>
        <v>1.225</v>
      </c>
      <c r="H224" s="5" t="s">
        <v>157</v>
      </c>
      <c r="I224" s="7" t="n">
        <f aca="false">Narxlar!$C$6</f>
        <v>12</v>
      </c>
      <c r="J224" s="53" t="n">
        <f aca="false">G224*I224</f>
        <v>14.7</v>
      </c>
    </row>
    <row r="225" customFormat="false" ht="15" hidden="false" customHeight="false" outlineLevel="0" collapsed="false">
      <c r="A225" s="5" t="n">
        <v>178</v>
      </c>
      <c r="B225" s="6" t="s">
        <v>78</v>
      </c>
      <c r="C225" s="6" t="s">
        <v>9</v>
      </c>
      <c r="D225" s="6" t="s">
        <v>339</v>
      </c>
      <c r="E225" s="50" t="n">
        <v>0.1</v>
      </c>
      <c r="F225" s="31" t="n">
        <f aca="false">Narxlar!$C$71</f>
        <v>3.5</v>
      </c>
      <c r="G225" s="51" t="n">
        <f aca="false">E225*F225</f>
        <v>0.35</v>
      </c>
      <c r="H225" s="5" t="s">
        <v>157</v>
      </c>
      <c r="I225" s="7" t="n">
        <f aca="false">Narxlar!$C$6</f>
        <v>12</v>
      </c>
      <c r="J225" s="53" t="n">
        <f aca="false">G225*I225</f>
        <v>4.2</v>
      </c>
    </row>
    <row r="226" customFormat="false" ht="15" hidden="false" customHeight="false" outlineLevel="0" collapsed="false">
      <c r="A226" s="5" t="n">
        <v>179</v>
      </c>
      <c r="B226" s="6" t="s">
        <v>78</v>
      </c>
      <c r="C226" s="6" t="s">
        <v>9</v>
      </c>
      <c r="D226" s="6" t="s">
        <v>340</v>
      </c>
      <c r="E226" s="31" t="n">
        <f aca="false">Narxlar!$C$76</f>
        <v>0.9</v>
      </c>
      <c r="F226" s="31" t="n">
        <f aca="false">Narxlar!$C$73</f>
        <v>1</v>
      </c>
      <c r="G226" s="51" t="n">
        <f aca="false">E226*F226</f>
        <v>0.9</v>
      </c>
      <c r="H226" s="5" t="s">
        <v>157</v>
      </c>
      <c r="I226" s="7" t="n">
        <f aca="false">Narxlar!$C$6</f>
        <v>12</v>
      </c>
      <c r="J226" s="53" t="n">
        <f aca="false">G226*I226</f>
        <v>10.8</v>
      </c>
    </row>
    <row r="227" customFormat="false" ht="15" hidden="false" customHeight="false" outlineLevel="0" collapsed="false">
      <c r="A227" s="5" t="n">
        <v>180</v>
      </c>
      <c r="B227" s="6" t="s">
        <v>78</v>
      </c>
      <c r="C227" s="6" t="s">
        <v>9</v>
      </c>
      <c r="D227" s="6" t="s">
        <v>341</v>
      </c>
      <c r="E227" s="31" t="n">
        <f aca="false">Narxlar!$C$76</f>
        <v>0.9</v>
      </c>
      <c r="F227" s="31" t="n">
        <f aca="false">Narxlar!$C$73</f>
        <v>1</v>
      </c>
      <c r="G227" s="51" t="n">
        <f aca="false">E227*F227</f>
        <v>0.9</v>
      </c>
      <c r="H227" s="5" t="s">
        <v>157</v>
      </c>
      <c r="I227" s="7" t="n">
        <f aca="false">Narxlar!$C$6</f>
        <v>12</v>
      </c>
      <c r="J227" s="53" t="n">
        <f aca="false">G227*I227</f>
        <v>10.8</v>
      </c>
    </row>
    <row r="228" customFormat="false" ht="15" hidden="false" customHeight="false" outlineLevel="0" collapsed="false">
      <c r="A228" s="5" t="n">
        <v>181</v>
      </c>
      <c r="B228" s="6" t="s">
        <v>78</v>
      </c>
      <c r="C228" s="6" t="s">
        <v>9</v>
      </c>
      <c r="D228" s="6" t="s">
        <v>342</v>
      </c>
      <c r="E228" s="31" t="n">
        <f aca="false">Narxlar!$C$76</f>
        <v>0.9</v>
      </c>
      <c r="F228" s="31" t="n">
        <f aca="false">Narxlar!$C$73</f>
        <v>1</v>
      </c>
      <c r="G228" s="51" t="n">
        <f aca="false">E228*F228</f>
        <v>0.9</v>
      </c>
      <c r="H228" s="5" t="s">
        <v>157</v>
      </c>
      <c r="I228" s="7" t="n">
        <f aca="false">Narxlar!$C$6</f>
        <v>12</v>
      </c>
      <c r="J228" s="53" t="n">
        <f aca="false">G228*I228</f>
        <v>10.8</v>
      </c>
    </row>
    <row r="229" customFormat="false" ht="15" hidden="false" customHeight="false" outlineLevel="0" collapsed="false">
      <c r="A229" s="5" t="n">
        <v>182</v>
      </c>
      <c r="B229" s="6" t="s">
        <v>78</v>
      </c>
      <c r="C229" s="6" t="s">
        <v>9</v>
      </c>
      <c r="D229" s="6" t="s">
        <v>343</v>
      </c>
      <c r="E229" s="31" t="n">
        <f aca="false">Narxlar!$C$76</f>
        <v>0.9</v>
      </c>
      <c r="F229" s="31" t="n">
        <f aca="false">Narxlar!$C$73</f>
        <v>1</v>
      </c>
      <c r="G229" s="51" t="n">
        <f aca="false">E229*F229</f>
        <v>0.9</v>
      </c>
      <c r="H229" s="5" t="s">
        <v>157</v>
      </c>
      <c r="I229" s="7" t="n">
        <f aca="false">Narxlar!$C$6</f>
        <v>12</v>
      </c>
      <c r="J229" s="53" t="n">
        <f aca="false">G229*I229</f>
        <v>10.8</v>
      </c>
    </row>
    <row r="230" customFormat="false" ht="15" hidden="false" customHeight="false" outlineLevel="0" collapsed="false">
      <c r="A230" s="5" t="n">
        <v>183</v>
      </c>
      <c r="B230" s="6" t="s">
        <v>78</v>
      </c>
      <c r="C230" s="6" t="s">
        <v>9</v>
      </c>
      <c r="D230" s="6" t="s">
        <v>344</v>
      </c>
      <c r="E230" s="31" t="n">
        <f aca="false">Narxlar!$C$76</f>
        <v>0.9</v>
      </c>
      <c r="F230" s="31" t="n">
        <f aca="false">Narxlar!$C$73</f>
        <v>1</v>
      </c>
      <c r="G230" s="51" t="n">
        <f aca="false">E230*F230</f>
        <v>0.9</v>
      </c>
      <c r="H230" s="5" t="s">
        <v>157</v>
      </c>
      <c r="I230" s="7" t="n">
        <f aca="false">Narxlar!$C$6</f>
        <v>12</v>
      </c>
      <c r="J230" s="53" t="n">
        <f aca="false">G230*I230</f>
        <v>10.8</v>
      </c>
    </row>
    <row r="231" customFormat="false" ht="15" hidden="false" customHeight="false" outlineLevel="0" collapsed="false">
      <c r="A231" s="5" t="n">
        <v>184</v>
      </c>
      <c r="B231" s="6" t="s">
        <v>78</v>
      </c>
      <c r="C231" s="6" t="s">
        <v>9</v>
      </c>
      <c r="D231" s="6" t="s">
        <v>345</v>
      </c>
      <c r="E231" s="31" t="n">
        <f aca="false">Narxlar!$C$76</f>
        <v>0.9</v>
      </c>
      <c r="F231" s="31" t="n">
        <f aca="false">Narxlar!$C$73</f>
        <v>1</v>
      </c>
      <c r="G231" s="51" t="n">
        <f aca="false">E231*F231</f>
        <v>0.9</v>
      </c>
      <c r="H231" s="5" t="s">
        <v>157</v>
      </c>
      <c r="I231" s="7" t="n">
        <f aca="false">Narxlar!$C$6</f>
        <v>12</v>
      </c>
      <c r="J231" s="53" t="n">
        <f aca="false">G231*I231</f>
        <v>10.8</v>
      </c>
    </row>
    <row r="232" customFormat="false" ht="15" hidden="false" customHeight="false" outlineLevel="0" collapsed="false">
      <c r="A232" s="5" t="n">
        <v>185</v>
      </c>
      <c r="B232" s="6" t="s">
        <v>78</v>
      </c>
      <c r="C232" s="6" t="s">
        <v>13</v>
      </c>
      <c r="D232" s="6" t="s">
        <v>327</v>
      </c>
      <c r="E232" s="50"/>
      <c r="F232" s="51"/>
      <c r="G232" s="52" t="n">
        <v>1</v>
      </c>
      <c r="H232" s="5" t="s">
        <v>245</v>
      </c>
      <c r="I232" s="7" t="n">
        <f aca="false">Narxlar!$C$11</f>
        <v>336</v>
      </c>
      <c r="J232" s="53" t="n">
        <f aca="false">G232*I232</f>
        <v>336</v>
      </c>
    </row>
    <row r="233" customFormat="false" ht="15" hidden="false" customHeight="false" outlineLevel="0" collapsed="false">
      <c r="A233" s="5" t="n">
        <v>186</v>
      </c>
      <c r="B233" s="6" t="s">
        <v>78</v>
      </c>
      <c r="C233" s="6" t="s">
        <v>23</v>
      </c>
      <c r="D233" s="6" t="s">
        <v>346</v>
      </c>
      <c r="E233" s="50"/>
      <c r="F233" s="51"/>
      <c r="G233" s="52" t="n">
        <v>1</v>
      </c>
      <c r="H233" s="5" t="s">
        <v>113</v>
      </c>
      <c r="I233" s="7" t="n">
        <f aca="false">Narxlar!$C$63</f>
        <v>120</v>
      </c>
      <c r="J233" s="53" t="n">
        <f aca="false">G233*I233</f>
        <v>120</v>
      </c>
    </row>
    <row r="234" customFormat="false" ht="15" hidden="false" customHeight="false" outlineLevel="0" collapsed="false">
      <c r="A234" s="5" t="n">
        <v>187</v>
      </c>
      <c r="B234" s="6" t="s">
        <v>78</v>
      </c>
      <c r="C234" s="6" t="s">
        <v>23</v>
      </c>
      <c r="D234" s="6" t="s">
        <v>347</v>
      </c>
      <c r="E234" s="50"/>
      <c r="F234" s="51"/>
      <c r="G234" s="52" t="n">
        <v>1</v>
      </c>
      <c r="H234" s="5" t="s">
        <v>113</v>
      </c>
      <c r="I234" s="7" t="n">
        <f aca="false">Narxlar!$C$64</f>
        <v>250</v>
      </c>
      <c r="J234" s="53" t="n">
        <f aca="false">G234*I234</f>
        <v>250</v>
      </c>
    </row>
    <row r="235" customFormat="false" ht="15" hidden="false" customHeight="false" outlineLevel="0" collapsed="false">
      <c r="A235" s="54"/>
      <c r="B235" s="54"/>
      <c r="C235" s="54"/>
      <c r="D235" s="11" t="s">
        <v>348</v>
      </c>
      <c r="E235" s="54"/>
      <c r="F235" s="54"/>
      <c r="G235" s="54"/>
      <c r="H235" s="54"/>
      <c r="I235" s="54"/>
      <c r="J235" s="12" t="n">
        <f aca="false">SUM(J213:J234)</f>
        <v>1307.2</v>
      </c>
    </row>
    <row r="237" customFormat="false" ht="15" hidden="false" customHeight="false" outlineLevel="0" collapsed="false">
      <c r="A237" s="29" t="s">
        <v>79</v>
      </c>
      <c r="B237" s="30"/>
      <c r="C237" s="30"/>
      <c r="D237" s="30"/>
      <c r="E237" s="30"/>
      <c r="F237" s="30"/>
      <c r="G237" s="30"/>
      <c r="H237" s="30"/>
      <c r="I237" s="30"/>
      <c r="J237" s="30"/>
    </row>
    <row r="238" customFormat="false" ht="15" hidden="false" customHeight="false" outlineLevel="0" collapsed="false">
      <c r="A238" s="5" t="n">
        <v>188</v>
      </c>
      <c r="B238" s="6" t="s">
        <v>79</v>
      </c>
      <c r="C238" s="6" t="s">
        <v>9</v>
      </c>
      <c r="D238" s="6" t="s">
        <v>349</v>
      </c>
      <c r="E238" s="50" t="n">
        <v>0.4</v>
      </c>
      <c r="F238" s="31" t="n">
        <f aca="false">Narxlar!$C$71</f>
        <v>3.5</v>
      </c>
      <c r="G238" s="51" t="n">
        <f aca="false">E238*F238</f>
        <v>1.4</v>
      </c>
      <c r="H238" s="5" t="s">
        <v>157</v>
      </c>
      <c r="I238" s="7" t="n">
        <f aca="false">Narxlar!$C$6</f>
        <v>12</v>
      </c>
      <c r="J238" s="53" t="n">
        <f aca="false">G238*I238</f>
        <v>16.8</v>
      </c>
    </row>
    <row r="239" customFormat="false" ht="15" hidden="false" customHeight="false" outlineLevel="0" collapsed="false">
      <c r="A239" s="5" t="n">
        <v>189</v>
      </c>
      <c r="B239" s="6" t="s">
        <v>79</v>
      </c>
      <c r="C239" s="6" t="s">
        <v>9</v>
      </c>
      <c r="D239" s="6" t="s">
        <v>350</v>
      </c>
      <c r="E239" s="50" t="n">
        <v>0.7</v>
      </c>
      <c r="F239" s="31" t="n">
        <f aca="false">Narxlar!$C$71</f>
        <v>3.5</v>
      </c>
      <c r="G239" s="51" t="n">
        <f aca="false">E239*F239</f>
        <v>2.45</v>
      </c>
      <c r="H239" s="5" t="s">
        <v>157</v>
      </c>
      <c r="I239" s="7" t="n">
        <f aca="false">Narxlar!$C$6</f>
        <v>12</v>
      </c>
      <c r="J239" s="53" t="n">
        <f aca="false">G239*I239</f>
        <v>29.4</v>
      </c>
    </row>
    <row r="240" customFormat="false" ht="15" hidden="false" customHeight="false" outlineLevel="0" collapsed="false">
      <c r="A240" s="5" t="n">
        <v>190</v>
      </c>
      <c r="B240" s="6" t="s">
        <v>79</v>
      </c>
      <c r="C240" s="6" t="s">
        <v>9</v>
      </c>
      <c r="D240" s="6" t="s">
        <v>279</v>
      </c>
      <c r="E240" s="50" t="n">
        <v>1.65</v>
      </c>
      <c r="F240" s="31" t="n">
        <f aca="false">Narxlar!$C$71</f>
        <v>3.5</v>
      </c>
      <c r="G240" s="51" t="n">
        <f aca="false">E240*F240</f>
        <v>5.775</v>
      </c>
      <c r="H240" s="5" t="s">
        <v>157</v>
      </c>
      <c r="I240" s="7" t="n">
        <f aca="false">Narxlar!$C$6</f>
        <v>12</v>
      </c>
      <c r="J240" s="53" t="n">
        <f aca="false">G240*I240</f>
        <v>69.3</v>
      </c>
    </row>
    <row r="241" customFormat="false" ht="15" hidden="false" customHeight="false" outlineLevel="0" collapsed="false">
      <c r="A241" s="5" t="n">
        <v>191</v>
      </c>
      <c r="B241" s="6" t="s">
        <v>79</v>
      </c>
      <c r="C241" s="6" t="s">
        <v>13</v>
      </c>
      <c r="D241" s="6" t="s">
        <v>327</v>
      </c>
      <c r="E241" s="50"/>
      <c r="F241" s="51"/>
      <c r="G241" s="52" t="n">
        <v>1</v>
      </c>
      <c r="H241" s="5" t="s">
        <v>245</v>
      </c>
      <c r="I241" s="7" t="n">
        <f aca="false">Narxlar!$C$11</f>
        <v>336</v>
      </c>
      <c r="J241" s="53" t="n">
        <f aca="false">G241*I241</f>
        <v>336</v>
      </c>
    </row>
    <row r="242" customFormat="false" ht="15" hidden="false" customHeight="false" outlineLevel="0" collapsed="false">
      <c r="A242" s="54"/>
      <c r="B242" s="54"/>
      <c r="C242" s="54"/>
      <c r="D242" s="11" t="s">
        <v>351</v>
      </c>
      <c r="E242" s="54"/>
      <c r="F242" s="54"/>
      <c r="G242" s="54"/>
      <c r="H242" s="54"/>
      <c r="I242" s="54"/>
      <c r="J242" s="12" t="n">
        <f aca="false">SUM(J238:J241)</f>
        <v>451.5</v>
      </c>
    </row>
    <row r="244" customFormat="false" ht="15" hidden="false" customHeight="false" outlineLevel="0" collapsed="false">
      <c r="A244" s="29" t="s">
        <v>80</v>
      </c>
      <c r="B244" s="30"/>
      <c r="C244" s="30"/>
      <c r="D244" s="30"/>
      <c r="E244" s="30"/>
      <c r="F244" s="30"/>
      <c r="G244" s="30"/>
      <c r="H244" s="30"/>
      <c r="I244" s="30"/>
      <c r="J244" s="30"/>
    </row>
    <row r="245" customFormat="false" ht="15" hidden="false" customHeight="false" outlineLevel="0" collapsed="false">
      <c r="A245" s="5" t="n">
        <v>192</v>
      </c>
      <c r="B245" s="6" t="s">
        <v>80</v>
      </c>
      <c r="C245" s="6" t="s">
        <v>9</v>
      </c>
      <c r="D245" s="6" t="s">
        <v>279</v>
      </c>
      <c r="E245" s="50" t="n">
        <v>2.6</v>
      </c>
      <c r="F245" s="31" t="n">
        <f aca="false">Narxlar!$C$71</f>
        <v>3.5</v>
      </c>
      <c r="G245" s="51" t="n">
        <f aca="false">E245*F245</f>
        <v>9.1</v>
      </c>
      <c r="H245" s="5" t="s">
        <v>157</v>
      </c>
      <c r="I245" s="7" t="n">
        <f aca="false">Narxlar!$C$6</f>
        <v>12</v>
      </c>
      <c r="J245" s="53" t="n">
        <f aca="false">G245*I245</f>
        <v>109.2</v>
      </c>
    </row>
    <row r="246" customFormat="false" ht="15" hidden="false" customHeight="false" outlineLevel="0" collapsed="false">
      <c r="A246" s="54"/>
      <c r="B246" s="54"/>
      <c r="C246" s="54"/>
      <c r="D246" s="11" t="s">
        <v>352</v>
      </c>
      <c r="E246" s="54"/>
      <c r="F246" s="54"/>
      <c r="G246" s="54"/>
      <c r="H246" s="54"/>
      <c r="I246" s="54"/>
      <c r="J246" s="12" t="n">
        <f aca="false">SUM(J245:J245)</f>
        <v>109.2</v>
      </c>
    </row>
    <row r="248" customFormat="false" ht="15" hidden="false" customHeight="false" outlineLevel="0" collapsed="false">
      <c r="A248" s="29" t="s">
        <v>81</v>
      </c>
      <c r="B248" s="30"/>
      <c r="C248" s="30"/>
      <c r="D248" s="30"/>
      <c r="E248" s="30"/>
      <c r="F248" s="30"/>
      <c r="G248" s="30"/>
      <c r="H248" s="30"/>
      <c r="I248" s="30"/>
      <c r="J248" s="30"/>
    </row>
    <row r="249" customFormat="false" ht="15" hidden="false" customHeight="false" outlineLevel="0" collapsed="false">
      <c r="A249" s="5" t="n">
        <v>193</v>
      </c>
      <c r="B249" s="6" t="s">
        <v>81</v>
      </c>
      <c r="C249" s="6" t="s">
        <v>12</v>
      </c>
      <c r="D249" s="6" t="s">
        <v>353</v>
      </c>
      <c r="E249" s="31" t="n">
        <f aca="false">Narxlar!$C$10</f>
        <v>24</v>
      </c>
      <c r="F249" s="51"/>
      <c r="G249" s="51" t="n">
        <f aca="false">E249</f>
        <v>24</v>
      </c>
      <c r="H249" s="5" t="s">
        <v>104</v>
      </c>
      <c r="I249" s="7" t="n">
        <f aca="false">Narxlar!$C$9</f>
        <v>84</v>
      </c>
      <c r="J249" s="53" t="n">
        <f aca="false">G249*I249</f>
        <v>2016</v>
      </c>
    </row>
    <row r="250" customFormat="false" ht="15" hidden="false" customHeight="false" outlineLevel="0" collapsed="false">
      <c r="A250" s="54"/>
      <c r="B250" s="54"/>
      <c r="C250" s="54"/>
      <c r="D250" s="11" t="s">
        <v>354</v>
      </c>
      <c r="E250" s="54"/>
      <c r="F250" s="54"/>
      <c r="G250" s="54"/>
      <c r="H250" s="54"/>
      <c r="I250" s="54"/>
      <c r="J250" s="12" t="n">
        <f aca="false">SUM(J249:J249)</f>
        <v>2016</v>
      </c>
    </row>
    <row r="252" customFormat="false" ht="15" hidden="false" customHeight="false" outlineLevel="0" collapsed="false">
      <c r="A252" s="29" t="s">
        <v>82</v>
      </c>
      <c r="B252" s="30"/>
      <c r="C252" s="30"/>
      <c r="D252" s="30"/>
      <c r="E252" s="30"/>
      <c r="F252" s="30"/>
      <c r="G252" s="30"/>
      <c r="H252" s="30"/>
      <c r="I252" s="30"/>
      <c r="J252" s="30"/>
    </row>
    <row r="253" customFormat="false" ht="15" hidden="false" customHeight="false" outlineLevel="0" collapsed="false">
      <c r="A253" s="5" t="n">
        <v>194</v>
      </c>
      <c r="B253" s="6" t="s">
        <v>82</v>
      </c>
      <c r="C253" s="6" t="s">
        <v>14</v>
      </c>
      <c r="D253" s="6" t="s">
        <v>111</v>
      </c>
      <c r="E253" s="50"/>
      <c r="F253" s="51"/>
      <c r="G253" s="33" t="n">
        <f aca="false">Narxlar!$C$14</f>
        <v>16</v>
      </c>
      <c r="H253" s="5" t="s">
        <v>113</v>
      </c>
      <c r="I253" s="7" t="n">
        <f aca="false">Narxlar!$C$13</f>
        <v>40</v>
      </c>
      <c r="J253" s="53" t="n">
        <f aca="false">G253*I253</f>
        <v>640</v>
      </c>
    </row>
    <row r="254" customFormat="false" ht="15" hidden="false" customHeight="false" outlineLevel="0" collapsed="false">
      <c r="A254" s="5" t="n">
        <v>195</v>
      </c>
      <c r="B254" s="6" t="s">
        <v>82</v>
      </c>
      <c r="C254" s="6" t="s">
        <v>14</v>
      </c>
      <c r="D254" s="6" t="s">
        <v>355</v>
      </c>
      <c r="E254" s="50"/>
      <c r="F254" s="51"/>
      <c r="G254" s="33" t="n">
        <f aca="false">Narxlar!$C$14</f>
        <v>16</v>
      </c>
      <c r="H254" s="5" t="s">
        <v>113</v>
      </c>
      <c r="I254" s="7" t="n">
        <f aca="false">Narxlar!$C$15</f>
        <v>21</v>
      </c>
      <c r="J254" s="53" t="n">
        <f aca="false">G254*I254</f>
        <v>336</v>
      </c>
    </row>
    <row r="255" customFormat="false" ht="15" hidden="false" customHeight="false" outlineLevel="0" collapsed="false">
      <c r="A255" s="5" t="n">
        <v>196</v>
      </c>
      <c r="B255" s="6" t="s">
        <v>82</v>
      </c>
      <c r="C255" s="6" t="s">
        <v>14</v>
      </c>
      <c r="D255" s="6" t="s">
        <v>115</v>
      </c>
      <c r="E255" s="50"/>
      <c r="F255" s="51"/>
      <c r="G255" s="52" t="n">
        <v>1</v>
      </c>
      <c r="H255" s="5" t="s">
        <v>113</v>
      </c>
      <c r="I255" s="7" t="n">
        <f aca="false">Narxlar!$C$16</f>
        <v>840</v>
      </c>
      <c r="J255" s="53" t="n">
        <f aca="false">G255*I255</f>
        <v>840</v>
      </c>
    </row>
    <row r="256" customFormat="false" ht="15" hidden="false" customHeight="false" outlineLevel="0" collapsed="false">
      <c r="A256" s="5" t="n">
        <v>197</v>
      </c>
      <c r="B256" s="6" t="s">
        <v>82</v>
      </c>
      <c r="C256" s="6" t="s">
        <v>14</v>
      </c>
      <c r="D256" s="6" t="s">
        <v>356</v>
      </c>
      <c r="E256" s="50"/>
      <c r="F256" s="51"/>
      <c r="G256" s="52" t="n">
        <v>1</v>
      </c>
      <c r="H256" s="5" t="s">
        <v>245</v>
      </c>
      <c r="I256" s="7" t="n">
        <f aca="false">Narxlar!$C$17</f>
        <v>303</v>
      </c>
      <c r="J256" s="53" t="n">
        <f aca="false">G256*I256</f>
        <v>303</v>
      </c>
    </row>
    <row r="257" customFormat="false" ht="15" hidden="false" customHeight="false" outlineLevel="0" collapsed="false">
      <c r="A257" s="5" t="n">
        <v>198</v>
      </c>
      <c r="B257" s="6" t="s">
        <v>82</v>
      </c>
      <c r="C257" s="6" t="s">
        <v>15</v>
      </c>
      <c r="D257" s="6" t="s">
        <v>357</v>
      </c>
      <c r="E257" s="50"/>
      <c r="F257" s="51"/>
      <c r="G257" s="52" t="n">
        <v>1</v>
      </c>
      <c r="H257" s="5" t="s">
        <v>245</v>
      </c>
      <c r="I257" s="7" t="n">
        <f aca="false">Narxlar!$C$18</f>
        <v>2500</v>
      </c>
      <c r="J257" s="53" t="n">
        <f aca="false">G257*I257</f>
        <v>2500</v>
      </c>
    </row>
    <row r="258" customFormat="false" ht="15" hidden="false" customHeight="false" outlineLevel="0" collapsed="false">
      <c r="A258" s="5" t="n">
        <v>199</v>
      </c>
      <c r="B258" s="6" t="s">
        <v>82</v>
      </c>
      <c r="C258" s="6" t="s">
        <v>16</v>
      </c>
      <c r="D258" s="6" t="s">
        <v>358</v>
      </c>
      <c r="E258" s="50"/>
      <c r="F258" s="51"/>
      <c r="G258" s="33" t="n">
        <f aca="false">Narxlar!$C$21</f>
        <v>8</v>
      </c>
      <c r="H258" s="5" t="s">
        <v>113</v>
      </c>
      <c r="I258" s="7" t="n">
        <f aca="false">Narxlar!$C$20/Narxlar!$C$19</f>
        <v>67.2268907563025</v>
      </c>
      <c r="J258" s="53" t="n">
        <f aca="false">G258*I258</f>
        <v>537.81512605042</v>
      </c>
    </row>
    <row r="259" customFormat="false" ht="15" hidden="false" customHeight="false" outlineLevel="0" collapsed="false">
      <c r="A259" s="5" t="n">
        <v>200</v>
      </c>
      <c r="B259" s="6" t="s">
        <v>82</v>
      </c>
      <c r="C259" s="6" t="s">
        <v>17</v>
      </c>
      <c r="D259" s="6" t="s">
        <v>359</v>
      </c>
      <c r="E259" s="50"/>
      <c r="F259" s="51"/>
      <c r="G259" s="52" t="n">
        <v>1</v>
      </c>
      <c r="H259" s="5" t="s">
        <v>245</v>
      </c>
      <c r="I259" s="7" t="n">
        <f aca="false">Narxlar!$C$22/Narxlar!$C$19</f>
        <v>1512.60504201681</v>
      </c>
      <c r="J259" s="53" t="n">
        <f aca="false">G259*I259</f>
        <v>1512.60504201681</v>
      </c>
    </row>
    <row r="260" customFormat="false" ht="15" hidden="false" customHeight="false" outlineLevel="0" collapsed="false">
      <c r="A260" s="5" t="n">
        <v>201</v>
      </c>
      <c r="B260" s="6" t="s">
        <v>82</v>
      </c>
      <c r="C260" s="6" t="s">
        <v>18</v>
      </c>
      <c r="D260" s="6" t="s">
        <v>360</v>
      </c>
      <c r="E260" s="50" t="n">
        <v>1.1</v>
      </c>
      <c r="F260" s="31" t="n">
        <f aca="false">Narxlar!$C$71</f>
        <v>3.5</v>
      </c>
      <c r="G260" s="51" t="n">
        <f aca="false">E260*F260</f>
        <v>3.85</v>
      </c>
      <c r="H260" s="5" t="s">
        <v>157</v>
      </c>
      <c r="I260" s="7" t="n">
        <f aca="false">Narxlar!$C$23/Narxlar!$C$19</f>
        <v>4.20168067226891</v>
      </c>
      <c r="J260" s="53" t="n">
        <f aca="false">G260*I260</f>
        <v>16.1764705882353</v>
      </c>
    </row>
    <row r="261" customFormat="false" ht="15" hidden="false" customHeight="false" outlineLevel="0" collapsed="false">
      <c r="A261" s="5" t="n">
        <v>202</v>
      </c>
      <c r="B261" s="6" t="s">
        <v>82</v>
      </c>
      <c r="C261" s="6" t="s">
        <v>18</v>
      </c>
      <c r="D261" s="6" t="s">
        <v>361</v>
      </c>
      <c r="E261" s="50" t="n">
        <v>5.6</v>
      </c>
      <c r="F261" s="31" t="n">
        <f aca="false">Narxlar!$C$71</f>
        <v>3.5</v>
      </c>
      <c r="G261" s="51" t="n">
        <f aca="false">E261*F261</f>
        <v>19.6</v>
      </c>
      <c r="H261" s="5" t="s">
        <v>157</v>
      </c>
      <c r="I261" s="7" t="n">
        <f aca="false">Narxlar!$C$23/Narxlar!$C$19</f>
        <v>4.20168067226891</v>
      </c>
      <c r="J261" s="53" t="n">
        <f aca="false">G261*I261</f>
        <v>82.3529411764706</v>
      </c>
    </row>
    <row r="262" customFormat="false" ht="15" hidden="false" customHeight="false" outlineLevel="0" collapsed="false">
      <c r="A262" s="5" t="n">
        <v>203</v>
      </c>
      <c r="B262" s="6" t="s">
        <v>82</v>
      </c>
      <c r="C262" s="6" t="s">
        <v>18</v>
      </c>
      <c r="D262" s="6" t="s">
        <v>361</v>
      </c>
      <c r="E262" s="50" t="n">
        <v>5.6</v>
      </c>
      <c r="F262" s="31" t="n">
        <f aca="false">Narxlar!$C$71</f>
        <v>3.5</v>
      </c>
      <c r="G262" s="51" t="n">
        <f aca="false">E262*F262</f>
        <v>19.6</v>
      </c>
      <c r="H262" s="5" t="s">
        <v>157</v>
      </c>
      <c r="I262" s="7" t="n">
        <f aca="false">Narxlar!$C$23/Narxlar!$C$19</f>
        <v>4.20168067226891</v>
      </c>
      <c r="J262" s="53" t="n">
        <f aca="false">G262*I262</f>
        <v>82.3529411764706</v>
      </c>
    </row>
    <row r="263" customFormat="false" ht="15" hidden="false" customHeight="false" outlineLevel="0" collapsed="false">
      <c r="A263" s="5" t="n">
        <v>204</v>
      </c>
      <c r="B263" s="6" t="s">
        <v>82</v>
      </c>
      <c r="C263" s="6" t="s">
        <v>18</v>
      </c>
      <c r="D263" s="6" t="s">
        <v>361</v>
      </c>
      <c r="E263" s="50" t="n">
        <v>0.75</v>
      </c>
      <c r="F263" s="31" t="n">
        <f aca="false">Narxlar!$C$71</f>
        <v>3.5</v>
      </c>
      <c r="G263" s="51" t="n">
        <f aca="false">E263*F263</f>
        <v>2.625</v>
      </c>
      <c r="H263" s="5" t="s">
        <v>157</v>
      </c>
      <c r="I263" s="7" t="n">
        <f aca="false">Narxlar!$C$23/Narxlar!$C$19</f>
        <v>4.20168067226891</v>
      </c>
      <c r="J263" s="53" t="n">
        <f aca="false">G263*I263</f>
        <v>11.0294117647059</v>
      </c>
    </row>
    <row r="264" customFormat="false" ht="15" hidden="false" customHeight="false" outlineLevel="0" collapsed="false">
      <c r="A264" s="5" t="n">
        <v>205</v>
      </c>
      <c r="B264" s="6" t="s">
        <v>82</v>
      </c>
      <c r="C264" s="6" t="s">
        <v>18</v>
      </c>
      <c r="D264" s="6" t="s">
        <v>361</v>
      </c>
      <c r="E264" s="50" t="n">
        <v>3.4</v>
      </c>
      <c r="F264" s="31" t="n">
        <f aca="false">Narxlar!$C$71</f>
        <v>3.5</v>
      </c>
      <c r="G264" s="51" t="n">
        <f aca="false">E264*F264</f>
        <v>11.9</v>
      </c>
      <c r="H264" s="5" t="s">
        <v>157</v>
      </c>
      <c r="I264" s="7" t="n">
        <f aca="false">Narxlar!$C$23/Narxlar!$C$19</f>
        <v>4.20168067226891</v>
      </c>
      <c r="J264" s="53" t="n">
        <f aca="false">G264*I264</f>
        <v>50</v>
      </c>
    </row>
    <row r="265" customFormat="false" ht="15" hidden="false" customHeight="false" outlineLevel="0" collapsed="false">
      <c r="A265" s="5" t="n">
        <v>206</v>
      </c>
      <c r="B265" s="6" t="s">
        <v>82</v>
      </c>
      <c r="C265" s="6" t="s">
        <v>18</v>
      </c>
      <c r="D265" s="6" t="s">
        <v>362</v>
      </c>
      <c r="E265" s="50" t="n">
        <v>4.2</v>
      </c>
      <c r="F265" s="31" t="n">
        <f aca="false">Narxlar!$C$71</f>
        <v>3.5</v>
      </c>
      <c r="G265" s="51" t="n">
        <f aca="false">E265*F265</f>
        <v>14.7</v>
      </c>
      <c r="H265" s="5" t="s">
        <v>157</v>
      </c>
      <c r="I265" s="7" t="n">
        <f aca="false">Narxlar!$C$23/Narxlar!$C$19</f>
        <v>4.20168067226891</v>
      </c>
      <c r="J265" s="53" t="n">
        <f aca="false">G265*I265</f>
        <v>61.764705882353</v>
      </c>
    </row>
    <row r="266" customFormat="false" ht="15" hidden="false" customHeight="false" outlineLevel="0" collapsed="false">
      <c r="A266" s="5" t="n">
        <v>207</v>
      </c>
      <c r="B266" s="6" t="s">
        <v>82</v>
      </c>
      <c r="C266" s="6" t="s">
        <v>18</v>
      </c>
      <c r="D266" s="6" t="s">
        <v>360</v>
      </c>
      <c r="E266" s="50" t="n">
        <v>1.5</v>
      </c>
      <c r="F266" s="31" t="n">
        <f aca="false">Narxlar!$C$71</f>
        <v>3.5</v>
      </c>
      <c r="G266" s="51" t="n">
        <f aca="false">E266*F266</f>
        <v>5.25</v>
      </c>
      <c r="H266" s="5" t="s">
        <v>157</v>
      </c>
      <c r="I266" s="7" t="n">
        <f aca="false">Narxlar!$C$23/Narxlar!$C$19</f>
        <v>4.20168067226891</v>
      </c>
      <c r="J266" s="53" t="n">
        <f aca="false">G266*I266</f>
        <v>22.0588235294118</v>
      </c>
    </row>
    <row r="267" customFormat="false" ht="15" hidden="false" customHeight="false" outlineLevel="0" collapsed="false">
      <c r="A267" s="5" t="n">
        <v>208</v>
      </c>
      <c r="B267" s="6" t="s">
        <v>82</v>
      </c>
      <c r="C267" s="6" t="s">
        <v>18</v>
      </c>
      <c r="D267" s="6" t="s">
        <v>363</v>
      </c>
      <c r="E267" s="50" t="n">
        <v>0.2</v>
      </c>
      <c r="F267" s="31" t="n">
        <f aca="false">Narxlar!$C$71</f>
        <v>3.5</v>
      </c>
      <c r="G267" s="51" t="n">
        <f aca="false">E267*F267</f>
        <v>0.7</v>
      </c>
      <c r="H267" s="5" t="s">
        <v>157</v>
      </c>
      <c r="I267" s="7" t="n">
        <f aca="false">Narxlar!$C$23/Narxlar!$C$19</f>
        <v>4.20168067226891</v>
      </c>
      <c r="J267" s="53" t="n">
        <f aca="false">G267*I267</f>
        <v>2.94117647058824</v>
      </c>
    </row>
    <row r="268" customFormat="false" ht="15" hidden="false" customHeight="false" outlineLevel="0" collapsed="false">
      <c r="A268" s="5" t="n">
        <v>209</v>
      </c>
      <c r="B268" s="6" t="s">
        <v>82</v>
      </c>
      <c r="C268" s="6" t="s">
        <v>18</v>
      </c>
      <c r="D268" s="6" t="s">
        <v>360</v>
      </c>
      <c r="E268" s="50" t="n">
        <v>1.5</v>
      </c>
      <c r="F268" s="31" t="n">
        <f aca="false">Narxlar!$C$71</f>
        <v>3.5</v>
      </c>
      <c r="G268" s="51" t="n">
        <f aca="false">E268*F268</f>
        <v>5.25</v>
      </c>
      <c r="H268" s="5" t="s">
        <v>157</v>
      </c>
      <c r="I268" s="7" t="n">
        <f aca="false">Narxlar!$C$23/Narxlar!$C$19</f>
        <v>4.20168067226891</v>
      </c>
      <c r="J268" s="53" t="n">
        <f aca="false">G268*I268</f>
        <v>22.0588235294118</v>
      </c>
    </row>
    <row r="269" customFormat="false" ht="15" hidden="false" customHeight="false" outlineLevel="0" collapsed="false">
      <c r="A269" s="5" t="n">
        <v>210</v>
      </c>
      <c r="B269" s="6" t="s">
        <v>82</v>
      </c>
      <c r="C269" s="6" t="s">
        <v>18</v>
      </c>
      <c r="D269" s="6" t="s">
        <v>364</v>
      </c>
      <c r="E269" s="50"/>
      <c r="F269" s="51"/>
      <c r="G269" s="52" t="n">
        <v>1</v>
      </c>
      <c r="H269" s="5" t="s">
        <v>245</v>
      </c>
      <c r="I269" s="7" t="n">
        <f aca="false">Narxlar!$C$24/Narxlar!$C$19</f>
        <v>100.840336134454</v>
      </c>
      <c r="J269" s="53" t="n">
        <f aca="false">G269*I269</f>
        <v>100.840336134454</v>
      </c>
    </row>
    <row r="270" customFormat="false" ht="15" hidden="false" customHeight="false" outlineLevel="0" collapsed="false">
      <c r="A270" s="5" t="n">
        <v>211</v>
      </c>
      <c r="B270" s="6" t="s">
        <v>82</v>
      </c>
      <c r="C270" s="6" t="s">
        <v>21</v>
      </c>
      <c r="D270" s="6" t="s">
        <v>365</v>
      </c>
      <c r="E270" s="50"/>
      <c r="F270" s="51"/>
      <c r="G270" s="52" t="n">
        <v>1</v>
      </c>
      <c r="H270" s="5" t="s">
        <v>245</v>
      </c>
      <c r="I270" s="7" t="n">
        <f aca="false">Narxlar!$C$52</f>
        <v>7000</v>
      </c>
      <c r="J270" s="53" t="n">
        <f aca="false">G270*I270</f>
        <v>7000</v>
      </c>
    </row>
    <row r="271" customFormat="false" ht="15" hidden="false" customHeight="false" outlineLevel="0" collapsed="false">
      <c r="A271" s="5" t="n">
        <v>212</v>
      </c>
      <c r="B271" s="6" t="s">
        <v>82</v>
      </c>
      <c r="C271" s="6" t="s">
        <v>21</v>
      </c>
      <c r="D271" s="6" t="s">
        <v>366</v>
      </c>
      <c r="E271" s="50"/>
      <c r="F271" s="51"/>
      <c r="G271" s="52" t="n">
        <v>1</v>
      </c>
      <c r="H271" s="5" t="s">
        <v>245</v>
      </c>
      <c r="I271" s="7" t="n">
        <f aca="false">Narxlar!$C$53</f>
        <v>7000</v>
      </c>
      <c r="J271" s="53" t="n">
        <f aca="false">G271*I271</f>
        <v>7000</v>
      </c>
    </row>
    <row r="272" customFormat="false" ht="15" hidden="false" customHeight="false" outlineLevel="0" collapsed="false">
      <c r="A272" s="54"/>
      <c r="B272" s="54"/>
      <c r="C272" s="54"/>
      <c r="D272" s="11" t="s">
        <v>367</v>
      </c>
      <c r="E272" s="54"/>
      <c r="F272" s="54"/>
      <c r="G272" s="54"/>
      <c r="H272" s="54"/>
      <c r="I272" s="54"/>
      <c r="J272" s="12" t="n">
        <f aca="false">SUM(J253:J271)</f>
        <v>21120.9957983193</v>
      </c>
    </row>
    <row r="274" customFormat="false" ht="15" hidden="false" customHeight="false" outlineLevel="0" collapsed="false">
      <c r="A274" s="29" t="s">
        <v>84</v>
      </c>
      <c r="B274" s="30"/>
      <c r="C274" s="30"/>
      <c r="D274" s="30"/>
      <c r="E274" s="30"/>
      <c r="F274" s="30"/>
      <c r="G274" s="30"/>
      <c r="H274" s="30"/>
      <c r="I274" s="30"/>
      <c r="J274" s="30"/>
    </row>
    <row r="275" customFormat="false" ht="15" hidden="false" customHeight="false" outlineLevel="0" collapsed="false">
      <c r="A275" s="5" t="n">
        <v>213</v>
      </c>
      <c r="B275" s="6" t="s">
        <v>84</v>
      </c>
      <c r="C275" s="6" t="s">
        <v>10</v>
      </c>
      <c r="D275" s="6" t="s">
        <v>368</v>
      </c>
      <c r="E275" s="50" t="n">
        <v>5.45</v>
      </c>
      <c r="F275" s="31" t="n">
        <f aca="false">Narxlar!$C$78</f>
        <v>2.5</v>
      </c>
      <c r="G275" s="51" t="n">
        <f aca="false">E275*F275</f>
        <v>13.625</v>
      </c>
      <c r="H275" s="5" t="s">
        <v>157</v>
      </c>
      <c r="I275" s="7" t="n">
        <f aca="false">Narxlar!$C$7</f>
        <v>15.5</v>
      </c>
      <c r="J275" s="53" t="n">
        <f aca="false">G275*I275</f>
        <v>211.1875</v>
      </c>
    </row>
    <row r="276" customFormat="false" ht="15" hidden="false" customHeight="false" outlineLevel="0" collapsed="false">
      <c r="A276" s="5" t="n">
        <v>214</v>
      </c>
      <c r="B276" s="6" t="s">
        <v>84</v>
      </c>
      <c r="C276" s="6" t="s">
        <v>10</v>
      </c>
      <c r="D276" s="6" t="s">
        <v>369</v>
      </c>
      <c r="E276" s="50" t="n">
        <v>5.45</v>
      </c>
      <c r="F276" s="31" t="n">
        <f aca="false">Narxlar!$C$78</f>
        <v>2.5</v>
      </c>
      <c r="G276" s="51" t="n">
        <f aca="false">E276*F276</f>
        <v>13.625</v>
      </c>
      <c r="H276" s="5" t="s">
        <v>157</v>
      </c>
      <c r="I276" s="7" t="n">
        <f aca="false">Narxlar!$C$7</f>
        <v>15.5</v>
      </c>
      <c r="J276" s="53" t="n">
        <f aca="false">G276*I276</f>
        <v>211.1875</v>
      </c>
    </row>
    <row r="277" customFormat="false" ht="15" hidden="false" customHeight="false" outlineLevel="0" collapsed="false">
      <c r="A277" s="5" t="n">
        <v>215</v>
      </c>
      <c r="B277" s="6" t="s">
        <v>84</v>
      </c>
      <c r="C277" s="6" t="s">
        <v>10</v>
      </c>
      <c r="D277" s="6" t="s">
        <v>370</v>
      </c>
      <c r="E277" s="50" t="n">
        <v>8.6</v>
      </c>
      <c r="F277" s="31" t="n">
        <f aca="false">Narxlar!$C$78</f>
        <v>2.5</v>
      </c>
      <c r="G277" s="51" t="n">
        <f aca="false">E277*F277</f>
        <v>21.5</v>
      </c>
      <c r="H277" s="5" t="s">
        <v>157</v>
      </c>
      <c r="I277" s="7" t="n">
        <f aca="false">Narxlar!$C$7</f>
        <v>15.5</v>
      </c>
      <c r="J277" s="53" t="n">
        <f aca="false">G277*I277</f>
        <v>333.25</v>
      </c>
    </row>
    <row r="278" customFormat="false" ht="15" hidden="false" customHeight="false" outlineLevel="0" collapsed="false">
      <c r="A278" s="5" t="n">
        <v>216</v>
      </c>
      <c r="B278" s="6" t="s">
        <v>84</v>
      </c>
      <c r="C278" s="6" t="s">
        <v>10</v>
      </c>
      <c r="D278" s="6" t="s">
        <v>310</v>
      </c>
      <c r="E278" s="31" t="n">
        <f aca="false">Narxlar!$C$76</f>
        <v>0.9</v>
      </c>
      <c r="F278" s="31" t="n">
        <f aca="false">Narxlar!$C$74</f>
        <v>2.1</v>
      </c>
      <c r="G278" s="51" t="n">
        <f aca="false">-E278*F278</f>
        <v>-1.89</v>
      </c>
      <c r="H278" s="5" t="s">
        <v>157</v>
      </c>
      <c r="I278" s="7" t="n">
        <f aca="false">Narxlar!$C$7</f>
        <v>15.5</v>
      </c>
      <c r="J278" s="53" t="n">
        <f aca="false">G278*I278</f>
        <v>-29.295</v>
      </c>
    </row>
    <row r="279" customFormat="false" ht="15" hidden="false" customHeight="false" outlineLevel="0" collapsed="false">
      <c r="A279" s="5" t="n">
        <v>217</v>
      </c>
      <c r="B279" s="6" t="s">
        <v>84</v>
      </c>
      <c r="C279" s="6" t="s">
        <v>11</v>
      </c>
      <c r="D279" s="6" t="s">
        <v>371</v>
      </c>
      <c r="E279" s="50"/>
      <c r="F279" s="51"/>
      <c r="G279" s="52" t="n">
        <v>1</v>
      </c>
      <c r="H279" s="5" t="s">
        <v>113</v>
      </c>
      <c r="I279" s="7" t="n">
        <f aca="false">Narxlar!$C$8</f>
        <v>1032</v>
      </c>
      <c r="J279" s="53" t="n">
        <f aca="false">G279*I279</f>
        <v>1032</v>
      </c>
    </row>
    <row r="280" customFormat="false" ht="15" hidden="false" customHeight="false" outlineLevel="0" collapsed="false">
      <c r="A280" s="5" t="n">
        <v>218</v>
      </c>
      <c r="B280" s="6" t="s">
        <v>84</v>
      </c>
      <c r="C280" s="6" t="s">
        <v>21</v>
      </c>
      <c r="D280" s="6" t="s">
        <v>372</v>
      </c>
      <c r="E280" s="50"/>
      <c r="F280" s="51"/>
      <c r="G280" s="52" t="n">
        <v>1</v>
      </c>
      <c r="H280" s="5" t="s">
        <v>113</v>
      </c>
      <c r="I280" s="7" t="n">
        <f aca="false">Narxlar!$C$54</f>
        <v>1000</v>
      </c>
      <c r="J280" s="53" t="n">
        <f aca="false">G280*I280</f>
        <v>1000</v>
      </c>
    </row>
    <row r="281" customFormat="false" ht="15" hidden="false" customHeight="false" outlineLevel="0" collapsed="false">
      <c r="A281" s="54"/>
      <c r="B281" s="54"/>
      <c r="C281" s="54"/>
      <c r="D281" s="11" t="s">
        <v>373</v>
      </c>
      <c r="E281" s="54"/>
      <c r="F281" s="54"/>
      <c r="G281" s="54"/>
      <c r="H281" s="54"/>
      <c r="I281" s="54"/>
      <c r="J281" s="12" t="n">
        <f aca="false">SUM(J275:J280)</f>
        <v>2758.33</v>
      </c>
    </row>
    <row r="283" customFormat="false" ht="15" hidden="false" customHeight="false" outlineLevel="0" collapsed="false">
      <c r="A283" s="29" t="s">
        <v>85</v>
      </c>
      <c r="B283" s="30"/>
      <c r="C283" s="30"/>
      <c r="D283" s="30"/>
      <c r="E283" s="30"/>
      <c r="F283" s="30"/>
      <c r="G283" s="30"/>
      <c r="H283" s="30"/>
      <c r="I283" s="30"/>
      <c r="J283" s="30"/>
    </row>
    <row r="284" customFormat="false" ht="15" hidden="false" customHeight="false" outlineLevel="0" collapsed="false">
      <c r="A284" s="5" t="n">
        <v>219</v>
      </c>
      <c r="B284" s="6" t="s">
        <v>85</v>
      </c>
      <c r="C284" s="6" t="s">
        <v>19</v>
      </c>
      <c r="D284" s="6" t="s">
        <v>374</v>
      </c>
      <c r="E284" s="50"/>
      <c r="F284" s="51"/>
      <c r="G284" s="33" t="n">
        <f aca="false">Narxlar!$C$26</f>
        <v>4</v>
      </c>
      <c r="H284" s="5" t="s">
        <v>113</v>
      </c>
      <c r="I284" s="7" t="n">
        <f aca="false">Narxlar!$C$25/Narxlar!$C$19</f>
        <v>58.8235294117647</v>
      </c>
      <c r="J284" s="53" t="n">
        <f aca="false">G284*I284</f>
        <v>235.294117647059</v>
      </c>
    </row>
    <row r="285" customFormat="false" ht="15" hidden="false" customHeight="false" outlineLevel="0" collapsed="false">
      <c r="A285" s="5" t="n">
        <v>220</v>
      </c>
      <c r="B285" s="6" t="s">
        <v>85</v>
      </c>
      <c r="C285" s="6" t="s">
        <v>19</v>
      </c>
      <c r="D285" s="6" t="s">
        <v>375</v>
      </c>
      <c r="E285" s="50"/>
      <c r="F285" s="51"/>
      <c r="G285" s="33" t="n">
        <f aca="false">Narxlar!$C$28</f>
        <v>3</v>
      </c>
      <c r="H285" s="5" t="s">
        <v>113</v>
      </c>
      <c r="I285" s="7" t="n">
        <f aca="false">Narxlar!$C$27/Narxlar!$C$19</f>
        <v>100.840336134454</v>
      </c>
      <c r="J285" s="53" t="n">
        <f aca="false">G285*I285</f>
        <v>302.521008403361</v>
      </c>
    </row>
    <row r="286" customFormat="false" ht="15" hidden="false" customHeight="false" outlineLevel="0" collapsed="false">
      <c r="A286" s="5" t="n">
        <v>221</v>
      </c>
      <c r="B286" s="6" t="s">
        <v>85</v>
      </c>
      <c r="C286" s="6" t="s">
        <v>19</v>
      </c>
      <c r="D286" s="6" t="s">
        <v>376</v>
      </c>
      <c r="E286" s="50"/>
      <c r="F286" s="51"/>
      <c r="G286" s="33" t="n">
        <f aca="false">Narxlar!$C$30</f>
        <v>4</v>
      </c>
      <c r="H286" s="5" t="s">
        <v>113</v>
      </c>
      <c r="I286" s="7" t="n">
        <f aca="false">Narxlar!$C$29/Narxlar!$C$19</f>
        <v>54.6218487394958</v>
      </c>
      <c r="J286" s="53" t="n">
        <f aca="false">G286*I286</f>
        <v>218.487394957983</v>
      </c>
    </row>
    <row r="287" customFormat="false" ht="15" hidden="false" customHeight="false" outlineLevel="0" collapsed="false">
      <c r="A287" s="5" t="n">
        <v>222</v>
      </c>
      <c r="B287" s="6" t="s">
        <v>85</v>
      </c>
      <c r="C287" s="6" t="s">
        <v>19</v>
      </c>
      <c r="D287" s="6" t="s">
        <v>377</v>
      </c>
      <c r="E287" s="50"/>
      <c r="F287" s="51"/>
      <c r="G287" s="33" t="n">
        <f aca="false">Narxlar!$C$32</f>
        <v>7</v>
      </c>
      <c r="H287" s="5" t="s">
        <v>113</v>
      </c>
      <c r="I287" s="7" t="n">
        <f aca="false">Narxlar!$C$31/Narxlar!$C$19</f>
        <v>16.8067226890756</v>
      </c>
      <c r="J287" s="53" t="n">
        <f aca="false">G287*I287</f>
        <v>117.647058823529</v>
      </c>
    </row>
    <row r="288" customFormat="false" ht="15" hidden="false" customHeight="false" outlineLevel="0" collapsed="false">
      <c r="A288" s="5" t="n">
        <v>223</v>
      </c>
      <c r="B288" s="6" t="s">
        <v>85</v>
      </c>
      <c r="C288" s="6" t="s">
        <v>19</v>
      </c>
      <c r="D288" s="6" t="s">
        <v>378</v>
      </c>
      <c r="E288" s="50"/>
      <c r="F288" s="51"/>
      <c r="G288" s="33" t="n">
        <f aca="false">Narxlar!$C$34</f>
        <v>4</v>
      </c>
      <c r="H288" s="5" t="s">
        <v>113</v>
      </c>
      <c r="I288" s="7" t="n">
        <f aca="false">Narxlar!$C$33/Narxlar!$C$19</f>
        <v>33.6134453781513</v>
      </c>
      <c r="J288" s="53" t="n">
        <f aca="false">G288*I288</f>
        <v>134.453781512605</v>
      </c>
    </row>
    <row r="289" customFormat="false" ht="15" hidden="false" customHeight="false" outlineLevel="0" collapsed="false">
      <c r="A289" s="5" t="n">
        <v>224</v>
      </c>
      <c r="B289" s="6" t="s">
        <v>85</v>
      </c>
      <c r="C289" s="6" t="s">
        <v>19</v>
      </c>
      <c r="D289" s="6" t="s">
        <v>379</v>
      </c>
      <c r="E289" s="50"/>
      <c r="F289" s="51"/>
      <c r="G289" s="33" t="n">
        <f aca="false">Narxlar!$C$36</f>
        <v>4</v>
      </c>
      <c r="H289" s="5" t="s">
        <v>113</v>
      </c>
      <c r="I289" s="7" t="n">
        <f aca="false">Narxlar!$C$35/Narxlar!$C$19</f>
        <v>33.6134453781513</v>
      </c>
      <c r="J289" s="53" t="n">
        <f aca="false">G289*I289</f>
        <v>134.453781512605</v>
      </c>
    </row>
    <row r="290" customFormat="false" ht="15" hidden="false" customHeight="false" outlineLevel="0" collapsed="false">
      <c r="A290" s="5" t="n">
        <v>225</v>
      </c>
      <c r="B290" s="6" t="s">
        <v>85</v>
      </c>
      <c r="C290" s="6" t="s">
        <v>19</v>
      </c>
      <c r="D290" s="6" t="s">
        <v>380</v>
      </c>
      <c r="E290" s="50"/>
      <c r="F290" s="51"/>
      <c r="G290" s="33" t="n">
        <f aca="false">Narxlar!$C$38</f>
        <v>16</v>
      </c>
      <c r="H290" s="5" t="s">
        <v>153</v>
      </c>
      <c r="I290" s="7" t="n">
        <f aca="false">Narxlar!$C$37/Narxlar!$C$19</f>
        <v>84.0336134453782</v>
      </c>
      <c r="J290" s="53" t="n">
        <f aca="false">G290*I290</f>
        <v>1344.53781512605</v>
      </c>
    </row>
    <row r="291" customFormat="false" ht="15" hidden="false" customHeight="false" outlineLevel="0" collapsed="false">
      <c r="A291" s="5" t="n">
        <v>226</v>
      </c>
      <c r="B291" s="6" t="s">
        <v>85</v>
      </c>
      <c r="C291" s="6" t="s">
        <v>19</v>
      </c>
      <c r="D291" s="6" t="s">
        <v>381</v>
      </c>
      <c r="E291" s="50"/>
      <c r="F291" s="51"/>
      <c r="G291" s="33" t="n">
        <f aca="false">Narxlar!$C$44</f>
        <v>4</v>
      </c>
      <c r="H291" s="5" t="s">
        <v>113</v>
      </c>
      <c r="I291" s="7" t="n">
        <f aca="false">Narxlar!$C$43/Narxlar!$C$19</f>
        <v>100.840336134454</v>
      </c>
      <c r="J291" s="53" t="n">
        <f aca="false">G291*I291</f>
        <v>403.361344537815</v>
      </c>
    </row>
    <row r="292" customFormat="false" ht="15" hidden="false" customHeight="false" outlineLevel="0" collapsed="false">
      <c r="A292" s="5" t="n">
        <v>227</v>
      </c>
      <c r="B292" s="6" t="s">
        <v>85</v>
      </c>
      <c r="C292" s="6" t="s">
        <v>19</v>
      </c>
      <c r="D292" s="6" t="s">
        <v>162</v>
      </c>
      <c r="E292" s="50"/>
      <c r="F292" s="51"/>
      <c r="G292" s="31" t="n">
        <f aca="false">Narxlar!$C$46</f>
        <v>40</v>
      </c>
      <c r="H292" s="5" t="s">
        <v>104</v>
      </c>
      <c r="I292" s="7" t="n">
        <f aca="false">Narxlar!$C$45/Narxlar!$C$19</f>
        <v>2.10084033613445</v>
      </c>
      <c r="J292" s="53" t="n">
        <f aca="false">G292*I292</f>
        <v>84.0336134453782</v>
      </c>
    </row>
    <row r="293" customFormat="false" ht="15" hidden="false" customHeight="false" outlineLevel="0" collapsed="false">
      <c r="A293" s="5" t="n">
        <v>228</v>
      </c>
      <c r="B293" s="6" t="s">
        <v>85</v>
      </c>
      <c r="C293" s="6" t="s">
        <v>19</v>
      </c>
      <c r="D293" s="6" t="s">
        <v>165</v>
      </c>
      <c r="E293" s="50"/>
      <c r="F293" s="51"/>
      <c r="G293" s="31" t="n">
        <f aca="false">Narxlar!$C$48</f>
        <v>40</v>
      </c>
      <c r="H293" s="5" t="s">
        <v>104</v>
      </c>
      <c r="I293" s="7" t="n">
        <f aca="false">Narxlar!$C$47/Narxlar!$C$19</f>
        <v>1.00840336134454</v>
      </c>
      <c r="J293" s="53" t="n">
        <f aca="false">G293*I293</f>
        <v>40.3361344537815</v>
      </c>
    </row>
    <row r="294" customFormat="false" ht="15" hidden="false" customHeight="false" outlineLevel="0" collapsed="false">
      <c r="A294" s="5" t="n">
        <v>229</v>
      </c>
      <c r="B294" s="6" t="s">
        <v>85</v>
      </c>
      <c r="C294" s="6" t="s">
        <v>19</v>
      </c>
      <c r="D294" s="6" t="s">
        <v>168</v>
      </c>
      <c r="E294" s="50"/>
      <c r="F294" s="51"/>
      <c r="G294" s="33" t="n">
        <f aca="false">Narxlar!$C$50</f>
        <v>100</v>
      </c>
      <c r="H294" s="5" t="s">
        <v>113</v>
      </c>
      <c r="I294" s="7" t="n">
        <f aca="false">Narxlar!$C$49/Narxlar!$C$19</f>
        <v>0.420168067226891</v>
      </c>
      <c r="J294" s="53" t="n">
        <f aca="false">G294*I294</f>
        <v>42.0168067226891</v>
      </c>
    </row>
    <row r="295" customFormat="false" ht="15" hidden="false" customHeight="false" outlineLevel="0" collapsed="false">
      <c r="A295" s="5" t="n">
        <v>230</v>
      </c>
      <c r="B295" s="6" t="s">
        <v>85</v>
      </c>
      <c r="C295" s="6" t="s">
        <v>19</v>
      </c>
      <c r="D295" s="6" t="s">
        <v>382</v>
      </c>
      <c r="E295" s="50"/>
      <c r="F295" s="51"/>
      <c r="G295" s="52" t="n">
        <v>1</v>
      </c>
      <c r="H295" s="5" t="s">
        <v>245</v>
      </c>
      <c r="I295" s="7" t="n">
        <f aca="false">Narxlar!$C$51/Narxlar!$C$19</f>
        <v>336.134453781513</v>
      </c>
      <c r="J295" s="53" t="n">
        <f aca="false">G295*I295</f>
        <v>336.134453781513</v>
      </c>
    </row>
    <row r="296" customFormat="false" ht="15" hidden="false" customHeight="false" outlineLevel="0" collapsed="false">
      <c r="A296" s="5" t="n">
        <v>231</v>
      </c>
      <c r="B296" s="6" t="s">
        <v>85</v>
      </c>
      <c r="C296" s="6" t="s">
        <v>20</v>
      </c>
      <c r="D296" s="6" t="s">
        <v>383</v>
      </c>
      <c r="E296" s="50"/>
      <c r="F296" s="51"/>
      <c r="G296" s="31" t="n">
        <f aca="false">Narxlar!$C$41</f>
        <v>58</v>
      </c>
      <c r="H296" s="5" t="s">
        <v>157</v>
      </c>
      <c r="I296" s="7" t="n">
        <f aca="false">Narxlar!$C$39/Narxlar!$C$19</f>
        <v>8.40336134453782</v>
      </c>
      <c r="J296" s="53" t="n">
        <f aca="false">G296*I296</f>
        <v>487.394957983193</v>
      </c>
    </row>
    <row r="297" customFormat="false" ht="15" hidden="false" customHeight="false" outlineLevel="0" collapsed="false">
      <c r="A297" s="5" t="n">
        <v>232</v>
      </c>
      <c r="B297" s="6" t="s">
        <v>85</v>
      </c>
      <c r="C297" s="6" t="s">
        <v>20</v>
      </c>
      <c r="D297" s="6" t="s">
        <v>384</v>
      </c>
      <c r="E297" s="50"/>
      <c r="F297" s="51"/>
      <c r="G297" s="31" t="n">
        <f aca="false">Narxlar!$C$41</f>
        <v>58</v>
      </c>
      <c r="H297" s="5" t="s">
        <v>157</v>
      </c>
      <c r="I297" s="7" t="n">
        <f aca="false">Narxlar!$C$40/Narxlar!$C$19</f>
        <v>8.40336134453782</v>
      </c>
      <c r="J297" s="53" t="n">
        <f aca="false">G297*I297</f>
        <v>487.394957983193</v>
      </c>
    </row>
    <row r="298" customFormat="false" ht="15" hidden="false" customHeight="false" outlineLevel="0" collapsed="false">
      <c r="A298" s="5" t="n">
        <v>233</v>
      </c>
      <c r="B298" s="6" t="s">
        <v>85</v>
      </c>
      <c r="C298" s="6" t="s">
        <v>20</v>
      </c>
      <c r="D298" s="6" t="s">
        <v>385</v>
      </c>
      <c r="E298" s="50"/>
      <c r="F298" s="51"/>
      <c r="G298" s="31" t="n">
        <f aca="false">Narxlar!$C$42</f>
        <v>16</v>
      </c>
      <c r="H298" s="5" t="s">
        <v>157</v>
      </c>
      <c r="I298" s="7" t="n">
        <f aca="false">Narxlar!$C$39/Narxlar!$C$19</f>
        <v>8.40336134453782</v>
      </c>
      <c r="J298" s="53" t="n">
        <f aca="false">G298*I298</f>
        <v>134.453781512605</v>
      </c>
    </row>
    <row r="299" customFormat="false" ht="15" hidden="false" customHeight="false" outlineLevel="0" collapsed="false">
      <c r="A299" s="5" t="n">
        <v>234</v>
      </c>
      <c r="B299" s="6" t="s">
        <v>85</v>
      </c>
      <c r="C299" s="6" t="s">
        <v>20</v>
      </c>
      <c r="D299" s="6" t="s">
        <v>386</v>
      </c>
      <c r="E299" s="50"/>
      <c r="F299" s="51"/>
      <c r="G299" s="31" t="n">
        <f aca="false">Narxlar!$C$42</f>
        <v>16</v>
      </c>
      <c r="H299" s="5" t="s">
        <v>157</v>
      </c>
      <c r="I299" s="7" t="n">
        <f aca="false">Narxlar!$C$40/Narxlar!$C$19</f>
        <v>8.40336134453782</v>
      </c>
      <c r="J299" s="53" t="n">
        <f aca="false">G299*I299</f>
        <v>134.453781512605</v>
      </c>
    </row>
    <row r="300" customFormat="false" ht="15" hidden="false" customHeight="false" outlineLevel="0" collapsed="false">
      <c r="A300" s="54"/>
      <c r="B300" s="54"/>
      <c r="C300" s="54"/>
      <c r="D300" s="11" t="s">
        <v>387</v>
      </c>
      <c r="E300" s="54"/>
      <c r="F300" s="54"/>
      <c r="G300" s="54"/>
      <c r="H300" s="54"/>
      <c r="I300" s="54"/>
      <c r="J300" s="12" t="n">
        <f aca="false">SUM(J284:J299)</f>
        <v>4636.97478991597</v>
      </c>
    </row>
    <row r="302" customFormat="false" ht="15" hidden="false" customHeight="false" outlineLevel="0" collapsed="false">
      <c r="A302" s="54"/>
      <c r="B302" s="54"/>
      <c r="C302" s="54"/>
      <c r="D302" s="11" t="s">
        <v>388</v>
      </c>
      <c r="E302" s="54"/>
      <c r="F302" s="54"/>
      <c r="G302" s="54"/>
      <c r="H302" s="54"/>
      <c r="I302" s="54"/>
      <c r="J302" s="12" t="n">
        <f aca="false">J13+J26+J38+J49+J67+J79+J93+J108+J129+J149+J164+J179+J186+J210+J235+J242+J246+J250+J272+J281+J300</f>
        <v>67576.1805882353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2026-10-08T08:56:54Z</dcterms:created>
  <dc:creator>openpyxl</dc:creator>
  <dc:description/>
  <dc:language>en-US</dc:language>
  <cp:lastModifiedBy/>
  <dcterms:modified xsi:type="dcterms:W3CDTF">2026-10-08T08:56:55Z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
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<sst xmlns="http://schemas.openxmlformats.org/spreadsheetml/2006/main" count="2005" uniqueCount="549">
  <si>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</si>
  <si>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</si>
  <si>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</si>
  <si>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</si>
  <si>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</si>
  <si>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</si>
  <si>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</si>
  <si>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</si>
  <si>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</si>
  <si>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</si>
  <si>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</si>
  <si>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</si>
  <si>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</si>
  <si>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</si>
  <si>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</si>
  <si>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</si>
  <si>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</si>
  <si>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</si>
  <si>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</si>
  <si>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</si>
  <si>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</si>
  <si>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</si>
  <si>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</si>
  <si>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</si>
  <si>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</si>
  <si>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</si>
  <si>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koridor oxiri dekori,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</si>
  <si>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</si>
  <si>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</si>
  <si>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</si>
  <si>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</si>
  <si>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</si>
  <si>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</si>
  <si>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</si>
  <si>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</si>
  <si>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</si>
  <si>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</si>
  <si>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</si>
  <si>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</si>
  <si>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</si>
  <si>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</si>
  <si>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</si>
  <si>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</si>
  <si>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</si>
  <si>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</si>
  <si>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</si>
  <si>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</si>
  <si>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</si>
  <si>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</si>
  <si>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</si>
  <si>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</si>
  <si>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</si>
  <si>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</si>
  <si>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</si>
  <si>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</si>
  <si>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rekuperatorlar,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</si>
  <si>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</si>
  <si>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</si>
  <si>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</si>
  <si>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</si>
  <si>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split liniyalari, kamera va yong'in signalizatsiyasi kabellari); santexnika quvurlari va nuqtalari; rekuperatorlar, havo kanallari, freon trassalari va drenaj — shift yopilishidan oldin; tomdagi tayanch ramalar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</si>
  <si>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</si>
  <si>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</si>
  <si>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(avans); splitlar xaridi</t>
  </si>
  <si>
    <t xml:space="preserve">F4</t>
  </si>
  <si>
    <t xml:space="preserve">O'rnatish ishlari</t>
  </si>
  <si>
    <t xml:space="preserve">Shisha devor va eshiklar, perila, yoritish, split ichki va tomdagi tashqi bloklari,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</si>
  <si>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</si>
  <si>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</si>
  <si>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</si>
  <si>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</si>
  <si>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</si>
  <si>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</si>
  <si>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</si>
  <si>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</si>
  <si>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</si>
  <si>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</si>
  <si>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</si>
  <si>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</si>
  <si>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</si>
  <si>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</si>
  <si>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</si>
  <si>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</si>
  <si>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</si>
  <si>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</si>
  <si>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</si>
  <si>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</si>
  <si>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</si>
  <si>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</si>
  <si>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</si>
  <si>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</si>
  <si>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</si>
  <si>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</si>
  <si>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</si>
  <si>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</si>
  <si>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</si>
  <si>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</si>
  <si>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</si>
  <si>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</si>
  <si>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rekuperator</t>
  </si>
  <si>
    <t xml:space="preserve">Rekuperator Welkin, 3 000 m³/soat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</si>
  <si>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</si>
  <si>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</si>
  <si>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</si>
  <si>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</si>
  <si>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</si>
  <si>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</si>
  <si>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</si>
  <si>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</si>
  <si>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</si>
  <si>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</si>
  <si>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</si>
  <si>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</si>
  <si>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</si>
  <si>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</si>
  <si>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</si>
  <si>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</si>
  <si>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</si>
  <si>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</si>
  <si>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</si>
  <si>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</si>
  <si>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</si>
  <si>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</si>
  <si>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</si>
  <si>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</si>
  <si>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</si>
  <si>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</si>
  <si>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</si>
  <si>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</si>
  <si>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</si>
  <si>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</si>
  <si>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</si>
  <si>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</si>
  <si>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</si>
  <si>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</si>
  <si>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</si>
  <si>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</si>
  <si>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</si>
  <si>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</si>
  <si>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</si>
  <si>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</si>
  <si>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</si>
  <si>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</si>
  <si>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</si>
  <si>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</si>
  <si>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</si>
  <si>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</si>
  <si>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</si>
  <si>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</si>
  <si>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</si>
  <si>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</si>
  <si>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split24</t>
  </si>
  <si>
    <t xml:space="preserve">Split konditsioner 24 000 BTU</t>
  </si>
  <si>
    <t xml:space="preserve">split12</t>
  </si>
  <si>
    <t xml:space="preserve">Split konditsioner 12 000 BTU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</si>
  <si>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</si>
  <si>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</si>
  <si>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</si>
  <si>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</si>
  <si>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</si>
  <si>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</si>
  <si>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</si>
  <si>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</si>
  <si>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</si>
  <si>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</si>
  <si>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</si>
  <si>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</si>
  <si>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</si>
  <si>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</si>
  <si>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</si>
  <si>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</si>
  <si>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</si>
  <si>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</si>
  <si>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</si>
  <si>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</si>
  <si>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</si>
  <si>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</si>
  <si>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</si>
  <si>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</si>
  <si>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</si>
  <si>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</si>
  <si>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</si>
  <si>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</si>
  <si>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</si>
  <si>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</si>
  <si>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</si>
  <si>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</si>
  <si>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</si>
  <si>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</si>
  <si>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</si>
  <si>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</si>
  <si>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</si>
  <si>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</si>
  <si>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</si>
  <si>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</si>
  <si>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</si>
  <si>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</si>
  <si>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</si>
  <si>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</si>
  <si>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</si>
  <si>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</si>
  <si>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</si>
  <si>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</si>
  <si>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</si>
  <si>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</si>
  <si>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</si>
  <si>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</si>
  <si>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</si>
  <si>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</si>
  <si>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</si>
  <si>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</si>
  <si>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</si>
  <si>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</si>
  <si>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</si>
  <si>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</si>
  <si>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rekuperatorlarga 50% — qoldig'i yetkazib berilganda (F2).</t>
  </si>
  <si>
    <t xml:space="preserve">• Shisha devorlar: o'lchov GKL karkasdan keyin (F3) — avans 50%, qoldig'i o'rnatishda (F4). Splitlar F3 da xarid qilinadi, F4 da o'rnatiladi; freon trassalari F2 da (shiftdan oldin).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</si>
  <si>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</si>
  <si>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</si>
  <si>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</si>
  <si>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</si>
  <si>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</si>
  <si>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</si>
  <si>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</si>
  <si>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</si>
  <si>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</si>
  <si>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</si>
  <si>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</si>
  <si>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</si>
  <si>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</si>
  <si>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</si>
  <si>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</si>
  <si>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</si>
  <si>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</si>
  <si>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</si>
  <si>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</si>
  <si>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</si>
  <si>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</si>
  <si>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</si>
  <si>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</si>
  <si>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</si>
  <si>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</si>
  <si>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</si>
  <si>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</si>
  <si>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</si>
  <si>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</si>
  <si>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</si>
  <si>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</si>
  <si>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</si>
  <si>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</si>
  <si>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</si>
  <si>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</si>
  <si>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</si>
  <si>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</si>
  <si>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</si>
  <si>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</si>
  <si>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</si>
  <si>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</si>
  <si>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</si>
  <si>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</si>
  <si>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</si>
  <si>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</si>
  <si>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</si>
  <si>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</si>
  <si>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</si>
  <si>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</si>
  <si>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</si>
  <si>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</si>
  <si>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</si>
  <si>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</si>
  <si>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</si>
  <si>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</si>
  <si>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</si>
  <si>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</si>
  <si>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</si>
  <si>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</si>
  <si>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</si>
  <si>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</si>
  <si>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</si>
  <si>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</si>
  <si>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</si>
  <si>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</si>
  <si>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</si>
  <si>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</si>
  <si>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</si>
  <si>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</si>
  <si>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</si>
  <si>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</si>
  <si>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</si>
  <si>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</si>
  <si>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</si>
  <si>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</si>
  <si>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</si>
  <si>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</si>
  <si>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</si>
  <si>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</si>
  <si>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</si>
  <si>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</si>
  <si>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</si>
  <si>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</si>
  <si>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</si>
  <si>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</si>
  <si>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</si>
  <si>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</si>
  <si>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</si>
  <si>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</si>
  <si>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</si>
  <si>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</si>
  <si>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</si>
  <si>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</si>
  <si>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</si>
  <si>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</si>
  <si>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</si>
  <si>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</si>
  <si>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</si>
  <si>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</si>
  <si>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</si>
  <si>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</si>
  <si>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</si>
  <si>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</si>
  <si>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</si>
  <si>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</si>
  <si>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</si>
  <si>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</si>
  <si>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</si>
  <si>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</si>
  <si>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</si>
  <si>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</si>
  <si>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Buyurtmachi (12.10): bittasining narxi deb olindi</t>
  </si>
  <si>
    <t xml:space="preserve">Rekuperatorlar soni</t>
  </si>
  <si>
    <t xml:space="preserve">Sxema: R1 (K1 shiftida), R2 (K2 shiftida)</t>
  </si>
  <si>
    <t xml:space="preserve">Buyurtmachi (12.10)</t>
  </si>
  <si>
    <t xml:space="preserve">Havo kanallari uzunligi</t>
  </si>
  <si>
    <t xml:space="preserve">HVAC sxemasidan: 191 m (taklif yo'nalish) + 10% burilish va ulanishlar</t>
  </si>
  <si>
    <t xml:space="preserve">Buyurtmachi (12.10): SR1–SR7 ga bittadan</t>
  </si>
  <si>
    <t xml:space="preserve">Buyurtmachi (12.10): XZ1–XZ4 ga bittadan</t>
  </si>
  <si>
    <t xml:space="preserve">TAXMIN — Toshkent bozori; mebelchi narxi bilan almashtiring</t>
  </si>
  <si>
    <t xml:space="preserve">TAXMIN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</si>
  <si>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</si>
  <si>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</si>
  <si>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</si>
  <si>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</si>
  <si>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</si>
  <si>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</si>
  <si>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</si>
  <si>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</si>
  <si>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</si>
  <si>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</si>
  <si>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</si>
  <si>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</si>
  <si>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</si>
  <si>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</si>
  <si>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</si>
  <si>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</si>
  <si>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</si>
  <si>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</si>
  <si>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</si>
  <si>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</si>
  <si>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</si>
  <si>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</si>
  <si>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</si>
  <si>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</si>
  <si>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</si>
  <si>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</si>
  <si>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</si>
  <si>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</si>
  <si>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</si>
  <si>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</si>
  <si>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</si>
  <si>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</si>
  <si>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</si>
  <si>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</si>
  <si>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</si>
  <si>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rekuperator va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</si>
  <si>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</si>
  <si>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</si>
  <si>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</si>
  <si>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Ventilyatsiya va konditsionerlash (buyurtmachi, 12.10): 2 ta Welkin rekuperatori (28 mln so'm dan) va havo kanallari (HVAC sxemasidagi uzunlik × 300 000 so'm/m) — «Butun qavat» qatorida; split konditsionerlar: SR1–SR7 ga bittadan 24 000 BTU ($1 120), XZ1–XZ4 ga bittadan 12 000 BTU ($380) — xonalar qatorida; CEO xonasi va koworkingda konditsioner mavjud (koworkingdagisi koridorlarni ham sovutadi); 3-qavat o'quv xonasiga 1 ta konditsioner. Sinflarning ko'cha tomoni to'liq oynali (buyurtmachi, 12.10) — tashqi bloklar tomda, trassa ~5–13 m. Kirmagan: montaj (narxga kirmagan bo'lsa), diffuzor va panjaralar, shovqin so'ndirgichlar, kanal izolyatsiyasi, freon trassalari, tomdagi tayanch ramalar, drenaj nasoslari (kerak bo'lsa).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</si>
  <si>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</si>
  <si>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15.10 dan — Jahon School namunasi uslubida: marmar ko'rinishli panel, mox polosalari, egilgan yog'och reykali kanopi, shift chetlarida yashil LED (taxmin, K1 va K2 qatorlarida);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</si>
  <si>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</si>
  <si>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</si>
  <si>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</si>
  <si>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</si>
  <si>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</si>
  <si>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</si>
  <si>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</si>
  <si>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</si>
  <si>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</si>
  <si>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</si>
  <si>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</si>
  <si>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</si>
  <si>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</si>
  <si>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</si>
  <si>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</si>
  <si>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</si>
  <si>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</si>
  <si>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</si>
  <si>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</si>
  <si>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</si>
  <si>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</si>
  <si>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</si>
  <si>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</si>
  <si>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</si>
  <si>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</si>
  <si>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</si>
  <si>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</si>
  <si>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</si>
  <si>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</si>
  <si>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</si>
  <si>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</si>
  <si>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</si>
  <si>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</si>
  <si>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</si>
  <si>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</si>
  <si>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Ustozlar xonasi (XZ3)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</si>
  <si>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</si>
  <si>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</si>
  <si>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</si>
  <si>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</si>
  <si>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</si>
  <si>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</si>
  <si>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</si>
  <si>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</si>
  <si>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</si>
  <si>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</si>
  <si>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</si>
  <si>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</si>
  <si>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</si>
  <si>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</si>
  <si>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</si>
  <si>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</si>
  <si>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</si>
  <si>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</si>
  <si>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</si>
  <si>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</si>
  <si>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</si>
  <si>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</si>
  <si>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</si>
  <si>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</si>
  <si>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</si>
  <si>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</si>
  <si>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</si>
  <si>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</si>
  <si>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</si>
  <si>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</si>
  <si>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</si>
  <si>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</si>
  <si>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</si>
  <si>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</si>
  <si>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</si>
  <si>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</si>
  <si>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</si>
  <si>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</si>
  <si>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</si>
  <si>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</si>
  <si>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</si>
  <si>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</si>
  <si>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</si>
  <si>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</si>
  <si>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</si>
  <si>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</si>
  <si>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</si>
  <si>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</si>
  <si>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</si>
  <si>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</si>
  <si>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</si>
  <si>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</si>
  <si>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</si>
  <si>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Shisha ustidagi GKL (Call-markaz (XZ4) bilan orasida)</t>
  </si>
  <si>
    <t xml:space="preserve">Shisha ustidagi GKL (Ustozlar xonasi (XZ3)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</si>
  <si>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</si>
  <si>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</si>
  <si>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</si>
  <si>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</si>
  <si>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</si>
  <si>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</si>
  <si>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</si>
  <si>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</si>
  <si>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</si>
  <si>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</si>
  <si>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</si>
  <si>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</si>
  <si>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</si>
  <si>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</si>
  <si>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</si>
  <si>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</si>
  <si>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</si>
  <si>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</si>
  <si>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</si>
  <si>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</si>
  <si>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</si>
  <si>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</si>
  <si>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</si>
  <si>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</si>
  <si>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</si>
  <si>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</si>
  <si>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</si>
  <si>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</si>
  <si>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</si>
  <si>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</si>
  <si>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</si>
  <si>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</si>
  <si>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</si>
  <si>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</si>
  <si>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</si>
  <si>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</si>
  <si>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</si>
  <si>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</si>
  <si>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</si>
  <si>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</si>
  <si>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</si>
  <si>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</si>
  <si>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</si>
  <si>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</si>
  <si>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</si>
  <si>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</si>
  <si>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</si>
  <si>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</si>
  <si>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</si>
  <si>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</si>
  <si>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</si>
  <si>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</si>
  <si>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</si>
  <si>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</si>
  <si>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Rekuperator Welkin 3 000 m³/soat (R1 — K1, R2 — K2 koridori shiftida)</t>
  </si>
  <si>
    <t xml:space="preserve">Havo kanallari (vozduxovod) — HVAC sxemasi bo'yicha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</si>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</sst>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(batafsil)'!$J$5:$J$320,'Hisob (batafsil)'!$C$5:$C$320,"Shisha devor")</f>
        <v>6600</v>
      </c>
      <c r="D6" s="8" t="n">
        <f aca="false">C6*Narxlar!$C$19</f>
        <v>78540000</v>
      </c>
      <c r="E6" s="9" t="n">
        <f aca="false">IF($C$22=0,0,C6/$C$22)</f>
        <v>0.0842116480542636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(batafsil)'!$J$5:$J$320,'Hisob (batafsil)'!$C$5:$C$320,"Gips karton (GKL)")</f>
        <v>3529.2</v>
      </c>
      <c r="D7" s="8" t="n">
        <f aca="false">C7*Narxlar!$C$19</f>
        <v>41997480</v>
      </c>
      <c r="E7" s="9" t="n">
        <f aca="false">IF($C$22=0,0,C7/$C$22)</f>
        <v>0.0450302648959253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(batafsil)'!$J$5:$J$320,'Hisob (batafsil)'!$C$5:$C$320,"Bambuk panel")</f>
        <v>8465.635</v>
      </c>
      <c r="D8" s="8" t="n">
        <f aca="false">C8*Narxlar!$C$19</f>
        <v>100741056.5</v>
      </c>
      <c r="E8" s="9" t="n">
        <f aca="false">IF($C$22=0,0,C8/$C$22)</f>
        <v>0.10801592048119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(batafsil)'!$J$5:$J$320,'Hisob (batafsil)'!$C$5:$C$320,"Interaktiv doska")</f>
        <v>8256</v>
      </c>
      <c r="D9" s="8" t="n">
        <f aca="false">C9*Narxlar!$C$19</f>
        <v>98246400</v>
      </c>
      <c r="E9" s="9" t="n">
        <f aca="false">IF($C$22=0,0,C9/$C$22)</f>
        <v>0.105341116111515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(batafsil)'!$J$5:$J$320,'Hisob (batafsil)'!$C$5:$C$320,"Perila")</f>
        <v>2322.6</v>
      </c>
      <c r="D10" s="8" t="n">
        <f aca="false">C10*Narxlar!$C$19</f>
        <v>27638940</v>
      </c>
      <c r="E10" s="9" t="n">
        <f aca="false">IF($C$22=0,0,C10/$C$22)</f>
        <v>0.0296348445107322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(batafsil)'!$J$5:$J$320,'Hisob (batafsil)'!$C$5:$C$320,"Yoritish")</f>
        <v>3024</v>
      </c>
      <c r="D11" s="8" t="n">
        <f aca="false">C11*Narxlar!$C$19</f>
        <v>35985600</v>
      </c>
      <c r="E11" s="9" t="n">
        <f aca="false">IF($C$22=0,0,C11/$C$22)</f>
        <v>0.0385842460175899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(batafsil)'!$J$5:$J$320,'Hisob (batafsil)'!$C$5:$C$320,"Kamera tizimi")</f>
        <v>2119</v>
      </c>
      <c r="D12" s="8" t="n">
        <f aca="false">C12*Narxlar!$C$19</f>
        <v>25216100</v>
      </c>
      <c r="E12" s="9" t="n">
        <f aca="false">IF($C$22=0,0,C12/$C$22)</f>
        <v>0.0270370427616643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(batafsil)'!$J$5:$J$320,'Hisob (batafsil)'!$C$5:$C$320,"Logotip")</f>
        <v>3250</v>
      </c>
      <c r="D13" s="8" t="n">
        <f aca="false">C13*Narxlar!$C$19</f>
        <v>38675000</v>
      </c>
      <c r="E13" s="9" t="n">
        <f aca="false">IF($C$22=0,0,C13/$C$22)</f>
        <v>0.0414678569964177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(batafsil)'!$J$5:$J$320,'Hisob (batafsil)'!$C$5:$C$320,"Matli plyonka")</f>
        <v>537.81512605042</v>
      </c>
      <c r="D14" s="8" t="n">
        <f aca="false">C14*Narxlar!$C$19</f>
        <v>6400000</v>
      </c>
      <c r="E14" s="9" t="n">
        <f aca="false">IF($C$22=0,0,C14/$C$22)</f>
        <v>0.00686216638079051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(batafsil)'!$J$5:$J$320,'Hisob (batafsil)'!$C$5:$C$320,"Yong'in xavfsizligi")</f>
        <v>1512.60504201681</v>
      </c>
      <c r="D15" s="8" t="n">
        <f aca="false">C15*Narxlar!$C$19</f>
        <v>18000000</v>
      </c>
      <c r="E15" s="9" t="n">
        <f aca="false">IF($C$22=0,0,C15/$C$22)</f>
        <v>0.0192998429459733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(batafsil)'!$J$5:$J$320,'Hisob (batafsil)'!$C$5:$C$320,"Buzish ishlari")</f>
        <v>340.546218487395</v>
      </c>
      <c r="D16" s="8" t="n">
        <f aca="false">C16*Narxlar!$C$19</f>
        <v>4052500</v>
      </c>
      <c r="E16" s="9" t="n">
        <f aca="false">IF($C$22=0,0,C16/$C$22)</f>
        <v>0.00434514519658649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(batafsil)'!$J$5:$J$320,'Hisob (batafsil)'!$C$5:$C$320,"Santexnika")</f>
        <v>3317.64705882353</v>
      </c>
      <c r="D17" s="8" t="n">
        <f aca="false">C17*Narxlar!$C$19</f>
        <v>39480000</v>
      </c>
      <c r="E17" s="9" t="n">
        <f aca="false">IF($C$22=0,0,C17/$C$22)</f>
        <v>0.0423309888615015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(batafsil)'!$J$5:$J$320,'Hisob (batafsil)'!$C$5:$C$320,"Kafel")</f>
        <v>1243.6974789916</v>
      </c>
      <c r="D18" s="8" t="n">
        <f aca="false">C18*Narxlar!$C$19</f>
        <v>14800000</v>
      </c>
      <c r="E18" s="9" t="n">
        <f aca="false">IF($C$22=0,0,C18/$C$22)</f>
        <v>0.0158687597555781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(batafsil)'!$J$5:$J$320,'Hisob (batafsil)'!$C$5:$C$320,"Konditsioner va ventilyatsiya")</f>
        <v>20385.2100840336</v>
      </c>
      <c r="D19" s="8" t="n">
        <f aca="false">C19*Narxlar!$C$19</f>
        <v>242584000</v>
      </c>
      <c r="E19" s="9" t="n">
        <f aca="false">IF($C$22=0,0,C19/$C$22)</f>
        <v>0.260101838955888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(batafsil)'!$J$5:$J$320,'Hisob (batafsil)'!$C$5:$C$320,"Mebel va interyer")</f>
        <v>13100</v>
      </c>
      <c r="D20" s="8" t="n">
        <f aca="false">C20*Narxlar!$C$19</f>
        <v>155890000</v>
      </c>
      <c r="E20" s="9" t="n">
        <f aca="false">IF($C$22=0,0,C20/$C$22)</f>
        <v>0.167147362047099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(batafsil)'!$J$5:$J$320,'Hisob (batafsil)'!$C$5:$C$320,"E'lon va e'tirof doskalari")</f>
        <v>370</v>
      </c>
      <c r="D21" s="8" t="n">
        <f aca="false">C21*Narxlar!$C$19</f>
        <v>4403000</v>
      </c>
      <c r="E21" s="9" t="n">
        <f aca="false">IF($C$22=0,0,C21/$C$22)</f>
        <v>0.00472095602728447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78373.9560084034</v>
      </c>
      <c r="D22" s="13" t="n">
        <f aca="false">C22*Narxlar!$C$19</f>
        <v>932650076.5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("&amp;TEXT(Narxlar!$C$87,"0%")&amp;")"</f>
        <v>Kutilmagan xarajatlar (10%)</v>
      </c>
      <c r="C23" s="17" t="n">
        <f aca="false">C22*Narxlar!$C$87</f>
        <v>7837.39560084034</v>
      </c>
      <c r="D23" s="18" t="n">
        <f aca="false">C23*Narxlar!$C$19</f>
        <v>93265007.65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86211.3516092437</v>
      </c>
      <c r="D24" s="22" t="n">
        <f aca="false">C24*Narxlar!$C$19</f>
        <v>1025915084.15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(batafsil)'!$J$5:$J$320,'Hisob (batafsil)'!$C$5:$C$320,"Mebel va interyer")+SUMIFS('Hisob (batafsil)'!$J$5:$J$320,'Hisob (batafsil)'!$C$5:$C$320,"E'lon va e'tirof doskalari")+SUMIFS('Hisob (batafsil)'!$J$5:$J$320,'Hisob (batafsil)'!$B$5:$B$320,"1-qavat — kirish zali (resepshn, turniket)",'Hisob (batafsil)'!$C$5:$C$320,"Logotip")</f>
        <v>14220</v>
      </c>
      <c r="D25" s="26" t="n">
        <f aca="false">C25*Narxlar!$C$19</f>
        <v>169218000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0.0437645383069885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27474.5</v>
      </c>
      <c r="D30" s="8" t="n">
        <f aca="false">C30*Narxlar!$C$19</f>
        <v>326946550</v>
      </c>
      <c r="E30" s="9" t="n">
        <f aca="false">IF($C$34=0,0,C30/$C$34)</f>
        <v>0.350556503707101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11696.705</v>
      </c>
      <c r="D31" s="8" t="n">
        <f aca="false">C31*Narxlar!$C$19</f>
        <v>139190789.5</v>
      </c>
      <c r="E31" s="9" t="n">
        <f aca="false">IF($C$34=0,0,C31/$C$34)</f>
        <v>0.14924224315978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28453.0764705882</v>
      </c>
      <c r="D32" s="8" t="n">
        <f aca="false">C32*Narxlar!$C$19</f>
        <v>338591610</v>
      </c>
      <c r="E32" s="9" t="n">
        <f aca="false">IF($C$34=0,0,C32/$C$34)</f>
        <v>0.363042494212458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0.093394220613673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78373.9560084034</v>
      </c>
      <c r="D34" s="13" t="n">
        <f aca="false">C34*Narxlar!$C$19</f>
        <v>932650076.5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B4" s="3" t="s">
        <v>38</v>
      </c>
      <c r="C4" s="29" t="n">
        <v>46314</v>
      </c>
      <c r="D4" s="2" t="s">
        <v>39</v>
      </c>
    </row>
    <row r="5" customFormat="false" ht="15" hidden="false" customHeight="false" outlineLevel="0" collapsed="false">
      <c r="B5" s="3" t="s">
        <v>40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41</v>
      </c>
    </row>
    <row r="8" customFormat="false" ht="15" hidden="false" customHeight="false" outlineLevel="0" collapsed="false">
      <c r="A8" s="4" t="s">
        <v>42</v>
      </c>
      <c r="B8" s="4" t="s">
        <v>43</v>
      </c>
      <c r="C8" s="4" t="s">
        <v>44</v>
      </c>
      <c r="D8" s="4" t="s">
        <v>45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  <c r="J8" s="4" t="s">
        <v>51</v>
      </c>
      <c r="K8" s="4" t="s">
        <v>7</v>
      </c>
      <c r="L8" s="4" t="s">
        <v>52</v>
      </c>
    </row>
    <row r="9" customFormat="false" ht="51.75" hidden="false" customHeight="true" outlineLevel="0" collapsed="false">
      <c r="A9" s="31" t="s">
        <v>53</v>
      </c>
      <c r="B9" s="32" t="s">
        <v>54</v>
      </c>
      <c r="C9" s="33" t="s">
        <v>55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L103</f>
        <v>7872.94117647059</v>
      </c>
      <c r="H9" s="37" t="n">
        <f aca="false">G9*Narxlar!$C$87</f>
        <v>787.294117647059</v>
      </c>
      <c r="I9" s="37" t="n">
        <f aca="false">G9+H9</f>
        <v>8660.23529411765</v>
      </c>
      <c r="J9" s="38" t="n">
        <f aca="false">I9*Narxlar!$C$19</f>
        <v>103056800</v>
      </c>
      <c r="K9" s="39" t="n">
        <f aca="false">IF($I$15=0,0,I9/$I$15)</f>
        <v>0.100453538106797</v>
      </c>
      <c r="L9" s="37" t="n">
        <f aca="false">SUM($I$9:I9)</f>
        <v>8660.23529411765</v>
      </c>
    </row>
    <row r="10" customFormat="false" ht="51.75" hidden="false" customHeight="true" outlineLevel="0" collapsed="false">
      <c r="A10" s="31" t="s">
        <v>56</v>
      </c>
      <c r="B10" s="32" t="s">
        <v>18</v>
      </c>
      <c r="C10" s="33" t="s">
        <v>57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M103</f>
        <v>340.546218487395</v>
      </c>
      <c r="H10" s="37" t="n">
        <f aca="false">G10*Narxlar!$C$87</f>
        <v>34.0546218487395</v>
      </c>
      <c r="I10" s="37" t="n">
        <f aca="false">G10+H10</f>
        <v>374.600840336134</v>
      </c>
      <c r="J10" s="38" t="n">
        <f aca="false">I10*Narxlar!$C$19</f>
        <v>4457750</v>
      </c>
      <c r="K10" s="39" t="n">
        <f aca="false">IF($I$15=0,0,I10/$I$15)</f>
        <v>0.00434514519658649</v>
      </c>
      <c r="L10" s="37" t="n">
        <f aca="false">SUM($I$9:I10)</f>
        <v>9034.83613445378</v>
      </c>
    </row>
    <row r="11" customFormat="false" ht="51.75" hidden="false" customHeight="true" outlineLevel="0" collapsed="false">
      <c r="A11" s="31" t="s">
        <v>58</v>
      </c>
      <c r="B11" s="32" t="s">
        <v>59</v>
      </c>
      <c r="C11" s="33" t="s">
        <v>60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N103</f>
        <v>11869.7008403361</v>
      </c>
      <c r="H11" s="37" t="n">
        <f aca="false">G11*Narxlar!$C$87</f>
        <v>1186.97008403361</v>
      </c>
      <c r="I11" s="37" t="n">
        <f aca="false">G11+H11</f>
        <v>13056.6709243697</v>
      </c>
      <c r="J11" s="38" t="n">
        <f aca="false">I11*Narxlar!$C$19</f>
        <v>155374384</v>
      </c>
      <c r="K11" s="39" t="n">
        <f aca="false">IF($I$15=0,0,I11/$I$15)</f>
        <v>0.151449556011482</v>
      </c>
      <c r="L11" s="37" t="n">
        <f aca="false">SUM($I$9:I11)</f>
        <v>22091.5070588235</v>
      </c>
    </row>
    <row r="12" customFormat="false" ht="51.75" hidden="false" customHeight="true" outlineLevel="0" collapsed="false">
      <c r="A12" s="31" t="s">
        <v>61</v>
      </c>
      <c r="B12" s="32" t="s">
        <v>62</v>
      </c>
      <c r="C12" s="33" t="s">
        <v>63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O103</f>
        <v>25733.9324789916</v>
      </c>
      <c r="H12" s="37" t="n">
        <f aca="false">G12*Narxlar!$C$87</f>
        <v>2573.39324789916</v>
      </c>
      <c r="I12" s="37" t="n">
        <f aca="false">G12+H12</f>
        <v>28307.3257268908</v>
      </c>
      <c r="J12" s="38" t="n">
        <f aca="false">I12*Narxlar!$C$19</f>
        <v>336857176.15</v>
      </c>
      <c r="K12" s="39" t="n">
        <f aca="false">IF($I$15=0,0,I12/$I$15)</f>
        <v>0.328348009844397</v>
      </c>
      <c r="L12" s="37" t="n">
        <f aca="false">SUM($I$9:I12)</f>
        <v>50398.8327857143</v>
      </c>
    </row>
    <row r="13" customFormat="false" ht="51.75" hidden="false" customHeight="true" outlineLevel="0" collapsed="false">
      <c r="A13" s="31" t="s">
        <v>64</v>
      </c>
      <c r="B13" s="32" t="s">
        <v>65</v>
      </c>
      <c r="C13" s="33" t="s">
        <v>66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P103</f>
        <v>23816.8352941176</v>
      </c>
      <c r="H13" s="37" t="n">
        <f aca="false">G13*Narxlar!$C$87</f>
        <v>2381.68352941176</v>
      </c>
      <c r="I13" s="37" t="n">
        <f aca="false">G13+H13</f>
        <v>26198.5188235294</v>
      </c>
      <c r="J13" s="38" t="n">
        <f aca="false">I13*Narxlar!$C$19</f>
        <v>311762374</v>
      </c>
      <c r="K13" s="39" t="n">
        <f aca="false">IF($I$15=0,0,I13/$I$15)</f>
        <v>0.303887113871909</v>
      </c>
      <c r="L13" s="37" t="n">
        <f aca="false">SUM($I$9:I13)</f>
        <v>76597.3516092437</v>
      </c>
    </row>
    <row r="14" customFormat="false" ht="51.75" hidden="false" customHeight="true" outlineLevel="0" collapsed="false">
      <c r="A14" s="31" t="s">
        <v>67</v>
      </c>
      <c r="B14" s="32" t="s">
        <v>68</v>
      </c>
      <c r="C14" s="33" t="s">
        <v>69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Q103</f>
        <v>8740</v>
      </c>
      <c r="H14" s="37" t="n">
        <f aca="false">G14*Narxlar!$C$87</f>
        <v>874</v>
      </c>
      <c r="I14" s="37" t="n">
        <f aca="false">G14+H14</f>
        <v>9614</v>
      </c>
      <c r="J14" s="38" t="n">
        <f aca="false">I14*Narxlar!$C$19</f>
        <v>114406600</v>
      </c>
      <c r="K14" s="39" t="n">
        <f aca="false">IF($I$15=0,0,I14/$I$15)</f>
        <v>0.111516636968828</v>
      </c>
      <c r="L14" s="37" t="n">
        <f aca="false">SUM($I$9:I14)</f>
        <v>86211.3516092437</v>
      </c>
    </row>
    <row r="15" customFormat="false" ht="15" hidden="false" customHeight="false" outlineLevel="0" collapsed="false">
      <c r="A15" s="11"/>
      <c r="B15" s="11" t="s">
        <v>24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78373.9560084034</v>
      </c>
      <c r="H15" s="41" t="n">
        <f aca="false">SUM(H9:H14)</f>
        <v>7837.39560084034</v>
      </c>
      <c r="I15" s="41" t="n">
        <f aca="false">SUM(I9:I14)</f>
        <v>86211.3516092437</v>
      </c>
      <c r="J15" s="42" t="n">
        <f aca="false">I15*Narxlar!$C$19</f>
        <v>1025915084.15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70</v>
      </c>
      <c r="I16" s="27" t="n">
        <f aca="false">I15-Yakuniy!$C$24</f>
        <v>0</v>
      </c>
    </row>
    <row r="17" customFormat="false" ht="15" hidden="false" customHeight="false" outlineLevel="0" collapsed="false">
      <c r="B17" s="2" t="s">
        <v>71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72</v>
      </c>
    </row>
    <row r="20" customFormat="false" ht="15" hidden="false" customHeight="false" outlineLevel="0" collapsed="false">
      <c r="A20" s="43" t="s">
        <v>42</v>
      </c>
      <c r="B20" s="43" t="s">
        <v>73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53</v>
      </c>
      <c r="B21" s="45" t="s">
        <v>54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56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58</v>
      </c>
      <c r="B23" s="45" t="s">
        <v>59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61</v>
      </c>
      <c r="B24" s="45" t="s">
        <v>62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64</v>
      </c>
      <c r="B25" s="45" t="s">
        <v>65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67</v>
      </c>
      <c r="B26" s="45" t="s">
        <v>68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74</v>
      </c>
    </row>
    <row r="29" customFormat="false" ht="15" hidden="false" customHeight="false" outlineLevel="0" collapsed="false">
      <c r="A29" s="43" t="s">
        <v>42</v>
      </c>
      <c r="B29" s="43" t="s">
        <v>75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53</v>
      </c>
      <c r="B30" s="45" t="s">
        <v>54</v>
      </c>
      <c r="C30" s="48" t="n">
        <f aca="false">$I$9*MAX(0,MIN($F$9,EOMONTH(C$29,0))-MAX($E$9,C$29)+1)/($F$9-$E$9+1)</f>
        <v>8660.23529411765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56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58</v>
      </c>
      <c r="B32" s="45" t="s">
        <v>59</v>
      </c>
      <c r="C32" s="48" t="n">
        <f aca="false">$I$11*MAX(0,MIN($F$11,EOMONTH(C$29,0))-MAX($E$11,C$29)+1)/($F$11-$E$11+1)</f>
        <v>1865.23870348139</v>
      </c>
      <c r="D32" s="48" t="n">
        <f aca="false">$I$11*MAX(0,MIN($F$11,EOMONTH(D$29,0))-MAX($E$11,D$29)+1)/($F$11-$E$11+1)</f>
        <v>11191.4322208884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61</v>
      </c>
      <c r="B33" s="45" t="s">
        <v>62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28307.3257268908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64</v>
      </c>
      <c r="B34" s="45" t="s">
        <v>65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14290.1011764706</v>
      </c>
      <c r="E34" s="48" t="n">
        <f aca="false">$I$13*MAX(0,MIN($F$13,EOMONTH(E$29,0))-MAX($E$13,E$29)+1)/($F$13-$E$13+1)</f>
        <v>11908.4176470588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67</v>
      </c>
      <c r="B35" s="45" t="s">
        <v>68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50</v>
      </c>
      <c r="C36" s="41" t="n">
        <f aca="false">SUM(C30:C35)</f>
        <v>10900.0748379352</v>
      </c>
      <c r="D36" s="41" t="n">
        <f aca="false">SUM(D30:D35)</f>
        <v>53788.8591242497</v>
      </c>
      <c r="E36" s="41" t="n">
        <f aca="false">SUM(E30:E35)</f>
        <v>21522.4176470588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51</v>
      </c>
      <c r="C37" s="42" t="n">
        <f aca="false">C36*Narxlar!$C$19</f>
        <v>129710890.571429</v>
      </c>
      <c r="D37" s="42" t="n">
        <f aca="false">D36*Narxlar!$C$19</f>
        <v>640087423.578571</v>
      </c>
      <c r="E37" s="42" t="n">
        <f aca="false">E36*Narxlar!$C$19</f>
        <v>256116770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76</v>
      </c>
    </row>
    <row r="40" customFormat="false" ht="15" hidden="false" customHeight="false" outlineLevel="0" collapsed="false">
      <c r="A40" s="4" t="s">
        <v>77</v>
      </c>
      <c r="B40" s="4" t="s">
        <v>78</v>
      </c>
      <c r="C40" s="4" t="s">
        <v>79</v>
      </c>
      <c r="D40" s="4" t="s">
        <v>50</v>
      </c>
      <c r="E40" s="4" t="s">
        <v>80</v>
      </c>
      <c r="F40" s="4" t="s">
        <v>81</v>
      </c>
      <c r="G40" s="4" t="s">
        <v>82</v>
      </c>
      <c r="H40" s="4" t="s">
        <v>83</v>
      </c>
      <c r="I40" s="4" t="s">
        <v>84</v>
      </c>
      <c r="J40" s="4" t="s">
        <v>85</v>
      </c>
      <c r="K40" s="4" t="s">
        <v>86</v>
      </c>
      <c r="L40" s="4" t="s">
        <v>87</v>
      </c>
      <c r="M40" s="4" t="s">
        <v>88</v>
      </c>
      <c r="N40" s="4" t="s">
        <v>89</v>
      </c>
      <c r="O40" s="4" t="s">
        <v>90</v>
      </c>
      <c r="P40" s="4" t="s">
        <v>91</v>
      </c>
      <c r="Q40" s="4" t="s">
        <v>92</v>
      </c>
    </row>
    <row r="41" customFormat="false" ht="15" hidden="false" customHeight="false" outlineLevel="0" collapsed="false">
      <c r="A41" s="24" t="s">
        <v>93</v>
      </c>
      <c r="B41" s="49" t="s">
        <v>94</v>
      </c>
      <c r="C41" s="6" t="s">
        <v>15</v>
      </c>
      <c r="D41" s="50" t="n">
        <f aca="false">SUMIFS('Hisob (batafsil)'!$J$5:$J$320,'Hisob (batafsil)'!$K$5:$K$320,$A41)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95</v>
      </c>
      <c r="B42" s="49" t="s">
        <v>96</v>
      </c>
      <c r="C42" s="6" t="s">
        <v>15</v>
      </c>
      <c r="D42" s="50" t="n">
        <f aca="false">SUMIFS('Hisob (batafsil)'!$J$5:$J$320,'Hisob (batafsil)'!$K$5:$K$320,$A42)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97</v>
      </c>
      <c r="B43" s="49" t="s">
        <v>98</v>
      </c>
      <c r="C43" s="6" t="s">
        <v>15</v>
      </c>
      <c r="D43" s="50" t="n">
        <f aca="false">SUMIFS('Hisob (batafsil)'!$J$5:$J$320,'Hisob (batafsil)'!$K$5:$K$320,$A43)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99</v>
      </c>
      <c r="B44" s="6" t="s">
        <v>100</v>
      </c>
      <c r="C44" s="6" t="s">
        <v>21</v>
      </c>
      <c r="D44" s="50" t="n">
        <f aca="false">SUMIFS('Hisob (batafsil)'!$J$5:$J$320,'Hisob (batafsil)'!$K$5:$K$320,$A44)</f>
        <v>4705.88235294118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2352.94117647059</v>
      </c>
      <c r="M44" s="53" t="n">
        <f aca="false">$D44*F44</f>
        <v>0</v>
      </c>
      <c r="N44" s="53" t="n">
        <f aca="false">$D44*G44</f>
        <v>2352.94117647059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101</v>
      </c>
      <c r="B45" s="49" t="s">
        <v>102</v>
      </c>
      <c r="C45" s="6" t="s">
        <v>22</v>
      </c>
      <c r="D45" s="50" t="n">
        <f aca="false">SUMIFS('Hisob (batafsil)'!$J$5:$J$320,'Hisob (batafsil)'!$K$5:$K$320,$A45)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103</v>
      </c>
      <c r="B46" s="49" t="s">
        <v>104</v>
      </c>
      <c r="C46" s="6" t="s">
        <v>22</v>
      </c>
      <c r="D46" s="50" t="n">
        <f aca="false">SUMIFS('Hisob (batafsil)'!$J$5:$J$320,'Hisob (batafsil)'!$K$5:$K$320,$A46)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105</v>
      </c>
      <c r="B47" s="49" t="s">
        <v>106</v>
      </c>
      <c r="C47" s="6" t="s">
        <v>22</v>
      </c>
      <c r="D47" s="50" t="n">
        <f aca="false">SUMIFS('Hisob (batafsil)'!$J$5:$J$320,'Hisob (batafsil)'!$K$5:$K$320,$A47)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107</v>
      </c>
      <c r="B48" s="49" t="s">
        <v>108</v>
      </c>
      <c r="C48" s="6" t="s">
        <v>22</v>
      </c>
      <c r="D48" s="50" t="n">
        <f aca="false">SUMIFS('Hisob (batafsil)'!$J$5:$J$320,'Hisob (batafsil)'!$K$5:$K$320,$A48)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109</v>
      </c>
      <c r="B49" s="49" t="s">
        <v>110</v>
      </c>
      <c r="C49" s="6" t="s">
        <v>22</v>
      </c>
      <c r="D49" s="50" t="n">
        <f aca="false">SUMIFS('Hisob (batafsil)'!$J$5:$J$320,'Hisob (batafsil)'!$K$5:$K$320,$A49)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111</v>
      </c>
      <c r="B50" s="49" t="s">
        <v>112</v>
      </c>
      <c r="C50" s="6" t="s">
        <v>22</v>
      </c>
      <c r="D50" s="50" t="n">
        <f aca="false">SUMIFS('Hisob (batafsil)'!$J$5:$J$320,'Hisob (batafsil)'!$K$5:$K$320,$A50)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113</v>
      </c>
      <c r="B51" s="49" t="s">
        <v>114</v>
      </c>
      <c r="C51" s="6" t="s">
        <v>22</v>
      </c>
      <c r="D51" s="50" t="n">
        <f aca="false">SUMIFS('Hisob (batafsil)'!$J$5:$J$320,'Hisob (batafsil)'!$K$5:$K$320,$A51)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115</v>
      </c>
      <c r="B52" s="49" t="s">
        <v>116</v>
      </c>
      <c r="C52" s="6" t="s">
        <v>22</v>
      </c>
      <c r="D52" s="50" t="n">
        <f aca="false">SUMIFS('Hisob (batafsil)'!$J$5:$J$320,'Hisob (batafsil)'!$K$5:$K$320,$A52)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117</v>
      </c>
      <c r="B53" s="6" t="s">
        <v>118</v>
      </c>
      <c r="C53" s="6" t="s">
        <v>22</v>
      </c>
      <c r="D53" s="50" t="n">
        <f aca="false">SUMIFS('Hisob (batafsil)'!$J$5:$J$320,'Hisob (batafsil)'!$K$5:$K$320,$A53)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119</v>
      </c>
      <c r="B54" s="49" t="s">
        <v>120</v>
      </c>
      <c r="C54" s="6" t="s">
        <v>22</v>
      </c>
      <c r="D54" s="50" t="n">
        <f aca="false">SUMIFS('Hisob (batafsil)'!$J$5:$J$320,'Hisob (batafsil)'!$K$5:$K$320,$A54)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121</v>
      </c>
      <c r="B55" s="6" t="s">
        <v>122</v>
      </c>
      <c r="C55" s="6" t="s">
        <v>18</v>
      </c>
      <c r="D55" s="50" t="n">
        <f aca="false">SUMIFS('Hisob (batafsil)'!$J$5:$J$320,'Hisob (batafsil)'!$K$5:$K$320,$A55)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123</v>
      </c>
      <c r="B56" s="6" t="s">
        <v>124</v>
      </c>
      <c r="C56" s="6" t="s">
        <v>18</v>
      </c>
      <c r="D56" s="50" t="n">
        <f aca="false">SUMIFS('Hisob (batafsil)'!$J$5:$J$320,'Hisob (batafsil)'!$K$5:$K$320,$A56)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125</v>
      </c>
      <c r="B57" s="6" t="s">
        <v>126</v>
      </c>
      <c r="C57" s="6" t="s">
        <v>9</v>
      </c>
      <c r="D57" s="50" t="n">
        <f aca="false">SUMIFS('Hisob (batafsil)'!$J$5:$J$320,'Hisob (batafsil)'!$K$5:$K$320,$A57)</f>
        <v>3529.2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1764.6</v>
      </c>
      <c r="O57" s="53" t="n">
        <f aca="false">$D57*H57</f>
        <v>1764.6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127</v>
      </c>
      <c r="B58" s="6" t="s">
        <v>128</v>
      </c>
      <c r="C58" s="6" t="s">
        <v>14</v>
      </c>
      <c r="D58" s="50" t="n">
        <f aca="false">SUMIFS('Hisob (batafsil)'!$J$5:$J$320,'Hisob (batafsil)'!$K$5:$K$320,$A58)</f>
        <v>303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303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129</v>
      </c>
      <c r="B59" s="6" t="s">
        <v>130</v>
      </c>
      <c r="C59" s="6" t="s">
        <v>17</v>
      </c>
      <c r="D59" s="50" t="n">
        <f aca="false">SUMIFS('Hisob (batafsil)'!$J$5:$J$320,'Hisob (batafsil)'!$K$5:$K$320,$A59)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131</v>
      </c>
      <c r="B60" s="6" t="s">
        <v>132</v>
      </c>
      <c r="C60" s="6" t="s">
        <v>19</v>
      </c>
      <c r="D60" s="50" t="n">
        <f aca="false">SUMIFS('Hisob (batafsil)'!$J$5:$J$320,'Hisob (batafsil)'!$K$5:$K$320,$A60)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133</v>
      </c>
      <c r="B61" s="6" t="s">
        <v>134</v>
      </c>
      <c r="C61" s="6" t="s">
        <v>19</v>
      </c>
      <c r="D61" s="50" t="n">
        <f aca="false">SUMIFS('Hisob (batafsil)'!$J$5:$J$320,'Hisob (batafsil)'!$K$5:$K$320,$A61)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135</v>
      </c>
      <c r="B62" s="6" t="s">
        <v>136</v>
      </c>
      <c r="C62" s="6" t="s">
        <v>19</v>
      </c>
      <c r="D62" s="50" t="n">
        <f aca="false">SUMIFS('Hisob (batafsil)'!$J$5:$J$320,'Hisob (batafsil)'!$K$5:$K$320,$A62)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137</v>
      </c>
      <c r="B63" s="6" t="s">
        <v>138</v>
      </c>
      <c r="C63" s="6" t="s">
        <v>19</v>
      </c>
      <c r="D63" s="50" t="n">
        <f aca="false">SUMIFS('Hisob (batafsil)'!$J$5:$J$320,'Hisob (batafsil)'!$K$5:$K$320,$A63)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139</v>
      </c>
      <c r="B64" s="6" t="s">
        <v>140</v>
      </c>
      <c r="C64" s="6" t="s">
        <v>19</v>
      </c>
      <c r="D64" s="50" t="n">
        <f aca="false">SUMIFS('Hisob (batafsil)'!$J$5:$J$320,'Hisob (batafsil)'!$K$5:$K$320,$A64)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141</v>
      </c>
      <c r="B65" s="6" t="s">
        <v>142</v>
      </c>
      <c r="C65" s="6" t="s">
        <v>21</v>
      </c>
      <c r="D65" s="50" t="n">
        <f aca="false">SUMIFS('Hisob (batafsil)'!$J$5:$J$320,'Hisob (batafsil)'!$K$5:$K$320,$A65)</f>
        <v>5319.32773109244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5319.32773109244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143</v>
      </c>
      <c r="B66" s="49" t="s">
        <v>144</v>
      </c>
      <c r="C66" s="6" t="s">
        <v>22</v>
      </c>
      <c r="D66" s="50" t="n">
        <f aca="false">SUMIFS('Hisob (batafsil)'!$J$5:$J$320,'Hisob (batafsil)'!$K$5:$K$320,$A66)</f>
        <v>700</v>
      </c>
      <c r="E66" s="51" t="n">
        <v>0</v>
      </c>
      <c r="F66" s="51" t="n">
        <v>0</v>
      </c>
      <c r="G66" s="51" t="n">
        <v>0.5</v>
      </c>
      <c r="H66" s="51" t="n">
        <v>0.5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350</v>
      </c>
      <c r="O66" s="53" t="n">
        <f aca="false">$D66*H66</f>
        <v>350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145</v>
      </c>
      <c r="B67" s="6" t="s">
        <v>8</v>
      </c>
      <c r="C67" s="6" t="s">
        <v>8</v>
      </c>
      <c r="D67" s="50" t="n">
        <f aca="false">SUMIFS('Hisob (batafsil)'!$J$5:$J$320,'Hisob (batafsil)'!$K$5:$K$320,$A67)</f>
        <v>6600</v>
      </c>
      <c r="E67" s="51" t="n">
        <v>0</v>
      </c>
      <c r="F67" s="51" t="n">
        <v>0</v>
      </c>
      <c r="G67" s="51" t="n">
        <v>0</v>
      </c>
      <c r="H67" s="51" t="n">
        <v>0.5</v>
      </c>
      <c r="I67" s="51" t="n">
        <v>0.5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0</v>
      </c>
      <c r="O67" s="53" t="n">
        <f aca="false">$D67*H67</f>
        <v>3300</v>
      </c>
      <c r="P67" s="53" t="n">
        <f aca="false">$D67*I67</f>
        <v>3300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146</v>
      </c>
      <c r="B68" s="6" t="s">
        <v>10</v>
      </c>
      <c r="C68" s="6" t="s">
        <v>10</v>
      </c>
      <c r="D68" s="50" t="n">
        <f aca="false">SUMIFS('Hisob (batafsil)'!$J$5:$J$320,'Hisob (batafsil)'!$K$5:$K$320,$A68)</f>
        <v>8465.635</v>
      </c>
      <c r="E68" s="51" t="n">
        <v>0</v>
      </c>
      <c r="F68" s="51" t="n">
        <v>0</v>
      </c>
      <c r="G68" s="51" t="n">
        <v>0</v>
      </c>
      <c r="H68" s="51" t="n">
        <v>1</v>
      </c>
      <c r="I68" s="51" t="n">
        <v>0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8465.635</v>
      </c>
      <c r="P68" s="53" t="n">
        <f aca="false">$D68*I68</f>
        <v>0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147</v>
      </c>
      <c r="B69" s="6" t="s">
        <v>148</v>
      </c>
      <c r="C69" s="6" t="s">
        <v>20</v>
      </c>
      <c r="D69" s="50" t="n">
        <f aca="false">SUMIFS('Hisob (batafsil)'!$J$5:$J$320,'Hisob (batafsil)'!$K$5:$K$320,$A69)</f>
        <v>621.848739495798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621.848739495798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149</v>
      </c>
      <c r="B70" s="6" t="s">
        <v>150</v>
      </c>
      <c r="C70" s="6" t="s">
        <v>20</v>
      </c>
      <c r="D70" s="50" t="n">
        <f aca="false">SUMIFS('Hisob (batafsil)'!$J$5:$J$320,'Hisob (batafsil)'!$K$5:$K$320,$A70)</f>
        <v>621.848739495798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621.848739495798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151</v>
      </c>
      <c r="B71" s="6" t="s">
        <v>152</v>
      </c>
      <c r="C71" s="6" t="s">
        <v>21</v>
      </c>
      <c r="D71" s="50" t="n">
        <f aca="false">SUMIFS('Hisob (batafsil)'!$J$5:$J$320,'Hisob (batafsil)'!$K$5:$K$320,$A71)</f>
        <v>7840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7840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153</v>
      </c>
      <c r="B72" s="6" t="s">
        <v>154</v>
      </c>
      <c r="C72" s="6" t="s">
        <v>21</v>
      </c>
      <c r="D72" s="50" t="n">
        <f aca="false">SUMIFS('Hisob (batafsil)'!$J$5:$J$320,'Hisob (batafsil)'!$K$5:$K$320,$A72)</f>
        <v>1520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1520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155</v>
      </c>
      <c r="B73" s="6" t="s">
        <v>156</v>
      </c>
      <c r="C73" s="6" t="s">
        <v>21</v>
      </c>
      <c r="D73" s="50" t="n">
        <f aca="false">SUMIFS('Hisob (batafsil)'!$J$5:$J$320,'Hisob (batafsil)'!$K$5:$K$320,$A73)</f>
        <v>1000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1000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157</v>
      </c>
      <c r="B74" s="49" t="s">
        <v>158</v>
      </c>
      <c r="C74" s="6" t="s">
        <v>22</v>
      </c>
      <c r="D74" s="50" t="n">
        <f aca="false">SUMIFS('Hisob (batafsil)'!$J$5:$J$320,'Hisob (batafsil)'!$K$5:$K$320,$A74)</f>
        <v>250</v>
      </c>
      <c r="E74" s="51" t="n">
        <v>0</v>
      </c>
      <c r="F74" s="51" t="n">
        <v>0</v>
      </c>
      <c r="G74" s="51" t="n">
        <v>0</v>
      </c>
      <c r="H74" s="51" t="n">
        <v>1</v>
      </c>
      <c r="I74" s="51" t="n">
        <v>0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250</v>
      </c>
      <c r="P74" s="53" t="n">
        <f aca="false">$D74*I74</f>
        <v>0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159</v>
      </c>
      <c r="B75" s="6" t="s">
        <v>11</v>
      </c>
      <c r="C75" s="6" t="s">
        <v>11</v>
      </c>
      <c r="D75" s="50" t="n">
        <f aca="false">SUMIFS('Hisob (batafsil)'!$J$5:$J$320,'Hisob (batafsil)'!$K$5:$K$320,$A75)</f>
        <v>8256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8256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160</v>
      </c>
      <c r="B76" s="6" t="s">
        <v>12</v>
      </c>
      <c r="C76" s="6" t="s">
        <v>12</v>
      </c>
      <c r="D76" s="50" t="n">
        <f aca="false">SUMIFS('Hisob (batafsil)'!$J$5:$J$320,'Hisob (batafsil)'!$K$5:$K$320,$A76)</f>
        <v>2322.6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2322.6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161</v>
      </c>
      <c r="B77" s="6" t="s">
        <v>162</v>
      </c>
      <c r="C77" s="6" t="s">
        <v>13</v>
      </c>
      <c r="D77" s="50" t="n">
        <f aca="false">SUMIFS('Hisob (batafsil)'!$J$5:$J$320,'Hisob (batafsil)'!$K$5:$K$320,$A77)</f>
        <v>2016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2016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163</v>
      </c>
      <c r="B78" s="6" t="s">
        <v>164</v>
      </c>
      <c r="C78" s="6" t="s">
        <v>13</v>
      </c>
      <c r="D78" s="50" t="n">
        <f aca="false">SUMIFS('Hisob (batafsil)'!$J$5:$J$320,'Hisob (batafsil)'!$K$5:$K$320,$A78)</f>
        <v>1008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1008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165</v>
      </c>
      <c r="B79" s="6" t="s">
        <v>166</v>
      </c>
      <c r="C79" s="6" t="s">
        <v>14</v>
      </c>
      <c r="D79" s="50" t="n">
        <f aca="false">SUMIFS('Hisob (batafsil)'!$J$5:$J$320,'Hisob (batafsil)'!$K$5:$K$320,$A79)</f>
        <v>640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640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167</v>
      </c>
      <c r="B80" s="6" t="s">
        <v>168</v>
      </c>
      <c r="C80" s="6" t="s">
        <v>14</v>
      </c>
      <c r="D80" s="50" t="n">
        <f aca="false">SUMIFS('Hisob (batafsil)'!$J$5:$J$320,'Hisob (batafsil)'!$K$5:$K$320,$A80)</f>
        <v>336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336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169</v>
      </c>
      <c r="B81" s="6" t="s">
        <v>170</v>
      </c>
      <c r="C81" s="6" t="s">
        <v>14</v>
      </c>
      <c r="D81" s="50" t="n">
        <f aca="false">SUMIFS('Hisob (batafsil)'!$J$5:$J$320,'Hisob (batafsil)'!$K$5:$K$320,$A81)</f>
        <v>840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840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171</v>
      </c>
      <c r="B82" s="6" t="s">
        <v>172</v>
      </c>
      <c r="C82" s="6" t="s">
        <v>16</v>
      </c>
      <c r="D82" s="50" t="n">
        <f aca="false">SUMIFS('Hisob (batafsil)'!$J$5:$J$320,'Hisob (batafsil)'!$K$5:$K$320,$A82)</f>
        <v>537.81512605042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537.81512605042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173</v>
      </c>
      <c r="B83" s="6" t="s">
        <v>174</v>
      </c>
      <c r="C83" s="6" t="s">
        <v>19</v>
      </c>
      <c r="D83" s="50" t="n">
        <f aca="false">SUMIFS('Hisob (batafsil)'!$J$5:$J$320,'Hisob (batafsil)'!$K$5:$K$320,$A83)</f>
        <v>176.470588235294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176.470588235294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175</v>
      </c>
      <c r="B84" s="6" t="s">
        <v>176</v>
      </c>
      <c r="C84" s="6" t="s">
        <v>19</v>
      </c>
      <c r="D84" s="50" t="n">
        <f aca="false">SUMIFS('Hisob (batafsil)'!$J$5:$J$320,'Hisob (batafsil)'!$K$5:$K$320,$A84)</f>
        <v>302.521008403361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302.521008403361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177</v>
      </c>
      <c r="B85" s="6" t="s">
        <v>178</v>
      </c>
      <c r="C85" s="6" t="s">
        <v>19</v>
      </c>
      <c r="D85" s="50" t="n">
        <f aca="false">SUMIFS('Hisob (batafsil)'!$J$5:$J$320,'Hisob (batafsil)'!$K$5:$K$320,$A85)</f>
        <v>218.487394957983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218.487394957983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179</v>
      </c>
      <c r="B86" s="6" t="s">
        <v>180</v>
      </c>
      <c r="C86" s="6" t="s">
        <v>19</v>
      </c>
      <c r="D86" s="50" t="n">
        <f aca="false">SUMIFS('Hisob (batafsil)'!$J$5:$J$320,'Hisob (batafsil)'!$K$5:$K$320,$A86)</f>
        <v>100.840336134454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100.840336134454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181</v>
      </c>
      <c r="B87" s="6" t="s">
        <v>182</v>
      </c>
      <c r="C87" s="6" t="s">
        <v>19</v>
      </c>
      <c r="D87" s="50" t="n">
        <f aca="false">SUMIFS('Hisob (batafsil)'!$J$5:$J$320,'Hisob (batafsil)'!$K$5:$K$320,$A87)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183</v>
      </c>
      <c r="B88" s="6" t="s">
        <v>184</v>
      </c>
      <c r="C88" s="6" t="s">
        <v>19</v>
      </c>
      <c r="D88" s="50" t="n">
        <f aca="false">SUMIFS('Hisob (batafsil)'!$J$5:$J$320,'Hisob (batafsil)'!$K$5:$K$320,$A88)</f>
        <v>134.453781512605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134.453781512605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185</v>
      </c>
      <c r="B89" s="6" t="s">
        <v>186</v>
      </c>
      <c r="C89" s="6" t="s">
        <v>19</v>
      </c>
      <c r="D89" s="50" t="n">
        <f aca="false">SUMIFS('Hisob (batafsil)'!$J$5:$J$320,'Hisob (batafsil)'!$K$5:$K$320,$A89)</f>
        <v>403.361344537815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403.361344537815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187</v>
      </c>
      <c r="B90" s="6" t="s">
        <v>188</v>
      </c>
      <c r="C90" s="6" t="s">
        <v>22</v>
      </c>
      <c r="D90" s="50" t="n">
        <f aca="false">SUMIFS('Hisob (batafsil)'!$J$5:$J$320,'Hisob (batafsil)'!$K$5:$K$320,$A90)</f>
        <v>500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500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189</v>
      </c>
      <c r="B91" s="6" t="s">
        <v>190</v>
      </c>
      <c r="C91" s="6" t="s">
        <v>22</v>
      </c>
      <c r="D91" s="50" t="n">
        <f aca="false">SUMIFS('Hisob (batafsil)'!$J$5:$J$320,'Hisob (batafsil)'!$K$5:$K$320,$A91)</f>
        <v>500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500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191</v>
      </c>
      <c r="B92" s="49" t="s">
        <v>192</v>
      </c>
      <c r="C92" s="6" t="s">
        <v>22</v>
      </c>
      <c r="D92" s="50" t="n">
        <f aca="false">SUMIFS('Hisob (batafsil)'!$J$5:$J$320,'Hisob (batafsil)'!$K$5:$K$320,$A92)</f>
        <v>450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450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193</v>
      </c>
      <c r="B93" s="49" t="s">
        <v>194</v>
      </c>
      <c r="C93" s="6" t="s">
        <v>22</v>
      </c>
      <c r="D93" s="50" t="n">
        <f aca="false">SUMIFS('Hisob (batafsil)'!$J$5:$J$320,'Hisob (batafsil)'!$K$5:$K$320,$A93)</f>
        <v>60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60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195</v>
      </c>
      <c r="B94" s="49" t="s">
        <v>196</v>
      </c>
      <c r="C94" s="6" t="s">
        <v>22</v>
      </c>
      <c r="D94" s="50" t="n">
        <f aca="false">SUMIFS('Hisob (batafsil)'!$J$5:$J$320,'Hisob (batafsil)'!$K$5:$K$320,$A94)</f>
        <v>600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0</v>
      </c>
      <c r="J94" s="51" t="n">
        <v>1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0</v>
      </c>
      <c r="Q94" s="53" t="n">
        <f aca="false">$D94*J94</f>
        <v>600</v>
      </c>
    </row>
    <row r="95" customFormat="false" ht="15" hidden="false" customHeight="false" outlineLevel="0" collapsed="false">
      <c r="A95" s="24" t="s">
        <v>197</v>
      </c>
      <c r="B95" s="49" t="s">
        <v>198</v>
      </c>
      <c r="C95" s="6" t="s">
        <v>22</v>
      </c>
      <c r="D95" s="50" t="n">
        <f aca="false">SUMIFS('Hisob (batafsil)'!$J$5:$J$320,'Hisob (batafsil)'!$K$5:$K$320,$A95)</f>
        <v>300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0</v>
      </c>
      <c r="J95" s="51" t="n">
        <v>1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0</v>
      </c>
      <c r="Q95" s="53" t="n">
        <f aca="false">$D95*J95</f>
        <v>300</v>
      </c>
    </row>
    <row r="96" customFormat="false" ht="15" hidden="false" customHeight="false" outlineLevel="0" collapsed="false">
      <c r="A96" s="24" t="s">
        <v>199</v>
      </c>
      <c r="B96" s="6" t="s">
        <v>200</v>
      </c>
      <c r="C96" s="6" t="s">
        <v>22</v>
      </c>
      <c r="D96" s="50" t="n">
        <f aca="false">SUMIFS('Hisob (batafsil)'!$J$5:$J$320,'Hisob (batafsil)'!$K$5:$K$320,$A96)</f>
        <v>600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0</v>
      </c>
      <c r="J96" s="51" t="n">
        <v>1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0</v>
      </c>
      <c r="Q96" s="53" t="n">
        <f aca="false">$D96*J96</f>
        <v>600</v>
      </c>
    </row>
    <row r="97" customFormat="false" ht="15" hidden="false" customHeight="false" outlineLevel="0" collapsed="false">
      <c r="A97" s="24" t="s">
        <v>201</v>
      </c>
      <c r="B97" s="49" t="s">
        <v>202</v>
      </c>
      <c r="C97" s="6" t="s">
        <v>22</v>
      </c>
      <c r="D97" s="50" t="n">
        <f aca="false">SUMIFS('Hisob (batafsil)'!$J$5:$J$320,'Hisob (batafsil)'!$K$5:$K$320,$A97)</f>
        <v>450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0</v>
      </c>
      <c r="J97" s="51" t="n">
        <v>1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0</v>
      </c>
      <c r="Q97" s="53" t="n">
        <f aca="false">$D97*J97</f>
        <v>450</v>
      </c>
    </row>
    <row r="98" customFormat="false" ht="15" hidden="false" customHeight="false" outlineLevel="0" collapsed="false">
      <c r="A98" s="24" t="s">
        <v>203</v>
      </c>
      <c r="B98" s="49" t="s">
        <v>204</v>
      </c>
      <c r="C98" s="6" t="s">
        <v>22</v>
      </c>
      <c r="D98" s="50" t="n">
        <f aca="false">SUMIFS('Hisob (batafsil)'!$J$5:$J$320,'Hisob (batafsil)'!$K$5:$K$320,$A98)</f>
        <v>500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500</v>
      </c>
    </row>
    <row r="99" customFormat="false" ht="15" hidden="false" customHeight="false" outlineLevel="0" collapsed="false">
      <c r="A99" s="24" t="s">
        <v>205</v>
      </c>
      <c r="B99" s="49" t="s">
        <v>206</v>
      </c>
      <c r="C99" s="6" t="s">
        <v>22</v>
      </c>
      <c r="D99" s="50" t="n">
        <f aca="false">SUMIFS('Hisob (batafsil)'!$J$5:$J$320,'Hisob (batafsil)'!$K$5:$K$320,$A99)</f>
        <v>300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0</v>
      </c>
      <c r="J99" s="51" t="n">
        <v>1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0</v>
      </c>
      <c r="Q99" s="53" t="n">
        <f aca="false">$D99*J99</f>
        <v>300</v>
      </c>
    </row>
    <row r="100" customFormat="false" ht="15" hidden="false" customHeight="false" outlineLevel="0" collapsed="false">
      <c r="A100" s="24" t="s">
        <v>207</v>
      </c>
      <c r="B100" s="49" t="s">
        <v>208</v>
      </c>
      <c r="C100" s="6" t="s">
        <v>22</v>
      </c>
      <c r="D100" s="50" t="n">
        <f aca="false">SUMIFS('Hisob (batafsil)'!$J$5:$J$320,'Hisob (batafsil)'!$K$5:$K$320,$A100)</f>
        <v>100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0</v>
      </c>
      <c r="J100" s="51" t="n">
        <v>1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0</v>
      </c>
      <c r="Q100" s="53" t="n">
        <f aca="false">$D100*J100</f>
        <v>100</v>
      </c>
    </row>
    <row r="101" customFormat="false" ht="15" hidden="false" customHeight="false" outlineLevel="0" collapsed="false">
      <c r="A101" s="24" t="s">
        <v>209</v>
      </c>
      <c r="B101" s="49" t="s">
        <v>210</v>
      </c>
      <c r="C101" s="6" t="s">
        <v>23</v>
      </c>
      <c r="D101" s="50" t="n">
        <f aca="false">SUMIFS('Hisob (batafsil)'!$J$5:$J$320,'Hisob (batafsil)'!$K$5:$K$320,$A101)</f>
        <v>120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0</v>
      </c>
      <c r="J101" s="51" t="n">
        <v>1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0</v>
      </c>
      <c r="Q101" s="53" t="n">
        <f aca="false">$D101*J101</f>
        <v>120</v>
      </c>
    </row>
    <row r="102" customFormat="false" ht="15" hidden="false" customHeight="false" outlineLevel="0" collapsed="false">
      <c r="A102" s="24" t="s">
        <v>211</v>
      </c>
      <c r="B102" s="49" t="s">
        <v>212</v>
      </c>
      <c r="C102" s="6" t="s">
        <v>23</v>
      </c>
      <c r="D102" s="50" t="n">
        <f aca="false">SUMIFS('Hisob (batafsil)'!$J$5:$J$320,'Hisob (batafsil)'!$K$5:$K$320,$A102)</f>
        <v>250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0</v>
      </c>
      <c r="J102" s="51" t="n">
        <v>1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0</v>
      </c>
      <c r="Q102" s="53" t="n">
        <f aca="false">$D102*J102</f>
        <v>250</v>
      </c>
    </row>
    <row r="103" customFormat="false" ht="15" hidden="false" customHeight="false" outlineLevel="0" collapsed="false">
      <c r="A103" s="11"/>
      <c r="B103" s="11" t="s">
        <v>24</v>
      </c>
      <c r="C103" s="11"/>
      <c r="D103" s="41" t="n">
        <f aca="false">SUM(D41:D102)</f>
        <v>78373.9560084034</v>
      </c>
      <c r="E103" s="11"/>
      <c r="F103" s="11"/>
      <c r="G103" s="11"/>
      <c r="H103" s="11"/>
      <c r="I103" s="11"/>
      <c r="J103" s="11"/>
      <c r="K103" s="11"/>
      <c r="L103" s="41" t="n">
        <f aca="false">SUM(L41:L102)</f>
        <v>7872.94117647059</v>
      </c>
      <c r="M103" s="41" t="n">
        <f aca="false">SUM(M41:M102)</f>
        <v>340.546218487395</v>
      </c>
      <c r="N103" s="41" t="n">
        <f aca="false">SUM(N41:N102)</f>
        <v>11869.7008403361</v>
      </c>
      <c r="O103" s="41" t="n">
        <f aca="false">SUM(O41:O102)</f>
        <v>25733.9324789916</v>
      </c>
      <c r="P103" s="41" t="n">
        <f aca="false">SUM(P41:P102)</f>
        <v>23816.8352941176</v>
      </c>
      <c r="Q103" s="41" t="n">
        <f aca="false">SUM(Q41:Q102)</f>
        <v>8740</v>
      </c>
    </row>
    <row r="104" customFormat="false" ht="15" hidden="false" customHeight="false" outlineLevel="0" collapsed="false">
      <c r="B104" s="2" t="s">
        <v>213</v>
      </c>
      <c r="D104" s="27" t="n">
        <f aca="false">D103-Yakuniy!$C$22</f>
        <v>0</v>
      </c>
    </row>
    <row r="106" customFormat="false" ht="15" hidden="false" customHeight="false" outlineLevel="0" collapsed="false">
      <c r="A106" s="2" t="s">
        <v>214</v>
      </c>
    </row>
    <row r="107" customFormat="false" ht="15" hidden="false" customHeight="false" outlineLevel="0" collapsed="false">
      <c r="A107" s="2" t="s">
        <v>215</v>
      </c>
    </row>
    <row r="108" customFormat="false" ht="15" hidden="false" customHeight="false" outlineLevel="0" collapsed="false">
      <c r="A108" s="2" t="s">
        <v>216</v>
      </c>
    </row>
    <row r="109" customFormat="false" ht="15" hidden="false" customHeight="false" outlineLevel="0" collapsed="false">
      <c r="A109" s="2" t="s">
        <v>217</v>
      </c>
    </row>
    <row r="110" customFormat="false" ht="15" hidden="false" customHeight="false" outlineLevel="0" collapsed="false">
      <c r="A110" s="2" t="s">
        <v>218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02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31.5" hidden="false" customHeight="true" outlineLevel="0" collapsed="false">
      <c r="A4" s="4" t="s">
        <v>221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  <c r="J4" s="4" t="s">
        <v>230</v>
      </c>
      <c r="K4" s="4" t="s">
        <v>231</v>
      </c>
      <c r="L4" s="4" t="s">
        <v>232</v>
      </c>
      <c r="M4" s="4" t="s">
        <v>233</v>
      </c>
      <c r="N4" s="4" t="s">
        <v>234</v>
      </c>
      <c r="O4" s="4" t="s">
        <v>235</v>
      </c>
      <c r="P4" s="4" t="s">
        <v>236</v>
      </c>
      <c r="Q4" s="4" t="s">
        <v>237</v>
      </c>
      <c r="R4" s="4" t="s">
        <v>238</v>
      </c>
      <c r="S4" s="4" t="s">
        <v>239</v>
      </c>
      <c r="T4" s="4" t="s">
        <v>240</v>
      </c>
      <c r="U4" s="4" t="s">
        <v>241</v>
      </c>
      <c r="V4" s="4" t="s">
        <v>242</v>
      </c>
      <c r="W4" s="4" t="s">
        <v>50</v>
      </c>
    </row>
    <row r="5" customFormat="false" ht="15" hidden="false" customHeight="false" outlineLevel="0" collapsed="false">
      <c r="A5" s="54" t="s">
        <v>29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</row>
    <row r="6" customFormat="false" ht="15" hidden="false" customHeight="false" outlineLevel="0" collapsed="false">
      <c r="A6" s="6" t="s">
        <v>243</v>
      </c>
      <c r="B6" s="56" t="n">
        <f aca="false">SUMIFS('Hisob (batafsil)'!$G$5:$G$320,'Hisob (batafsil)'!$B$5:$B$320,$A6,'Hisob (batafsil)'!$C$5:$C$320,"Shisha devor")</f>
        <v>0</v>
      </c>
      <c r="C6" s="50" t="n">
        <f aca="false">SUMIFS('Hisob (batafsil)'!$J$5:$J$320,'Hisob (batafsil)'!$B$5:$B$320,$A6,'Hisob (batafsil)'!$C$5:$C$320,"Shisha devor")</f>
        <v>0</v>
      </c>
      <c r="D6" s="56" t="n">
        <f aca="false">SUMIFS('Hisob (batafsil)'!$G$5:$G$320,'Hisob (batafsil)'!$B$5:$B$320,$A6,'Hisob (batafsil)'!$C$5:$C$320,"Gips karton (GKL)")</f>
        <v>0</v>
      </c>
      <c r="E6" s="50" t="n">
        <f aca="false">SUMIFS('Hisob (batafsil)'!$J$5:$J$320,'Hisob (batafsil)'!$B$5:$B$320,$A6,'Hisob (batafsil)'!$C$5:$C$320,"Gips karton (GKL)")</f>
        <v>0</v>
      </c>
      <c r="F6" s="56" t="n">
        <f aca="false">SUMIFS('Hisob (batafsil)'!$G$5:$G$320,'Hisob (batafsil)'!$B$5:$B$320,$A6,'Hisob (batafsil)'!$C$5:$C$320,"Bambuk panel")</f>
        <v>0</v>
      </c>
      <c r="G6" s="50" t="n">
        <f aca="false">SUMIFS('Hisob (batafsil)'!$J$5:$J$320,'Hisob (batafsil)'!$B$5:$B$320,$A6,'Hisob (batafsil)'!$C$5:$C$320,"Bambuk panel")</f>
        <v>0</v>
      </c>
      <c r="H6" s="57" t="n">
        <f aca="false">SUMIFS('Hisob (batafsil)'!$G$5:$G$320,'Hisob (batafsil)'!$B$5:$B$320,$A6,'Hisob (batafsil)'!$C$5:$C$320,"Interaktiv doska")</f>
        <v>0</v>
      </c>
      <c r="I6" s="50" t="n">
        <f aca="false">SUMIFS('Hisob (batafsil)'!$J$5:$J$320,'Hisob (batafsil)'!$B$5:$B$320,$A6,'Hisob (batafsil)'!$C$5:$C$320,"Interaktiv doska")</f>
        <v>0</v>
      </c>
      <c r="J6" s="56" t="n">
        <f aca="false">SUMIFS('Hisob (batafsil)'!$G$5:$G$320,'Hisob (batafsil)'!$B$5:$B$320,$A6,'Hisob (batafsil)'!$C$5:$C$320,"Perila")</f>
        <v>0</v>
      </c>
      <c r="K6" s="50" t="n">
        <f aca="false">SUMIFS('Hisob (batafsil)'!$J$5:$J$320,'Hisob (batafsil)'!$B$5:$B$320,$A6,'Hisob (batafsil)'!$C$5:$C$320,"Perila")</f>
        <v>0</v>
      </c>
      <c r="L6" s="50" t="n">
        <f aca="false">SUMIFS('Hisob (batafsil)'!$J$5:$J$320,'Hisob (batafsil)'!$B$5:$B$320,$A6,'Hisob (batafsil)'!$C$5:$C$320,"Yoritish")</f>
        <v>0</v>
      </c>
      <c r="M6" s="50" t="n">
        <f aca="false">SUMIFS('Hisob (batafsil)'!$J$5:$J$320,'Hisob (batafsil)'!$B$5:$B$320,$A6,'Hisob (batafsil)'!$C$5:$C$320,"Kamera tizimi")</f>
        <v>0</v>
      </c>
      <c r="N6" s="50" t="n">
        <f aca="false">SUMIFS('Hisob (batafsil)'!$J$5:$J$320,'Hisob (batafsil)'!$B$5:$B$320,$A6,'Hisob (batafsil)'!$C$5:$C$320,"Logotip")</f>
        <v>750</v>
      </c>
      <c r="O6" s="50" t="n">
        <f aca="false">SUMIFS('Hisob (batafsil)'!$J$5:$J$320,'Hisob (batafsil)'!$B$5:$B$320,$A6,'Hisob (batafsil)'!$C$5:$C$320,"Matli plyonka")</f>
        <v>0</v>
      </c>
      <c r="P6" s="50" t="n">
        <f aca="false">SUMIFS('Hisob (batafsil)'!$J$5:$J$320,'Hisob (batafsil)'!$B$5:$B$320,$A6,'Hisob (batafsil)'!$C$5:$C$320,"Yong'in xavfsizligi")</f>
        <v>0</v>
      </c>
      <c r="Q6" s="50" t="n">
        <f aca="false">SUMIFS('Hisob (batafsil)'!$J$5:$J$320,'Hisob (batafsil)'!$B$5:$B$320,$A6,'Hisob (batafsil)'!$C$5:$C$320,"Buzish ishlari")</f>
        <v>0</v>
      </c>
      <c r="R6" s="50" t="n">
        <f aca="false">SUMIFS('Hisob (batafsil)'!$J$5:$J$320,'Hisob (batafsil)'!$B$5:$B$320,$A6,'Hisob (batafsil)'!$C$5:$C$320,"Santexnika")</f>
        <v>0</v>
      </c>
      <c r="S6" s="50" t="n">
        <f aca="false">SUMIFS('Hisob (batafsil)'!$J$5:$J$320,'Hisob (batafsil)'!$B$5:$B$320,$A6,'Hisob (batafsil)'!$C$5:$C$320,"Kafel")</f>
        <v>0</v>
      </c>
      <c r="T6" s="50" t="n">
        <f aca="false">SUMIFS('Hisob (batafsil)'!$J$5:$J$320,'Hisob (batafsil)'!$B$5:$B$320,$A6,'Hisob (batafsil)'!$C$5:$C$320,"Konditsioner va ventilyatsiya")</f>
        <v>0</v>
      </c>
      <c r="U6" s="50" t="n">
        <f aca="false">SUMIFS('Hisob (batafsil)'!$J$5:$J$320,'Hisob (batafsil)'!$B$5:$B$320,$A6,'Hisob (batafsil)'!$C$5:$C$320,"Mebel va interyer")</f>
        <v>2680</v>
      </c>
      <c r="V6" s="50" t="n">
        <f aca="false">SUMIFS('Hisob (batafsil)'!$J$5:$J$320,'Hisob (batafsil)'!$B$5:$B$320,$A6,'Hisob (batafsil)'!$C$5:$C$320,"E'lon va e'tirof doskalari")</f>
        <v>0</v>
      </c>
      <c r="W6" s="58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244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3430</v>
      </c>
    </row>
    <row r="9" customFormat="false" ht="15" hidden="false" customHeight="false" outlineLevel="0" collapsed="false">
      <c r="A9" s="54" t="s">
        <v>30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 customFormat="false" ht="15" hidden="false" customHeight="false" outlineLevel="0" collapsed="false">
      <c r="A10" s="6" t="s">
        <v>245</v>
      </c>
      <c r="B10" s="56" t="n">
        <f aca="false">SUMIFS('Hisob (batafsil)'!$G$5:$G$320,'Hisob (batafsil)'!$B$5:$B$320,$A10,'Hisob (batafsil)'!$C$5:$C$320,"Shisha devor")</f>
        <v>13.75</v>
      </c>
      <c r="C10" s="50" t="n">
        <f aca="false">SUMIFS('Hisob (batafsil)'!$J$5:$J$320,'Hisob (batafsil)'!$B$5:$B$320,$A10,'Hisob (batafsil)'!$C$5:$C$320,"Shisha devor")</f>
        <v>756.25</v>
      </c>
      <c r="D10" s="56" t="n">
        <f aca="false">SUMIFS('Hisob (batafsil)'!$G$5:$G$320,'Hisob (batafsil)'!$B$5:$B$320,$A10,'Hisob (batafsil)'!$C$5:$C$320,"Gips karton (GKL)")</f>
        <v>7.25</v>
      </c>
      <c r="E10" s="50" t="n">
        <f aca="false">SUMIFS('Hisob (batafsil)'!$J$5:$J$320,'Hisob (batafsil)'!$B$5:$B$320,$A10,'Hisob (batafsil)'!$C$5:$C$320,"Gips karton (GKL)")</f>
        <v>87</v>
      </c>
      <c r="F10" s="56" t="n">
        <f aca="false">SUMIFS('Hisob (batafsil)'!$G$5:$G$320,'Hisob (batafsil)'!$B$5:$B$320,$A10,'Hisob (batafsil)'!$C$5:$C$320,"Bambuk panel")</f>
        <v>53.9</v>
      </c>
      <c r="G10" s="50" t="n">
        <f aca="false">SUMIFS('Hisob (batafsil)'!$J$5:$J$320,'Hisob (batafsil)'!$B$5:$B$320,$A10,'Hisob (batafsil)'!$C$5:$C$320,"Bambuk panel")</f>
        <v>835.45</v>
      </c>
      <c r="H10" s="57" t="n">
        <f aca="false">SUMIFS('Hisob (batafsil)'!$G$5:$G$320,'Hisob (batafsil)'!$B$5:$B$320,$A10,'Hisob (batafsil)'!$C$5:$C$320,"Interaktiv doska")</f>
        <v>1</v>
      </c>
      <c r="I10" s="50" t="n">
        <f aca="false">SUMIFS('Hisob (batafsil)'!$J$5:$J$320,'Hisob (batafsil)'!$B$5:$B$320,$A10,'Hisob (batafsil)'!$C$5:$C$320,"Interaktiv doska")</f>
        <v>1032</v>
      </c>
      <c r="J10" s="56" t="n">
        <f aca="false">SUMIFS('Hisob (batafsil)'!$G$5:$G$320,'Hisob (batafsil)'!$B$5:$B$320,$A10,'Hisob (batafsil)'!$C$5:$C$320,"Perila")</f>
        <v>0</v>
      </c>
      <c r="K10" s="50" t="n">
        <f aca="false">SUMIFS('Hisob (batafsil)'!$J$5:$J$320,'Hisob (batafsil)'!$B$5:$B$320,$A10,'Hisob (batafsil)'!$C$5:$C$320,"Perila")</f>
        <v>0</v>
      </c>
      <c r="L10" s="50" t="n">
        <f aca="false">SUMIFS('Hisob (batafsil)'!$J$5:$J$320,'Hisob (batafsil)'!$B$5:$B$320,$A10,'Hisob (batafsil)'!$C$5:$C$320,"Yoritish")</f>
        <v>168</v>
      </c>
      <c r="M10" s="50" t="n">
        <f aca="false">SUMIFS('Hisob (batafsil)'!$J$5:$J$320,'Hisob (batafsil)'!$B$5:$B$320,$A10,'Hisob (batafsil)'!$C$5:$C$320,"Kamera tizimi")</f>
        <v>0</v>
      </c>
      <c r="N10" s="50" t="n">
        <f aca="false">SUMIFS('Hisob (batafsil)'!$J$5:$J$320,'Hisob (batafsil)'!$B$5:$B$320,$A10,'Hisob (batafsil)'!$C$5:$C$320,"Logotip")</f>
        <v>0</v>
      </c>
      <c r="O10" s="50" t="n">
        <f aca="false">SUMIFS('Hisob (batafsil)'!$J$5:$J$320,'Hisob (batafsil)'!$B$5:$B$320,$A10,'Hisob (batafsil)'!$C$5:$C$320,"Matli plyonka")</f>
        <v>0</v>
      </c>
      <c r="P10" s="50" t="n">
        <f aca="false">SUMIFS('Hisob (batafsil)'!$J$5:$J$320,'Hisob (batafsil)'!$B$5:$B$320,$A10,'Hisob (batafsil)'!$C$5:$C$320,"Yong'in xavfsizligi")</f>
        <v>0</v>
      </c>
      <c r="Q10" s="50" t="n">
        <f aca="false">SUMIFS('Hisob (batafsil)'!$J$5:$J$320,'Hisob (batafsil)'!$B$5:$B$320,$A10,'Hisob (batafsil)'!$C$5:$C$320,"Buzish ishlari")</f>
        <v>0</v>
      </c>
      <c r="R10" s="50" t="n">
        <f aca="false">SUMIFS('Hisob (batafsil)'!$J$5:$J$320,'Hisob (batafsil)'!$B$5:$B$320,$A10,'Hisob (batafsil)'!$C$5:$C$320,"Santexnika")</f>
        <v>0</v>
      </c>
      <c r="S10" s="50" t="n">
        <f aca="false">SUMIFS('Hisob (batafsil)'!$J$5:$J$320,'Hisob (batafsil)'!$B$5:$B$320,$A10,'Hisob (batafsil)'!$C$5:$C$320,"Kafel")</f>
        <v>0</v>
      </c>
      <c r="T10" s="50" t="n">
        <f aca="false">SUMIFS('Hisob (batafsil)'!$J$5:$J$320,'Hisob (batafsil)'!$B$5:$B$320,$A10,'Hisob (batafsil)'!$C$5:$C$320,"Konditsioner va ventilyatsiya")</f>
        <v>1120</v>
      </c>
      <c r="U10" s="50" t="n">
        <f aca="false">SUMIFS('Hisob (batafsil)'!$J$5:$J$320,'Hisob (batafsil)'!$B$5:$B$320,$A10,'Hisob (batafsil)'!$C$5:$C$320,"Mebel va interyer")</f>
        <v>0</v>
      </c>
      <c r="V10" s="50" t="n">
        <f aca="false">SUMIFS('Hisob (batafsil)'!$J$5:$J$320,'Hisob (batafsil)'!$B$5:$B$320,$A10,'Hisob (batafsil)'!$C$5:$C$320,"E'lon va e'tirof doskalari")</f>
        <v>0</v>
      </c>
      <c r="W10" s="58" t="n">
        <f aca="false">C10+E10+G10+I10+K10+L10+M10+N10+O10+P10+Q10+R10+S10+T10+U10+V10</f>
        <v>3998.7</v>
      </c>
    </row>
    <row r="11" customFormat="false" ht="15" hidden="false" customHeight="false" outlineLevel="0" collapsed="false">
      <c r="A11" s="6" t="s">
        <v>246</v>
      </c>
      <c r="B11" s="56" t="n">
        <f aca="false">SUMIFS('Hisob (batafsil)'!$G$5:$G$320,'Hisob (batafsil)'!$B$5:$B$320,$A11,'Hisob (batafsil)'!$C$5:$C$320,"Shisha devor")</f>
        <v>14</v>
      </c>
      <c r="C11" s="50" t="n">
        <f aca="false">SUMIFS('Hisob (batafsil)'!$J$5:$J$320,'Hisob (batafsil)'!$B$5:$B$320,$A11,'Hisob (batafsil)'!$C$5:$C$320,"Shisha devor")</f>
        <v>770</v>
      </c>
      <c r="D11" s="56" t="n">
        <f aca="false">SUMIFS('Hisob (batafsil)'!$G$5:$G$320,'Hisob (batafsil)'!$B$5:$B$320,$A11,'Hisob (batafsil)'!$C$5:$C$320,"Gips karton (GKL)")</f>
        <v>6.3</v>
      </c>
      <c r="E11" s="50" t="n">
        <f aca="false">SUMIFS('Hisob (batafsil)'!$J$5:$J$320,'Hisob (batafsil)'!$B$5:$B$320,$A11,'Hisob (batafsil)'!$C$5:$C$320,"Gips karton (GKL)")</f>
        <v>75.6</v>
      </c>
      <c r="F11" s="56" t="n">
        <f aca="false">SUMIFS('Hisob (batafsil)'!$G$5:$G$320,'Hisob (batafsil)'!$B$5:$B$320,$A11,'Hisob (batafsil)'!$C$5:$C$320,"Bambuk panel")</f>
        <v>53.9</v>
      </c>
      <c r="G11" s="50" t="n">
        <f aca="false">SUMIFS('Hisob (batafsil)'!$J$5:$J$320,'Hisob (batafsil)'!$B$5:$B$320,$A11,'Hisob (batafsil)'!$C$5:$C$320,"Bambuk panel")</f>
        <v>835.45</v>
      </c>
      <c r="H11" s="57" t="n">
        <f aca="false">SUMIFS('Hisob (batafsil)'!$G$5:$G$320,'Hisob (batafsil)'!$B$5:$B$320,$A11,'Hisob (batafsil)'!$C$5:$C$320,"Interaktiv doska")</f>
        <v>1</v>
      </c>
      <c r="I11" s="50" t="n">
        <f aca="false">SUMIFS('Hisob (batafsil)'!$J$5:$J$320,'Hisob (batafsil)'!$B$5:$B$320,$A11,'Hisob (batafsil)'!$C$5:$C$320,"Interaktiv doska")</f>
        <v>1032</v>
      </c>
      <c r="J11" s="56" t="n">
        <f aca="false">SUMIFS('Hisob (batafsil)'!$G$5:$G$320,'Hisob (batafsil)'!$B$5:$B$320,$A11,'Hisob (batafsil)'!$C$5:$C$320,"Perila")</f>
        <v>0</v>
      </c>
      <c r="K11" s="50" t="n">
        <f aca="false">SUMIFS('Hisob (batafsil)'!$J$5:$J$320,'Hisob (batafsil)'!$B$5:$B$320,$A11,'Hisob (batafsil)'!$C$5:$C$320,"Perila")</f>
        <v>0</v>
      </c>
      <c r="L11" s="50" t="n">
        <f aca="false">SUMIFS('Hisob (batafsil)'!$J$5:$J$320,'Hisob (batafsil)'!$B$5:$B$320,$A11,'Hisob (batafsil)'!$C$5:$C$320,"Yoritish")</f>
        <v>168</v>
      </c>
      <c r="M11" s="50" t="n">
        <f aca="false">SUMIFS('Hisob (batafsil)'!$J$5:$J$320,'Hisob (batafsil)'!$B$5:$B$320,$A11,'Hisob (batafsil)'!$C$5:$C$320,"Kamera tizimi")</f>
        <v>0</v>
      </c>
      <c r="N11" s="50" t="n">
        <f aca="false">SUMIFS('Hisob (batafsil)'!$J$5:$J$320,'Hisob (batafsil)'!$B$5:$B$320,$A11,'Hisob (batafsil)'!$C$5:$C$320,"Logotip")</f>
        <v>0</v>
      </c>
      <c r="O11" s="50" t="n">
        <f aca="false">SUMIFS('Hisob (batafsil)'!$J$5:$J$320,'Hisob (batafsil)'!$B$5:$B$320,$A11,'Hisob (batafsil)'!$C$5:$C$320,"Matli plyonka")</f>
        <v>0</v>
      </c>
      <c r="P11" s="50" t="n">
        <f aca="false">SUMIFS('Hisob (batafsil)'!$J$5:$J$320,'Hisob (batafsil)'!$B$5:$B$320,$A11,'Hisob (batafsil)'!$C$5:$C$320,"Yong'in xavfsizligi")</f>
        <v>0</v>
      </c>
      <c r="Q11" s="50" t="n">
        <f aca="false">SUMIFS('Hisob (batafsil)'!$J$5:$J$320,'Hisob (batafsil)'!$B$5:$B$320,$A11,'Hisob (batafsil)'!$C$5:$C$320,"Buzish ishlari")</f>
        <v>0</v>
      </c>
      <c r="R11" s="50" t="n">
        <f aca="false">SUMIFS('Hisob (batafsil)'!$J$5:$J$320,'Hisob (batafsil)'!$B$5:$B$320,$A11,'Hisob (batafsil)'!$C$5:$C$320,"Santexnika")</f>
        <v>0</v>
      </c>
      <c r="S11" s="50" t="n">
        <f aca="false">SUMIFS('Hisob (batafsil)'!$J$5:$J$320,'Hisob (batafsil)'!$B$5:$B$320,$A11,'Hisob (batafsil)'!$C$5:$C$320,"Kafel")</f>
        <v>0</v>
      </c>
      <c r="T11" s="50" t="n">
        <f aca="false">SUMIFS('Hisob (batafsil)'!$J$5:$J$320,'Hisob (batafsil)'!$B$5:$B$320,$A11,'Hisob (batafsil)'!$C$5:$C$320,"Konditsioner va ventilyatsiya")</f>
        <v>1120</v>
      </c>
      <c r="U11" s="50" t="n">
        <f aca="false">SUMIFS('Hisob (batafsil)'!$J$5:$J$320,'Hisob (batafsil)'!$B$5:$B$320,$A11,'Hisob (batafsil)'!$C$5:$C$320,"Mebel va interyer")</f>
        <v>0</v>
      </c>
      <c r="V11" s="50" t="n">
        <f aca="false">SUMIFS('Hisob (batafsil)'!$J$5:$J$320,'Hisob (batafsil)'!$B$5:$B$320,$A11,'Hisob (batafsil)'!$C$5:$C$320,"E'lon va e'tirof doskalari")</f>
        <v>0</v>
      </c>
      <c r="W11" s="58" t="n">
        <f aca="false">C11+E11+G11+I11+K11+L11+M11+N11+O11+P11+Q11+R11+S11+T11+U11+V11</f>
        <v>4001.05</v>
      </c>
    </row>
    <row r="12" customFormat="false" ht="15" hidden="false" customHeight="false" outlineLevel="0" collapsed="false">
      <c r="A12" s="6" t="s">
        <v>247</v>
      </c>
      <c r="B12" s="56" t="n">
        <f aca="false">SUMIFS('Hisob (batafsil)'!$G$5:$G$320,'Hisob (batafsil)'!$B$5:$B$320,$A12,'Hisob (batafsil)'!$C$5:$C$320,"Shisha devor")</f>
        <v>2.25</v>
      </c>
      <c r="C12" s="50" t="n">
        <f aca="false">SUMIFS('Hisob (batafsil)'!$J$5:$J$320,'Hisob (batafsil)'!$B$5:$B$320,$A12,'Hisob (batafsil)'!$C$5:$C$320,"Shisha devor")</f>
        <v>123.75</v>
      </c>
      <c r="D12" s="56" t="n">
        <f aca="false">SUMIFS('Hisob (batafsil)'!$G$5:$G$320,'Hisob (batafsil)'!$B$5:$B$320,$A12,'Hisob (batafsil)'!$C$5:$C$320,"Gips karton (GKL)")</f>
        <v>17.875</v>
      </c>
      <c r="E12" s="50" t="n">
        <f aca="false">SUMIFS('Hisob (batafsil)'!$J$5:$J$320,'Hisob (batafsil)'!$B$5:$B$320,$A12,'Hisob (batafsil)'!$C$5:$C$320,"Gips karton (GKL)")</f>
        <v>214.5</v>
      </c>
      <c r="F12" s="56" t="n">
        <f aca="false">SUMIFS('Hisob (batafsil)'!$G$5:$G$320,'Hisob (batafsil)'!$B$5:$B$320,$A12,'Hisob (batafsil)'!$C$5:$C$320,"Bambuk panel")</f>
        <v>53.9</v>
      </c>
      <c r="G12" s="50" t="n">
        <f aca="false">SUMIFS('Hisob (batafsil)'!$J$5:$J$320,'Hisob (batafsil)'!$B$5:$B$320,$A12,'Hisob (batafsil)'!$C$5:$C$320,"Bambuk panel")</f>
        <v>835.45</v>
      </c>
      <c r="H12" s="57" t="n">
        <f aca="false">SUMIFS('Hisob (batafsil)'!$G$5:$G$320,'Hisob (batafsil)'!$B$5:$B$320,$A12,'Hisob (batafsil)'!$C$5:$C$320,"Interaktiv doska")</f>
        <v>1</v>
      </c>
      <c r="I12" s="50" t="n">
        <f aca="false">SUMIFS('Hisob (batafsil)'!$J$5:$J$320,'Hisob (batafsil)'!$B$5:$B$320,$A12,'Hisob (batafsil)'!$C$5:$C$320,"Interaktiv doska")</f>
        <v>1032</v>
      </c>
      <c r="J12" s="56" t="n">
        <f aca="false">SUMIFS('Hisob (batafsil)'!$G$5:$G$320,'Hisob (batafsil)'!$B$5:$B$320,$A12,'Hisob (batafsil)'!$C$5:$C$320,"Perila")</f>
        <v>0</v>
      </c>
      <c r="K12" s="50" t="n">
        <f aca="false">SUMIFS('Hisob (batafsil)'!$J$5:$J$320,'Hisob (batafsil)'!$B$5:$B$320,$A12,'Hisob (batafsil)'!$C$5:$C$320,"Perila")</f>
        <v>0</v>
      </c>
      <c r="L12" s="50" t="n">
        <f aca="false">SUMIFS('Hisob (batafsil)'!$J$5:$J$320,'Hisob (batafsil)'!$B$5:$B$320,$A12,'Hisob (batafsil)'!$C$5:$C$320,"Yoritish")</f>
        <v>168</v>
      </c>
      <c r="M12" s="50" t="n">
        <f aca="false">SUMIFS('Hisob (batafsil)'!$J$5:$J$320,'Hisob (batafsil)'!$B$5:$B$320,$A12,'Hisob (batafsil)'!$C$5:$C$320,"Kamera tizimi")</f>
        <v>0</v>
      </c>
      <c r="N12" s="50" t="n">
        <f aca="false">SUMIFS('Hisob (batafsil)'!$J$5:$J$320,'Hisob (batafsil)'!$B$5:$B$320,$A12,'Hisob (batafsil)'!$C$5:$C$320,"Logotip")</f>
        <v>0</v>
      </c>
      <c r="O12" s="50" t="n">
        <f aca="false">SUMIFS('Hisob (batafsil)'!$J$5:$J$320,'Hisob (batafsil)'!$B$5:$B$320,$A12,'Hisob (batafsil)'!$C$5:$C$320,"Matli plyonka")</f>
        <v>0</v>
      </c>
      <c r="P12" s="50" t="n">
        <f aca="false">SUMIFS('Hisob (batafsil)'!$J$5:$J$320,'Hisob (batafsil)'!$B$5:$B$320,$A12,'Hisob (batafsil)'!$C$5:$C$320,"Yong'in xavfsizligi")</f>
        <v>0</v>
      </c>
      <c r="Q12" s="50" t="n">
        <f aca="false">SUMIFS('Hisob (batafsil)'!$J$5:$J$320,'Hisob (batafsil)'!$B$5:$B$320,$A12,'Hisob (batafsil)'!$C$5:$C$320,"Buzish ishlari")</f>
        <v>0</v>
      </c>
      <c r="R12" s="50" t="n">
        <f aca="false">SUMIFS('Hisob (batafsil)'!$J$5:$J$320,'Hisob (batafsil)'!$B$5:$B$320,$A12,'Hisob (batafsil)'!$C$5:$C$320,"Santexnika")</f>
        <v>0</v>
      </c>
      <c r="S12" s="50" t="n">
        <f aca="false">SUMIFS('Hisob (batafsil)'!$J$5:$J$320,'Hisob (batafsil)'!$B$5:$B$320,$A12,'Hisob (batafsil)'!$C$5:$C$320,"Kafel")</f>
        <v>0</v>
      </c>
      <c r="T12" s="50" t="n">
        <f aca="false">SUMIFS('Hisob (batafsil)'!$J$5:$J$320,'Hisob (batafsil)'!$B$5:$B$320,$A12,'Hisob (batafsil)'!$C$5:$C$320,"Konditsioner va ventilyatsiya")</f>
        <v>1120</v>
      </c>
      <c r="U12" s="50" t="n">
        <f aca="false">SUMIFS('Hisob (batafsil)'!$J$5:$J$320,'Hisob (batafsil)'!$B$5:$B$320,$A12,'Hisob (batafsil)'!$C$5:$C$320,"Mebel va interyer")</f>
        <v>0</v>
      </c>
      <c r="V12" s="50" t="n">
        <f aca="false">SUMIFS('Hisob (batafsil)'!$J$5:$J$320,'Hisob (batafsil)'!$B$5:$B$320,$A12,'Hisob (batafsil)'!$C$5:$C$320,"E'lon va e'tirof doskalari")</f>
        <v>0</v>
      </c>
      <c r="W12" s="58" t="n">
        <f aca="false">C12+E12+G12+I12+K12+L12+M12+N12+O12+P12+Q12+R12+S12+T12+U12+V12</f>
        <v>3493.7</v>
      </c>
    </row>
    <row r="13" customFormat="false" ht="15" hidden="false" customHeight="false" outlineLevel="0" collapsed="false">
      <c r="A13" s="6" t="s">
        <v>248</v>
      </c>
      <c r="B13" s="56" t="n">
        <f aca="false">SUMIFS('Hisob (batafsil)'!$G$5:$G$320,'Hisob (batafsil)'!$B$5:$B$320,$A13,'Hisob (batafsil)'!$C$5:$C$320,"Shisha devor")</f>
        <v>2.25</v>
      </c>
      <c r="C13" s="50" t="n">
        <f aca="false">SUMIFS('Hisob (batafsil)'!$J$5:$J$320,'Hisob (batafsil)'!$B$5:$B$320,$A13,'Hisob (batafsil)'!$C$5:$C$320,"Shisha devor")</f>
        <v>123.75</v>
      </c>
      <c r="D13" s="56" t="n">
        <f aca="false">SUMIFS('Hisob (batafsil)'!$G$5:$G$320,'Hisob (batafsil)'!$B$5:$B$320,$A13,'Hisob (batafsil)'!$C$5:$C$320,"Gips karton (GKL)")</f>
        <v>52</v>
      </c>
      <c r="E13" s="50" t="n">
        <f aca="false">SUMIFS('Hisob (batafsil)'!$J$5:$J$320,'Hisob (batafsil)'!$B$5:$B$320,$A13,'Hisob (batafsil)'!$C$5:$C$320,"Gips karton (GKL)")</f>
        <v>624</v>
      </c>
      <c r="F13" s="56" t="n">
        <f aca="false">SUMIFS('Hisob (batafsil)'!$G$5:$G$320,'Hisob (batafsil)'!$B$5:$B$320,$A13,'Hisob (batafsil)'!$C$5:$C$320,"Bambuk panel")</f>
        <v>50.4</v>
      </c>
      <c r="G13" s="50" t="n">
        <f aca="false">SUMIFS('Hisob (batafsil)'!$J$5:$J$320,'Hisob (batafsil)'!$B$5:$B$320,$A13,'Hisob (batafsil)'!$C$5:$C$320,"Bambuk panel")</f>
        <v>781.2</v>
      </c>
      <c r="H13" s="57" t="n">
        <f aca="false">SUMIFS('Hisob (batafsil)'!$G$5:$G$320,'Hisob (batafsil)'!$B$5:$B$320,$A13,'Hisob (batafsil)'!$C$5:$C$320,"Interaktiv doska")</f>
        <v>1</v>
      </c>
      <c r="I13" s="50" t="n">
        <f aca="false">SUMIFS('Hisob (batafsil)'!$J$5:$J$320,'Hisob (batafsil)'!$B$5:$B$320,$A13,'Hisob (batafsil)'!$C$5:$C$320,"Interaktiv doska")</f>
        <v>1032</v>
      </c>
      <c r="J13" s="56" t="n">
        <f aca="false">SUMIFS('Hisob (batafsil)'!$G$5:$G$320,'Hisob (batafsil)'!$B$5:$B$320,$A13,'Hisob (batafsil)'!$C$5:$C$320,"Perila")</f>
        <v>0</v>
      </c>
      <c r="K13" s="50" t="n">
        <f aca="false">SUMIFS('Hisob (batafsil)'!$J$5:$J$320,'Hisob (batafsil)'!$B$5:$B$320,$A13,'Hisob (batafsil)'!$C$5:$C$320,"Perila")</f>
        <v>0</v>
      </c>
      <c r="L13" s="50" t="n">
        <f aca="false">SUMIFS('Hisob (batafsil)'!$J$5:$J$320,'Hisob (batafsil)'!$B$5:$B$320,$A13,'Hisob (batafsil)'!$C$5:$C$320,"Yoritish")</f>
        <v>168</v>
      </c>
      <c r="M13" s="50" t="n">
        <f aca="false">SUMIFS('Hisob (batafsil)'!$J$5:$J$320,'Hisob (batafsil)'!$B$5:$B$320,$A13,'Hisob (batafsil)'!$C$5:$C$320,"Kamera tizimi")</f>
        <v>0</v>
      </c>
      <c r="N13" s="50" t="n">
        <f aca="false">SUMIFS('Hisob (batafsil)'!$J$5:$J$320,'Hisob (batafsil)'!$B$5:$B$320,$A13,'Hisob (batafsil)'!$C$5:$C$320,"Logotip")</f>
        <v>0</v>
      </c>
      <c r="O13" s="50" t="n">
        <f aca="false">SUMIFS('Hisob (batafsil)'!$J$5:$J$320,'Hisob (batafsil)'!$B$5:$B$320,$A13,'Hisob (batafsil)'!$C$5:$C$320,"Matli plyonka")</f>
        <v>0</v>
      </c>
      <c r="P13" s="50" t="n">
        <f aca="false">SUMIFS('Hisob (batafsil)'!$J$5:$J$320,'Hisob (batafsil)'!$B$5:$B$320,$A13,'Hisob (batafsil)'!$C$5:$C$320,"Yong'in xavfsizligi")</f>
        <v>0</v>
      </c>
      <c r="Q13" s="50" t="n">
        <f aca="false">SUMIFS('Hisob (batafsil)'!$J$5:$J$320,'Hisob (batafsil)'!$B$5:$B$320,$A13,'Hisob (batafsil)'!$C$5:$C$320,"Buzish ishlari")</f>
        <v>0</v>
      </c>
      <c r="R13" s="50" t="n">
        <f aca="false">SUMIFS('Hisob (batafsil)'!$J$5:$J$320,'Hisob (batafsil)'!$B$5:$B$320,$A13,'Hisob (batafsil)'!$C$5:$C$320,"Santexnika")</f>
        <v>0</v>
      </c>
      <c r="S13" s="50" t="n">
        <f aca="false">SUMIFS('Hisob (batafsil)'!$J$5:$J$320,'Hisob (batafsil)'!$B$5:$B$320,$A13,'Hisob (batafsil)'!$C$5:$C$320,"Kafel")</f>
        <v>0</v>
      </c>
      <c r="T13" s="50" t="n">
        <f aca="false">SUMIFS('Hisob (batafsil)'!$J$5:$J$320,'Hisob (batafsil)'!$B$5:$B$320,$A13,'Hisob (batafsil)'!$C$5:$C$320,"Konditsioner va ventilyatsiya")</f>
        <v>1120</v>
      </c>
      <c r="U13" s="50" t="n">
        <f aca="false">SUMIFS('Hisob (batafsil)'!$J$5:$J$320,'Hisob (batafsil)'!$B$5:$B$320,$A13,'Hisob (batafsil)'!$C$5:$C$320,"Mebel va interyer")</f>
        <v>0</v>
      </c>
      <c r="V13" s="50" t="n">
        <f aca="false">SUMIFS('Hisob (batafsil)'!$J$5:$J$320,'Hisob (batafsil)'!$B$5:$B$320,$A13,'Hisob (batafsil)'!$C$5:$C$320,"E'lon va e'tirof doskalari")</f>
        <v>0</v>
      </c>
      <c r="W13" s="58" t="n">
        <f aca="false">C13+E13+G13+I13+K13+L13+M13+N13+O13+P13+Q13+R13+S13+T13+U13+V13</f>
        <v>3848.95</v>
      </c>
    </row>
    <row r="14" customFormat="false" ht="15" hidden="false" customHeight="false" outlineLevel="0" collapsed="false">
      <c r="A14" s="6" t="s">
        <v>249</v>
      </c>
      <c r="B14" s="56" t="n">
        <f aca="false">SUMIFS('Hisob (batafsil)'!$G$5:$G$320,'Hisob (batafsil)'!$B$5:$B$320,$A14,'Hisob (batafsil)'!$C$5:$C$320,"Shisha devor")</f>
        <v>2.25</v>
      </c>
      <c r="C14" s="50" t="n">
        <f aca="false">SUMIFS('Hisob (batafsil)'!$J$5:$J$320,'Hisob (batafsil)'!$B$5:$B$320,$A14,'Hisob (batafsil)'!$C$5:$C$320,"Shisha devor")</f>
        <v>123.75</v>
      </c>
      <c r="D14" s="56" t="n">
        <f aca="false">SUMIFS('Hisob (batafsil)'!$G$5:$G$320,'Hisob (batafsil)'!$B$5:$B$320,$A14,'Hisob (batafsil)'!$C$5:$C$320,"Gips karton (GKL)")</f>
        <v>27.5</v>
      </c>
      <c r="E14" s="50" t="n">
        <f aca="false">SUMIFS('Hisob (batafsil)'!$J$5:$J$320,'Hisob (batafsil)'!$B$5:$B$320,$A14,'Hisob (batafsil)'!$C$5:$C$320,"Gips karton (GKL)")</f>
        <v>330</v>
      </c>
      <c r="F14" s="56" t="n">
        <f aca="false">SUMIFS('Hisob (batafsil)'!$G$5:$G$320,'Hisob (batafsil)'!$B$5:$B$320,$A14,'Hisob (batafsil)'!$C$5:$C$320,"Bambuk panel")</f>
        <v>53.9</v>
      </c>
      <c r="G14" s="50" t="n">
        <f aca="false">SUMIFS('Hisob (batafsil)'!$J$5:$J$320,'Hisob (batafsil)'!$B$5:$B$320,$A14,'Hisob (batafsil)'!$C$5:$C$320,"Bambuk panel")</f>
        <v>835.45</v>
      </c>
      <c r="H14" s="57" t="n">
        <f aca="false">SUMIFS('Hisob (batafsil)'!$G$5:$G$320,'Hisob (batafsil)'!$B$5:$B$320,$A14,'Hisob (batafsil)'!$C$5:$C$320,"Interaktiv doska")</f>
        <v>1</v>
      </c>
      <c r="I14" s="50" t="n">
        <f aca="false">SUMIFS('Hisob (batafsil)'!$J$5:$J$320,'Hisob (batafsil)'!$B$5:$B$320,$A14,'Hisob (batafsil)'!$C$5:$C$320,"Interaktiv doska")</f>
        <v>1032</v>
      </c>
      <c r="J14" s="56" t="n">
        <f aca="false">SUMIFS('Hisob (batafsil)'!$G$5:$G$320,'Hisob (batafsil)'!$B$5:$B$320,$A14,'Hisob (batafsil)'!$C$5:$C$320,"Perila")</f>
        <v>0</v>
      </c>
      <c r="K14" s="50" t="n">
        <f aca="false">SUMIFS('Hisob (batafsil)'!$J$5:$J$320,'Hisob (batafsil)'!$B$5:$B$320,$A14,'Hisob (batafsil)'!$C$5:$C$320,"Perila")</f>
        <v>0</v>
      </c>
      <c r="L14" s="50" t="n">
        <f aca="false">SUMIFS('Hisob (batafsil)'!$J$5:$J$320,'Hisob (batafsil)'!$B$5:$B$320,$A14,'Hisob (batafsil)'!$C$5:$C$320,"Yoritish")</f>
        <v>168</v>
      </c>
      <c r="M14" s="50" t="n">
        <f aca="false">SUMIFS('Hisob (batafsil)'!$J$5:$J$320,'Hisob (batafsil)'!$B$5:$B$320,$A14,'Hisob (batafsil)'!$C$5:$C$320,"Kamera tizimi")</f>
        <v>0</v>
      </c>
      <c r="N14" s="50" t="n">
        <f aca="false">SUMIFS('Hisob (batafsil)'!$J$5:$J$320,'Hisob (batafsil)'!$B$5:$B$320,$A14,'Hisob (batafsil)'!$C$5:$C$320,"Logotip")</f>
        <v>0</v>
      </c>
      <c r="O14" s="50" t="n">
        <f aca="false">SUMIFS('Hisob (batafsil)'!$J$5:$J$320,'Hisob (batafsil)'!$B$5:$B$320,$A14,'Hisob (batafsil)'!$C$5:$C$320,"Matli plyonka")</f>
        <v>0</v>
      </c>
      <c r="P14" s="50" t="n">
        <f aca="false">SUMIFS('Hisob (batafsil)'!$J$5:$J$320,'Hisob (batafsil)'!$B$5:$B$320,$A14,'Hisob (batafsil)'!$C$5:$C$320,"Yong'in xavfsizligi")</f>
        <v>0</v>
      </c>
      <c r="Q14" s="50" t="n">
        <f aca="false">SUMIFS('Hisob (batafsil)'!$J$5:$J$320,'Hisob (batafsil)'!$B$5:$B$320,$A14,'Hisob (batafsil)'!$C$5:$C$320,"Buzish ishlari")</f>
        <v>0</v>
      </c>
      <c r="R14" s="50" t="n">
        <f aca="false">SUMIFS('Hisob (batafsil)'!$J$5:$J$320,'Hisob (batafsil)'!$B$5:$B$320,$A14,'Hisob (batafsil)'!$C$5:$C$320,"Santexnika")</f>
        <v>0</v>
      </c>
      <c r="S14" s="50" t="n">
        <f aca="false">SUMIFS('Hisob (batafsil)'!$J$5:$J$320,'Hisob (batafsil)'!$B$5:$B$320,$A14,'Hisob (batafsil)'!$C$5:$C$320,"Kafel")</f>
        <v>0</v>
      </c>
      <c r="T14" s="50" t="n">
        <f aca="false">SUMIFS('Hisob (batafsil)'!$J$5:$J$320,'Hisob (batafsil)'!$B$5:$B$320,$A14,'Hisob (batafsil)'!$C$5:$C$320,"Konditsioner va ventilyatsiya")</f>
        <v>1120</v>
      </c>
      <c r="U14" s="50" t="n">
        <f aca="false">SUMIFS('Hisob (batafsil)'!$J$5:$J$320,'Hisob (batafsil)'!$B$5:$B$320,$A14,'Hisob (batafsil)'!$C$5:$C$320,"Mebel va interyer")</f>
        <v>0</v>
      </c>
      <c r="V14" s="50" t="n">
        <f aca="false">SUMIFS('Hisob (batafsil)'!$J$5:$J$320,'Hisob (batafsil)'!$B$5:$B$320,$A14,'Hisob (batafsil)'!$C$5:$C$320,"E'lon va e'tirof doskalari")</f>
        <v>0</v>
      </c>
      <c r="W14" s="58" t="n">
        <f aca="false">C14+E14+G14+I14+K14+L14+M14+N14+O14+P14+Q14+R14+S14+T14+U14+V14</f>
        <v>3609.2</v>
      </c>
    </row>
    <row r="15" customFormat="false" ht="15" hidden="false" customHeight="false" outlineLevel="0" collapsed="false">
      <c r="A15" s="6" t="s">
        <v>250</v>
      </c>
      <c r="B15" s="56" t="n">
        <f aca="false">SUMIFS('Hisob (batafsil)'!$G$5:$G$320,'Hisob (batafsil)'!$B$5:$B$320,$A15,'Hisob (batafsil)'!$C$5:$C$320,"Shisha devor")</f>
        <v>14</v>
      </c>
      <c r="C15" s="50" t="n">
        <f aca="false">SUMIFS('Hisob (batafsil)'!$J$5:$J$320,'Hisob (batafsil)'!$B$5:$B$320,$A15,'Hisob (batafsil)'!$C$5:$C$320,"Shisha devor")</f>
        <v>770</v>
      </c>
      <c r="D15" s="56" t="n">
        <f aca="false">SUMIFS('Hisob (batafsil)'!$G$5:$G$320,'Hisob (batafsil)'!$B$5:$B$320,$A15,'Hisob (batafsil)'!$C$5:$C$320,"Gips karton (GKL)")</f>
        <v>25.55</v>
      </c>
      <c r="E15" s="50" t="n">
        <f aca="false">SUMIFS('Hisob (batafsil)'!$J$5:$J$320,'Hisob (batafsil)'!$B$5:$B$320,$A15,'Hisob (batafsil)'!$C$5:$C$320,"Gips karton (GKL)")</f>
        <v>306.6</v>
      </c>
      <c r="F15" s="56" t="n">
        <f aca="false">SUMIFS('Hisob (batafsil)'!$G$5:$G$320,'Hisob (batafsil)'!$B$5:$B$320,$A15,'Hisob (batafsil)'!$C$5:$C$320,"Bambuk panel")</f>
        <v>53.9</v>
      </c>
      <c r="G15" s="50" t="n">
        <f aca="false">SUMIFS('Hisob (batafsil)'!$J$5:$J$320,'Hisob (batafsil)'!$B$5:$B$320,$A15,'Hisob (batafsil)'!$C$5:$C$320,"Bambuk panel")</f>
        <v>835.45</v>
      </c>
      <c r="H15" s="57" t="n">
        <f aca="false">SUMIFS('Hisob (batafsil)'!$G$5:$G$320,'Hisob (batafsil)'!$B$5:$B$320,$A15,'Hisob (batafsil)'!$C$5:$C$320,"Interaktiv doska")</f>
        <v>1</v>
      </c>
      <c r="I15" s="50" t="n">
        <f aca="false">SUMIFS('Hisob (batafsil)'!$J$5:$J$320,'Hisob (batafsil)'!$B$5:$B$320,$A15,'Hisob (batafsil)'!$C$5:$C$320,"Interaktiv doska")</f>
        <v>1032</v>
      </c>
      <c r="J15" s="56" t="n">
        <f aca="false">SUMIFS('Hisob (batafsil)'!$G$5:$G$320,'Hisob (batafsil)'!$B$5:$B$320,$A15,'Hisob (batafsil)'!$C$5:$C$320,"Perila")</f>
        <v>0</v>
      </c>
      <c r="K15" s="50" t="n">
        <f aca="false">SUMIFS('Hisob (batafsil)'!$J$5:$J$320,'Hisob (batafsil)'!$B$5:$B$320,$A15,'Hisob (batafsil)'!$C$5:$C$320,"Perila")</f>
        <v>0</v>
      </c>
      <c r="L15" s="50" t="n">
        <f aca="false">SUMIFS('Hisob (batafsil)'!$J$5:$J$320,'Hisob (batafsil)'!$B$5:$B$320,$A15,'Hisob (batafsil)'!$C$5:$C$320,"Yoritish")</f>
        <v>168</v>
      </c>
      <c r="M15" s="50" t="n">
        <f aca="false">SUMIFS('Hisob (batafsil)'!$J$5:$J$320,'Hisob (batafsil)'!$B$5:$B$320,$A15,'Hisob (batafsil)'!$C$5:$C$320,"Kamera tizimi")</f>
        <v>0</v>
      </c>
      <c r="N15" s="50" t="n">
        <f aca="false">SUMIFS('Hisob (batafsil)'!$J$5:$J$320,'Hisob (batafsil)'!$B$5:$B$320,$A15,'Hisob (batafsil)'!$C$5:$C$320,"Logotip")</f>
        <v>0</v>
      </c>
      <c r="O15" s="50" t="n">
        <f aca="false">SUMIFS('Hisob (batafsil)'!$J$5:$J$320,'Hisob (batafsil)'!$B$5:$B$320,$A15,'Hisob (batafsil)'!$C$5:$C$320,"Matli plyonka")</f>
        <v>0</v>
      </c>
      <c r="P15" s="50" t="n">
        <f aca="false">SUMIFS('Hisob (batafsil)'!$J$5:$J$320,'Hisob (batafsil)'!$B$5:$B$320,$A15,'Hisob (batafsil)'!$C$5:$C$320,"Yong'in xavfsizligi")</f>
        <v>0</v>
      </c>
      <c r="Q15" s="50" t="n">
        <f aca="false">SUMIFS('Hisob (batafsil)'!$J$5:$J$320,'Hisob (batafsil)'!$B$5:$B$320,$A15,'Hisob (batafsil)'!$C$5:$C$320,"Buzish ishlari")</f>
        <v>0</v>
      </c>
      <c r="R15" s="50" t="n">
        <f aca="false">SUMIFS('Hisob (batafsil)'!$J$5:$J$320,'Hisob (batafsil)'!$B$5:$B$320,$A15,'Hisob (batafsil)'!$C$5:$C$320,"Santexnika")</f>
        <v>0</v>
      </c>
      <c r="S15" s="50" t="n">
        <f aca="false">SUMIFS('Hisob (batafsil)'!$J$5:$J$320,'Hisob (batafsil)'!$B$5:$B$320,$A15,'Hisob (batafsil)'!$C$5:$C$320,"Kafel")</f>
        <v>0</v>
      </c>
      <c r="T15" s="50" t="n">
        <f aca="false">SUMIFS('Hisob (batafsil)'!$J$5:$J$320,'Hisob (batafsil)'!$B$5:$B$320,$A15,'Hisob (batafsil)'!$C$5:$C$320,"Konditsioner va ventilyatsiya")</f>
        <v>1120</v>
      </c>
      <c r="U15" s="50" t="n">
        <f aca="false">SUMIFS('Hisob (batafsil)'!$J$5:$J$320,'Hisob (batafsil)'!$B$5:$B$320,$A15,'Hisob (batafsil)'!$C$5:$C$320,"Mebel va interyer")</f>
        <v>0</v>
      </c>
      <c r="V15" s="50" t="n">
        <f aca="false">SUMIFS('Hisob (batafsil)'!$J$5:$J$320,'Hisob (batafsil)'!$B$5:$B$320,$A15,'Hisob (batafsil)'!$C$5:$C$320,"E'lon va e'tirof doskalari")</f>
        <v>0</v>
      </c>
      <c r="W15" s="58" t="n">
        <f aca="false">C15+E15+G15+I15+K15+L15+M15+N15+O15+P15+Q15+R15+S15+T15+U15+V15</f>
        <v>4232.05</v>
      </c>
    </row>
    <row r="16" customFormat="false" ht="15" hidden="false" customHeight="false" outlineLevel="0" collapsed="false">
      <c r="A16" s="6" t="s">
        <v>251</v>
      </c>
      <c r="B16" s="56" t="n">
        <f aca="false">SUMIFS('Hisob (batafsil)'!$G$5:$G$320,'Hisob (batafsil)'!$B$5:$B$320,$A16,'Hisob (batafsil)'!$C$5:$C$320,"Shisha devor")</f>
        <v>14</v>
      </c>
      <c r="C16" s="50" t="n">
        <f aca="false">SUMIFS('Hisob (batafsil)'!$J$5:$J$320,'Hisob (batafsil)'!$B$5:$B$320,$A16,'Hisob (batafsil)'!$C$5:$C$320,"Shisha devor")</f>
        <v>770</v>
      </c>
      <c r="D16" s="56" t="n">
        <f aca="false">SUMIFS('Hisob (batafsil)'!$G$5:$G$320,'Hisob (batafsil)'!$B$5:$B$320,$A16,'Hisob (batafsil)'!$C$5:$C$320,"Gips karton (GKL)")</f>
        <v>30.45</v>
      </c>
      <c r="E16" s="50" t="n">
        <f aca="false">SUMIFS('Hisob (batafsil)'!$J$5:$J$320,'Hisob (batafsil)'!$B$5:$B$320,$A16,'Hisob (batafsil)'!$C$5:$C$320,"Gips karton (GKL)")</f>
        <v>365.4</v>
      </c>
      <c r="F16" s="56" t="n">
        <f aca="false">SUMIFS('Hisob (batafsil)'!$G$5:$G$320,'Hisob (batafsil)'!$B$5:$B$320,$A16,'Hisob (batafsil)'!$C$5:$C$320,"Bambuk panel")</f>
        <v>53.9</v>
      </c>
      <c r="G16" s="50" t="n">
        <f aca="false">SUMIFS('Hisob (batafsil)'!$J$5:$J$320,'Hisob (batafsil)'!$B$5:$B$320,$A16,'Hisob (batafsil)'!$C$5:$C$320,"Bambuk panel")</f>
        <v>835.45</v>
      </c>
      <c r="H16" s="57" t="n">
        <f aca="false">SUMIFS('Hisob (batafsil)'!$G$5:$G$320,'Hisob (batafsil)'!$B$5:$B$320,$A16,'Hisob (batafsil)'!$C$5:$C$320,"Interaktiv doska")</f>
        <v>1</v>
      </c>
      <c r="I16" s="50" t="n">
        <f aca="false">SUMIFS('Hisob (batafsil)'!$J$5:$J$320,'Hisob (batafsil)'!$B$5:$B$320,$A16,'Hisob (batafsil)'!$C$5:$C$320,"Interaktiv doska")</f>
        <v>1032</v>
      </c>
      <c r="J16" s="56" t="n">
        <f aca="false">SUMIFS('Hisob (batafsil)'!$G$5:$G$320,'Hisob (batafsil)'!$B$5:$B$320,$A16,'Hisob (batafsil)'!$C$5:$C$320,"Perila")</f>
        <v>0</v>
      </c>
      <c r="K16" s="50" t="n">
        <f aca="false">SUMIFS('Hisob (batafsil)'!$J$5:$J$320,'Hisob (batafsil)'!$B$5:$B$320,$A16,'Hisob (batafsil)'!$C$5:$C$320,"Perila")</f>
        <v>0</v>
      </c>
      <c r="L16" s="50" t="n">
        <f aca="false">SUMIFS('Hisob (batafsil)'!$J$5:$J$320,'Hisob (batafsil)'!$B$5:$B$320,$A16,'Hisob (batafsil)'!$C$5:$C$320,"Yoritish")</f>
        <v>168</v>
      </c>
      <c r="M16" s="50" t="n">
        <f aca="false">SUMIFS('Hisob (batafsil)'!$J$5:$J$320,'Hisob (batafsil)'!$B$5:$B$320,$A16,'Hisob (batafsil)'!$C$5:$C$320,"Kamera tizimi")</f>
        <v>0</v>
      </c>
      <c r="N16" s="50" t="n">
        <f aca="false">SUMIFS('Hisob (batafsil)'!$J$5:$J$320,'Hisob (batafsil)'!$B$5:$B$320,$A16,'Hisob (batafsil)'!$C$5:$C$320,"Logotip")</f>
        <v>0</v>
      </c>
      <c r="O16" s="50" t="n">
        <f aca="false">SUMIFS('Hisob (batafsil)'!$J$5:$J$320,'Hisob (batafsil)'!$B$5:$B$320,$A16,'Hisob (batafsil)'!$C$5:$C$320,"Matli plyonka")</f>
        <v>0</v>
      </c>
      <c r="P16" s="50" t="n">
        <f aca="false">SUMIFS('Hisob (batafsil)'!$J$5:$J$320,'Hisob (batafsil)'!$B$5:$B$320,$A16,'Hisob (batafsil)'!$C$5:$C$320,"Yong'in xavfsizligi")</f>
        <v>0</v>
      </c>
      <c r="Q16" s="50" t="n">
        <f aca="false">SUMIFS('Hisob (batafsil)'!$J$5:$J$320,'Hisob (batafsil)'!$B$5:$B$320,$A16,'Hisob (batafsil)'!$C$5:$C$320,"Buzish ishlari")</f>
        <v>0</v>
      </c>
      <c r="R16" s="50" t="n">
        <f aca="false">SUMIFS('Hisob (batafsil)'!$J$5:$J$320,'Hisob (batafsil)'!$B$5:$B$320,$A16,'Hisob (batafsil)'!$C$5:$C$320,"Santexnika")</f>
        <v>0</v>
      </c>
      <c r="S16" s="50" t="n">
        <f aca="false">SUMIFS('Hisob (batafsil)'!$J$5:$J$320,'Hisob (batafsil)'!$B$5:$B$320,$A16,'Hisob (batafsil)'!$C$5:$C$320,"Kafel")</f>
        <v>0</v>
      </c>
      <c r="T16" s="50" t="n">
        <f aca="false">SUMIFS('Hisob (batafsil)'!$J$5:$J$320,'Hisob (batafsil)'!$B$5:$B$320,$A16,'Hisob (batafsil)'!$C$5:$C$320,"Konditsioner va ventilyatsiya")</f>
        <v>1120</v>
      </c>
      <c r="U16" s="50" t="n">
        <f aca="false">SUMIFS('Hisob (batafsil)'!$J$5:$J$320,'Hisob (batafsil)'!$B$5:$B$320,$A16,'Hisob (batafsil)'!$C$5:$C$320,"Mebel va interyer")</f>
        <v>0</v>
      </c>
      <c r="V16" s="50" t="n">
        <f aca="false">SUMIFS('Hisob (batafsil)'!$J$5:$J$320,'Hisob (batafsil)'!$B$5:$B$320,$A16,'Hisob (batafsil)'!$C$5:$C$320,"E'lon va e'tirof doskalari")</f>
        <v>0</v>
      </c>
      <c r="W16" s="58" t="n">
        <f aca="false">C16+E16+G16+I16+K16+L16+M16+N16+O16+P16+Q16+R16+S16+T16+U16+V16</f>
        <v>4290.85</v>
      </c>
    </row>
    <row r="17" customFormat="false" ht="15" hidden="false" customHeight="false" outlineLevel="0" collapsed="false">
      <c r="A17" s="11" t="s">
        <v>252</v>
      </c>
      <c r="B17" s="59" t="n">
        <f aca="false">SUM(B10:B16)</f>
        <v>62.5</v>
      </c>
      <c r="C17" s="41" t="n">
        <f aca="false">SUM(C10:C16)</f>
        <v>3437.5</v>
      </c>
      <c r="D17" s="59" t="n">
        <f aca="false">SUM(D10:D16)</f>
        <v>166.925</v>
      </c>
      <c r="E17" s="41" t="n">
        <f aca="false">SUM(E10:E16)</f>
        <v>2003.1</v>
      </c>
      <c r="F17" s="59" t="n">
        <f aca="false">SUM(F10:F16)</f>
        <v>373.8</v>
      </c>
      <c r="G17" s="41" t="n">
        <f aca="false">SUM(G10:G16)</f>
        <v>5793.9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7840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27474.5</v>
      </c>
    </row>
    <row r="19" customFormat="false" ht="15" hidden="false" customHeight="false" outlineLevel="0" collapsed="false">
      <c r="A19" s="54" t="s">
        <v>31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 customFormat="false" ht="15" hidden="false" customHeight="false" outlineLevel="0" collapsed="false">
      <c r="A20" s="6" t="s">
        <v>253</v>
      </c>
      <c r="B20" s="56" t="n">
        <f aca="false">SUMIFS('Hisob (batafsil)'!$G$5:$G$320,'Hisob (batafsil)'!$B$5:$B$320,$A20,'Hisob (batafsil)'!$C$5:$C$320,"Shisha devor")</f>
        <v>14.25</v>
      </c>
      <c r="C20" s="50" t="n">
        <f aca="false">SUMIFS('Hisob (batafsil)'!$J$5:$J$320,'Hisob (batafsil)'!$B$5:$B$320,$A20,'Hisob (batafsil)'!$C$5:$C$320,"Shisha devor")</f>
        <v>783.75</v>
      </c>
      <c r="D20" s="56" t="n">
        <f aca="false">SUMIFS('Hisob (batafsil)'!$G$5:$G$320,'Hisob (batafsil)'!$B$5:$B$320,$A20,'Hisob (batafsil)'!$C$5:$C$320,"Gips karton (GKL)")</f>
        <v>5.7</v>
      </c>
      <c r="E20" s="50" t="n">
        <f aca="false">SUMIFS('Hisob (batafsil)'!$J$5:$J$320,'Hisob (batafsil)'!$B$5:$B$320,$A20,'Hisob (batafsil)'!$C$5:$C$320,"Gips karton (GKL)")</f>
        <v>68.4</v>
      </c>
      <c r="F20" s="56" t="n">
        <f aca="false">SUMIFS('Hisob (batafsil)'!$G$5:$G$320,'Hisob (batafsil)'!$B$5:$B$320,$A20,'Hisob (batafsil)'!$C$5:$C$320,"Bambuk panel")</f>
        <v>18.2</v>
      </c>
      <c r="G20" s="50" t="n">
        <f aca="false">SUMIFS('Hisob (batafsil)'!$J$5:$J$320,'Hisob (batafsil)'!$B$5:$B$320,$A20,'Hisob (batafsil)'!$C$5:$C$320,"Bambuk panel")</f>
        <v>282.1</v>
      </c>
      <c r="H20" s="57" t="n">
        <f aca="false">SUMIFS('Hisob (batafsil)'!$G$5:$G$320,'Hisob (batafsil)'!$B$5:$B$320,$A20,'Hisob (batafsil)'!$C$5:$C$320,"Interaktiv doska")</f>
        <v>0</v>
      </c>
      <c r="I20" s="50" t="n">
        <f aca="false">SUMIFS('Hisob (batafsil)'!$J$5:$J$320,'Hisob (batafsil)'!$B$5:$B$320,$A20,'Hisob (batafsil)'!$C$5:$C$320,"Interaktiv doska")</f>
        <v>0</v>
      </c>
      <c r="J20" s="56" t="n">
        <f aca="false">SUMIFS('Hisob (batafsil)'!$G$5:$G$320,'Hisob (batafsil)'!$B$5:$B$320,$A20,'Hisob (batafsil)'!$C$5:$C$320,"Perila")</f>
        <v>0</v>
      </c>
      <c r="K20" s="50" t="n">
        <f aca="false">SUMIFS('Hisob (batafsil)'!$J$5:$J$320,'Hisob (batafsil)'!$B$5:$B$320,$A20,'Hisob (batafsil)'!$C$5:$C$320,"Perila")</f>
        <v>0</v>
      </c>
      <c r="L20" s="50" t="n">
        <f aca="false">SUMIFS('Hisob (batafsil)'!$J$5:$J$320,'Hisob (batafsil)'!$B$5:$B$320,$A20,'Hisob (batafsil)'!$C$5:$C$320,"Yoritish")</f>
        <v>168</v>
      </c>
      <c r="M20" s="50" t="n">
        <f aca="false">SUMIFS('Hisob (batafsil)'!$J$5:$J$320,'Hisob (batafsil)'!$B$5:$B$320,$A20,'Hisob (batafsil)'!$C$5:$C$320,"Kamera tizimi")</f>
        <v>0</v>
      </c>
      <c r="N20" s="50" t="n">
        <f aca="false">SUMIFS('Hisob (batafsil)'!$J$5:$J$320,'Hisob (batafsil)'!$B$5:$B$320,$A20,'Hisob (batafsil)'!$C$5:$C$320,"Logotip")</f>
        <v>0</v>
      </c>
      <c r="O20" s="50" t="n">
        <f aca="false">SUMIFS('Hisob (batafsil)'!$J$5:$J$320,'Hisob (batafsil)'!$B$5:$B$320,$A20,'Hisob (batafsil)'!$C$5:$C$320,"Matli plyonka")</f>
        <v>0</v>
      </c>
      <c r="P20" s="50" t="n">
        <f aca="false">SUMIFS('Hisob (batafsil)'!$J$5:$J$320,'Hisob (batafsil)'!$B$5:$B$320,$A20,'Hisob (batafsil)'!$C$5:$C$320,"Yong'in xavfsizligi")</f>
        <v>0</v>
      </c>
      <c r="Q20" s="50" t="n">
        <f aca="false">SUMIFS('Hisob (batafsil)'!$J$5:$J$320,'Hisob (batafsil)'!$B$5:$B$320,$A20,'Hisob (batafsil)'!$C$5:$C$320,"Buzish ishlari")</f>
        <v>0</v>
      </c>
      <c r="R20" s="50" t="n">
        <f aca="false">SUMIFS('Hisob (batafsil)'!$J$5:$J$320,'Hisob (batafsil)'!$B$5:$B$320,$A20,'Hisob (batafsil)'!$C$5:$C$320,"Santexnika")</f>
        <v>0</v>
      </c>
      <c r="S20" s="50" t="n">
        <f aca="false">SUMIFS('Hisob (batafsil)'!$J$5:$J$320,'Hisob (batafsil)'!$B$5:$B$320,$A20,'Hisob (batafsil)'!$C$5:$C$320,"Kafel")</f>
        <v>0</v>
      </c>
      <c r="T20" s="50" t="n">
        <f aca="false">SUMIFS('Hisob (batafsil)'!$J$5:$J$320,'Hisob (batafsil)'!$B$5:$B$320,$A20,'Hisob (batafsil)'!$C$5:$C$320,"Konditsioner va ventilyatsiya")</f>
        <v>380</v>
      </c>
      <c r="U20" s="50" t="n">
        <f aca="false">SUMIFS('Hisob (batafsil)'!$J$5:$J$320,'Hisob (batafsil)'!$B$5:$B$320,$A20,'Hisob (batafsil)'!$C$5:$C$320,"Mebel va interyer")</f>
        <v>2340</v>
      </c>
      <c r="V20" s="50" t="n">
        <f aca="false">SUMIFS('Hisob (batafsil)'!$J$5:$J$320,'Hisob (batafsil)'!$B$5:$B$320,$A20,'Hisob (batafsil)'!$C$5:$C$320,"E'lon va e'tirof doskalari")</f>
        <v>0</v>
      </c>
      <c r="W20" s="58" t="n">
        <f aca="false">C20+E20+G20+I20+K20+L20+M20+N20+O20+P20+Q20+R20+S20+T20+U20+V20</f>
        <v>4022.25</v>
      </c>
    </row>
    <row r="21" customFormat="false" ht="15" hidden="false" customHeight="false" outlineLevel="0" collapsed="false">
      <c r="A21" s="6" t="s">
        <v>254</v>
      </c>
      <c r="B21" s="56" t="n">
        <f aca="false">SUMIFS('Hisob (batafsil)'!$G$5:$G$320,'Hisob (batafsil)'!$B$5:$B$320,$A21,'Hisob (batafsil)'!$C$5:$C$320,"Shisha devor")</f>
        <v>14.5</v>
      </c>
      <c r="C21" s="50" t="n">
        <f aca="false">SUMIFS('Hisob (batafsil)'!$J$5:$J$320,'Hisob (batafsil)'!$B$5:$B$320,$A21,'Hisob (batafsil)'!$C$5:$C$320,"Shisha devor")</f>
        <v>797.5</v>
      </c>
      <c r="D21" s="56" t="n">
        <f aca="false">SUMIFS('Hisob (batafsil)'!$G$5:$G$320,'Hisob (batafsil)'!$B$5:$B$320,$A21,'Hisob (batafsil)'!$C$5:$C$320,"Gips karton (GKL)")</f>
        <v>5.8</v>
      </c>
      <c r="E21" s="50" t="n">
        <f aca="false">SUMIFS('Hisob (batafsil)'!$J$5:$J$320,'Hisob (batafsil)'!$B$5:$B$320,$A21,'Hisob (batafsil)'!$C$5:$C$320,"Gips karton (GKL)")</f>
        <v>69.6</v>
      </c>
      <c r="F21" s="56" t="n">
        <f aca="false">SUMIFS('Hisob (batafsil)'!$G$5:$G$320,'Hisob (batafsil)'!$B$5:$B$320,$A21,'Hisob (batafsil)'!$C$5:$C$320,"Bambuk panel")</f>
        <v>18.2</v>
      </c>
      <c r="G21" s="50" t="n">
        <f aca="false">SUMIFS('Hisob (batafsil)'!$J$5:$J$320,'Hisob (batafsil)'!$B$5:$B$320,$A21,'Hisob (batafsil)'!$C$5:$C$320,"Bambuk panel")</f>
        <v>282.1</v>
      </c>
      <c r="H21" s="57" t="n">
        <f aca="false">SUMIFS('Hisob (batafsil)'!$G$5:$G$320,'Hisob (batafsil)'!$B$5:$B$320,$A21,'Hisob (batafsil)'!$C$5:$C$320,"Interaktiv doska")</f>
        <v>0</v>
      </c>
      <c r="I21" s="50" t="n">
        <f aca="false">SUMIFS('Hisob (batafsil)'!$J$5:$J$320,'Hisob (batafsil)'!$B$5:$B$320,$A21,'Hisob (batafsil)'!$C$5:$C$320,"Interaktiv doska")</f>
        <v>0</v>
      </c>
      <c r="J21" s="56" t="n">
        <f aca="false">SUMIFS('Hisob (batafsil)'!$G$5:$G$320,'Hisob (batafsil)'!$B$5:$B$320,$A21,'Hisob (batafsil)'!$C$5:$C$320,"Perila")</f>
        <v>0</v>
      </c>
      <c r="K21" s="50" t="n">
        <f aca="false">SUMIFS('Hisob (batafsil)'!$J$5:$J$320,'Hisob (batafsil)'!$B$5:$B$320,$A21,'Hisob (batafsil)'!$C$5:$C$320,"Perila")</f>
        <v>0</v>
      </c>
      <c r="L21" s="50" t="n">
        <f aca="false">SUMIFS('Hisob (batafsil)'!$J$5:$J$320,'Hisob (batafsil)'!$B$5:$B$320,$A21,'Hisob (batafsil)'!$C$5:$C$320,"Yoritish")</f>
        <v>168</v>
      </c>
      <c r="M21" s="50" t="n">
        <f aca="false">SUMIFS('Hisob (batafsil)'!$J$5:$J$320,'Hisob (batafsil)'!$B$5:$B$320,$A21,'Hisob (batafsil)'!$C$5:$C$320,"Kamera tizimi")</f>
        <v>0</v>
      </c>
      <c r="N21" s="50" t="n">
        <f aca="false">SUMIFS('Hisob (batafsil)'!$J$5:$J$320,'Hisob (batafsil)'!$B$5:$B$320,$A21,'Hisob (batafsil)'!$C$5:$C$320,"Logotip")</f>
        <v>0</v>
      </c>
      <c r="O21" s="50" t="n">
        <f aca="false">SUMIFS('Hisob (batafsil)'!$J$5:$J$320,'Hisob (batafsil)'!$B$5:$B$320,$A21,'Hisob (batafsil)'!$C$5:$C$320,"Matli plyonka")</f>
        <v>0</v>
      </c>
      <c r="P21" s="50" t="n">
        <f aca="false">SUMIFS('Hisob (batafsil)'!$J$5:$J$320,'Hisob (batafsil)'!$B$5:$B$320,$A21,'Hisob (batafsil)'!$C$5:$C$320,"Yong'in xavfsizligi")</f>
        <v>0</v>
      </c>
      <c r="Q21" s="50" t="n">
        <f aca="false">SUMIFS('Hisob (batafsil)'!$J$5:$J$320,'Hisob (batafsil)'!$B$5:$B$320,$A21,'Hisob (batafsil)'!$C$5:$C$320,"Buzish ishlari")</f>
        <v>0</v>
      </c>
      <c r="R21" s="50" t="n">
        <f aca="false">SUMIFS('Hisob (batafsil)'!$J$5:$J$320,'Hisob (batafsil)'!$B$5:$B$320,$A21,'Hisob (batafsil)'!$C$5:$C$320,"Santexnika")</f>
        <v>0</v>
      </c>
      <c r="S21" s="50" t="n">
        <f aca="false">SUMIFS('Hisob (batafsil)'!$J$5:$J$320,'Hisob (batafsil)'!$B$5:$B$320,$A21,'Hisob (batafsil)'!$C$5:$C$320,"Kafel")</f>
        <v>0</v>
      </c>
      <c r="T21" s="50" t="n">
        <f aca="false">SUMIFS('Hisob (batafsil)'!$J$5:$J$320,'Hisob (batafsil)'!$B$5:$B$320,$A21,'Hisob (batafsil)'!$C$5:$C$320,"Konditsioner va ventilyatsiya")</f>
        <v>380</v>
      </c>
      <c r="U21" s="50" t="n">
        <f aca="false">SUMIFS('Hisob (batafsil)'!$J$5:$J$320,'Hisob (batafsil)'!$B$5:$B$320,$A21,'Hisob (batafsil)'!$C$5:$C$320,"Mebel va interyer")</f>
        <v>1470</v>
      </c>
      <c r="V21" s="50" t="n">
        <f aca="false">SUMIFS('Hisob (batafsil)'!$J$5:$J$320,'Hisob (batafsil)'!$B$5:$B$320,$A21,'Hisob (batafsil)'!$C$5:$C$320,"E'lon va e'tirof doskalari")</f>
        <v>0</v>
      </c>
      <c r="W21" s="58" t="n">
        <f aca="false">C21+E21+G21+I21+K21+L21+M21+N21+O21+P21+Q21+R21+S21+T21+U21+V21</f>
        <v>3167.2</v>
      </c>
    </row>
    <row r="22" customFormat="false" ht="15" hidden="false" customHeight="false" outlineLevel="0" collapsed="false">
      <c r="A22" s="6" t="s">
        <v>255</v>
      </c>
      <c r="B22" s="56" t="n">
        <f aca="false">SUMIFS('Hisob (batafsil)'!$G$5:$G$320,'Hisob (batafsil)'!$B$5:$B$320,$A22,'Hisob (batafsil)'!$C$5:$C$320,"Shisha devor")</f>
        <v>14.5</v>
      </c>
      <c r="C22" s="50" t="n">
        <f aca="false">SUMIFS('Hisob (batafsil)'!$J$5:$J$320,'Hisob (batafsil)'!$B$5:$B$320,$A22,'Hisob (batafsil)'!$C$5:$C$320,"Shisha devor")</f>
        <v>797.5</v>
      </c>
      <c r="D22" s="56" t="n">
        <f aca="false">SUMIFS('Hisob (batafsil)'!$G$5:$G$320,'Hisob (batafsil)'!$B$5:$B$320,$A22,'Hisob (batafsil)'!$C$5:$C$320,"Gips karton (GKL)")</f>
        <v>12.45</v>
      </c>
      <c r="E22" s="50" t="n">
        <f aca="false">SUMIFS('Hisob (batafsil)'!$J$5:$J$320,'Hisob (batafsil)'!$B$5:$B$320,$A22,'Hisob (batafsil)'!$C$5:$C$320,"Gips karton (GKL)")</f>
        <v>149.4</v>
      </c>
      <c r="F22" s="56" t="n">
        <f aca="false">SUMIFS('Hisob (batafsil)'!$G$5:$G$320,'Hisob (batafsil)'!$B$5:$B$320,$A22,'Hisob (batafsil)'!$C$5:$C$320,"Bambuk panel")</f>
        <v>30.1</v>
      </c>
      <c r="G22" s="50" t="n">
        <f aca="false">SUMIFS('Hisob (batafsil)'!$J$5:$J$320,'Hisob (batafsil)'!$B$5:$B$320,$A22,'Hisob (batafsil)'!$C$5:$C$320,"Bambuk panel")</f>
        <v>466.55</v>
      </c>
      <c r="H22" s="57" t="n">
        <f aca="false">SUMIFS('Hisob (batafsil)'!$G$5:$G$320,'Hisob (batafsil)'!$B$5:$B$320,$A22,'Hisob (batafsil)'!$C$5:$C$320,"Interaktiv doska")</f>
        <v>0</v>
      </c>
      <c r="I22" s="50" t="n">
        <f aca="false">SUMIFS('Hisob (batafsil)'!$J$5:$J$320,'Hisob (batafsil)'!$B$5:$B$320,$A22,'Hisob (batafsil)'!$C$5:$C$320,"Interaktiv doska")</f>
        <v>0</v>
      </c>
      <c r="J22" s="56" t="n">
        <f aca="false">SUMIFS('Hisob (batafsil)'!$G$5:$G$320,'Hisob (batafsil)'!$B$5:$B$320,$A22,'Hisob (batafsil)'!$C$5:$C$320,"Perila")</f>
        <v>0</v>
      </c>
      <c r="K22" s="50" t="n">
        <f aca="false">SUMIFS('Hisob (batafsil)'!$J$5:$J$320,'Hisob (batafsil)'!$B$5:$B$320,$A22,'Hisob (batafsil)'!$C$5:$C$320,"Perila")</f>
        <v>0</v>
      </c>
      <c r="L22" s="50" t="n">
        <f aca="false">SUMIFS('Hisob (batafsil)'!$J$5:$J$320,'Hisob (batafsil)'!$B$5:$B$320,$A22,'Hisob (batafsil)'!$C$5:$C$320,"Yoritish")</f>
        <v>168</v>
      </c>
      <c r="M22" s="50" t="n">
        <f aca="false">SUMIFS('Hisob (batafsil)'!$J$5:$J$320,'Hisob (batafsil)'!$B$5:$B$320,$A22,'Hisob (batafsil)'!$C$5:$C$320,"Kamera tizimi")</f>
        <v>0</v>
      </c>
      <c r="N22" s="50" t="n">
        <f aca="false">SUMIFS('Hisob (batafsil)'!$J$5:$J$320,'Hisob (batafsil)'!$B$5:$B$320,$A22,'Hisob (batafsil)'!$C$5:$C$320,"Logotip")</f>
        <v>0</v>
      </c>
      <c r="O22" s="50" t="n">
        <f aca="false">SUMIFS('Hisob (batafsil)'!$J$5:$J$320,'Hisob (batafsil)'!$B$5:$B$320,$A22,'Hisob (batafsil)'!$C$5:$C$320,"Matli plyonka")</f>
        <v>0</v>
      </c>
      <c r="P22" s="50" t="n">
        <f aca="false">SUMIFS('Hisob (batafsil)'!$J$5:$J$320,'Hisob (batafsil)'!$B$5:$B$320,$A22,'Hisob (batafsil)'!$C$5:$C$320,"Yong'in xavfsizligi")</f>
        <v>0</v>
      </c>
      <c r="Q22" s="50" t="n">
        <f aca="false">SUMIFS('Hisob (batafsil)'!$J$5:$J$320,'Hisob (batafsil)'!$B$5:$B$320,$A22,'Hisob (batafsil)'!$C$5:$C$320,"Buzish ishlari")</f>
        <v>0</v>
      </c>
      <c r="R22" s="50" t="n">
        <f aca="false">SUMIFS('Hisob (batafsil)'!$J$5:$J$320,'Hisob (batafsil)'!$B$5:$B$320,$A22,'Hisob (batafsil)'!$C$5:$C$320,"Santexnika")</f>
        <v>0</v>
      </c>
      <c r="S22" s="50" t="n">
        <f aca="false">SUMIFS('Hisob (batafsil)'!$J$5:$J$320,'Hisob (batafsil)'!$B$5:$B$320,$A22,'Hisob (batafsil)'!$C$5:$C$320,"Kafel")</f>
        <v>0</v>
      </c>
      <c r="T22" s="50" t="n">
        <f aca="false">SUMIFS('Hisob (batafsil)'!$J$5:$J$320,'Hisob (batafsil)'!$B$5:$B$320,$A22,'Hisob (batafsil)'!$C$5:$C$320,"Konditsioner va ventilyatsiya")</f>
        <v>380</v>
      </c>
      <c r="U22" s="50" t="n">
        <f aca="false">SUMIFS('Hisob (batafsil)'!$J$5:$J$320,'Hisob (batafsil)'!$B$5:$B$320,$A22,'Hisob (batafsil)'!$C$5:$C$320,"Mebel va interyer")</f>
        <v>0</v>
      </c>
      <c r="V22" s="50" t="n">
        <f aca="false">SUMIFS('Hisob (batafsil)'!$J$5:$J$320,'Hisob (batafsil)'!$B$5:$B$320,$A22,'Hisob (batafsil)'!$C$5:$C$320,"E'lon va e'tirof doskalari")</f>
        <v>0</v>
      </c>
      <c r="W22" s="58" t="n">
        <f aca="false">C22+E22+G22+I22+K22+L22+M22+N22+O22+P22+Q22+R22+S22+T22+U22+V22</f>
        <v>1961.45</v>
      </c>
    </row>
    <row r="23" customFormat="false" ht="15" hidden="false" customHeight="false" outlineLevel="0" collapsed="false">
      <c r="A23" s="6" t="s">
        <v>256</v>
      </c>
      <c r="B23" s="56" t="n">
        <f aca="false">SUMIFS('Hisob (batafsil)'!$G$5:$G$320,'Hisob (batafsil)'!$B$5:$B$320,$A23,'Hisob (batafsil)'!$C$5:$C$320,"Shisha devor")</f>
        <v>14.25</v>
      </c>
      <c r="C23" s="50" t="n">
        <f aca="false">SUMIFS('Hisob (batafsil)'!$J$5:$J$320,'Hisob (batafsil)'!$B$5:$B$320,$A23,'Hisob (batafsil)'!$C$5:$C$320,"Shisha devor")</f>
        <v>783.75</v>
      </c>
      <c r="D23" s="56" t="n">
        <f aca="false">SUMIFS('Hisob (batafsil)'!$G$5:$G$320,'Hisob (batafsil)'!$B$5:$B$320,$A23,'Hisob (batafsil)'!$C$5:$C$320,"Gips karton (GKL)")</f>
        <v>10.95</v>
      </c>
      <c r="E23" s="50" t="n">
        <f aca="false">SUMIFS('Hisob (batafsil)'!$J$5:$J$320,'Hisob (batafsil)'!$B$5:$B$320,$A23,'Hisob (batafsil)'!$C$5:$C$320,"Gips karton (GKL)")</f>
        <v>131.4</v>
      </c>
      <c r="F23" s="56" t="n">
        <f aca="false">SUMIFS('Hisob (batafsil)'!$G$5:$G$320,'Hisob (batafsil)'!$B$5:$B$320,$A23,'Hisob (batafsil)'!$C$5:$C$320,"Bambuk panel")</f>
        <v>29.75</v>
      </c>
      <c r="G23" s="50" t="n">
        <f aca="false">SUMIFS('Hisob (batafsil)'!$J$5:$J$320,'Hisob (batafsil)'!$B$5:$B$320,$A23,'Hisob (batafsil)'!$C$5:$C$320,"Bambuk panel")</f>
        <v>461.125</v>
      </c>
      <c r="H23" s="57" t="n">
        <f aca="false">SUMIFS('Hisob (batafsil)'!$G$5:$G$320,'Hisob (batafsil)'!$B$5:$B$320,$A23,'Hisob (batafsil)'!$C$5:$C$320,"Interaktiv doska")</f>
        <v>0</v>
      </c>
      <c r="I23" s="50" t="n">
        <f aca="false">SUMIFS('Hisob (batafsil)'!$J$5:$J$320,'Hisob (batafsil)'!$B$5:$B$320,$A23,'Hisob (batafsil)'!$C$5:$C$320,"Interaktiv doska")</f>
        <v>0</v>
      </c>
      <c r="J23" s="56" t="n">
        <f aca="false">SUMIFS('Hisob (batafsil)'!$G$5:$G$320,'Hisob (batafsil)'!$B$5:$B$320,$A23,'Hisob (batafsil)'!$C$5:$C$320,"Perila")</f>
        <v>0</v>
      </c>
      <c r="K23" s="50" t="n">
        <f aca="false">SUMIFS('Hisob (batafsil)'!$J$5:$J$320,'Hisob (batafsil)'!$B$5:$B$320,$A23,'Hisob (batafsil)'!$C$5:$C$320,"Perila")</f>
        <v>0</v>
      </c>
      <c r="L23" s="50" t="n">
        <f aca="false">SUMIFS('Hisob (batafsil)'!$J$5:$J$320,'Hisob (batafsil)'!$B$5:$B$320,$A23,'Hisob (batafsil)'!$C$5:$C$320,"Yoritish")</f>
        <v>168</v>
      </c>
      <c r="M23" s="50" t="n">
        <f aca="false">SUMIFS('Hisob (batafsil)'!$J$5:$J$320,'Hisob (batafsil)'!$B$5:$B$320,$A23,'Hisob (batafsil)'!$C$5:$C$320,"Kamera tizimi")</f>
        <v>0</v>
      </c>
      <c r="N23" s="50" t="n">
        <f aca="false">SUMIFS('Hisob (batafsil)'!$J$5:$J$320,'Hisob (batafsil)'!$B$5:$B$320,$A23,'Hisob (batafsil)'!$C$5:$C$320,"Logotip")</f>
        <v>0</v>
      </c>
      <c r="O23" s="50" t="n">
        <f aca="false">SUMIFS('Hisob (batafsil)'!$J$5:$J$320,'Hisob (batafsil)'!$B$5:$B$320,$A23,'Hisob (batafsil)'!$C$5:$C$320,"Matli plyonka")</f>
        <v>0</v>
      </c>
      <c r="P23" s="50" t="n">
        <f aca="false">SUMIFS('Hisob (batafsil)'!$J$5:$J$320,'Hisob (batafsil)'!$B$5:$B$320,$A23,'Hisob (batafsil)'!$C$5:$C$320,"Yong'in xavfsizligi")</f>
        <v>0</v>
      </c>
      <c r="Q23" s="50" t="n">
        <f aca="false">SUMIFS('Hisob (batafsil)'!$J$5:$J$320,'Hisob (batafsil)'!$B$5:$B$320,$A23,'Hisob (batafsil)'!$C$5:$C$320,"Buzish ishlari")</f>
        <v>0</v>
      </c>
      <c r="R23" s="50" t="n">
        <f aca="false">SUMIFS('Hisob (batafsil)'!$J$5:$J$320,'Hisob (batafsil)'!$B$5:$B$320,$A23,'Hisob (batafsil)'!$C$5:$C$320,"Santexnika")</f>
        <v>0</v>
      </c>
      <c r="S23" s="50" t="n">
        <f aca="false">SUMIFS('Hisob (batafsil)'!$J$5:$J$320,'Hisob (batafsil)'!$B$5:$B$320,$A23,'Hisob (batafsil)'!$C$5:$C$320,"Kafel")</f>
        <v>0</v>
      </c>
      <c r="T23" s="50" t="n">
        <f aca="false">SUMIFS('Hisob (batafsil)'!$J$5:$J$320,'Hisob (batafsil)'!$B$5:$B$320,$A23,'Hisob (batafsil)'!$C$5:$C$320,"Konditsioner va ventilyatsiya")</f>
        <v>380</v>
      </c>
      <c r="U23" s="50" t="n">
        <f aca="false">SUMIFS('Hisob (batafsil)'!$J$5:$J$320,'Hisob (batafsil)'!$B$5:$B$320,$A23,'Hisob (batafsil)'!$C$5:$C$320,"Mebel va interyer")</f>
        <v>0</v>
      </c>
      <c r="V23" s="50" t="n">
        <f aca="false">SUMIFS('Hisob (batafsil)'!$J$5:$J$320,'Hisob (batafsil)'!$B$5:$B$320,$A23,'Hisob (batafsil)'!$C$5:$C$320,"E'lon va e'tirof doskalari")</f>
        <v>0</v>
      </c>
      <c r="W23" s="58" t="n">
        <f aca="false">C23+E23+G23+I23+K23+L23+M23+N23+O23+P23+Q23+R23+S23+T23+U23+V23</f>
        <v>1924.275</v>
      </c>
    </row>
    <row r="24" customFormat="false" ht="15" hidden="false" customHeight="false" outlineLevel="0" collapsed="false">
      <c r="A24" s="6" t="s">
        <v>257</v>
      </c>
      <c r="B24" s="56" t="n">
        <f aca="false">SUMIFS('Hisob (batafsil)'!$G$5:$G$320,'Hisob (batafsil)'!$B$5:$B$320,$A24,'Hisob (batafsil)'!$C$5:$C$320,"Shisha devor")</f>
        <v>0</v>
      </c>
      <c r="C24" s="50" t="n">
        <f aca="false">SUMIFS('Hisob (batafsil)'!$J$5:$J$320,'Hisob (batafsil)'!$B$5:$B$320,$A24,'Hisob (batafsil)'!$C$5:$C$320,"Shisha devor")</f>
        <v>0</v>
      </c>
      <c r="D24" s="56" t="n">
        <f aca="false">SUMIFS('Hisob (batafsil)'!$G$5:$G$320,'Hisob (batafsil)'!$B$5:$B$320,$A24,'Hisob (batafsil)'!$C$5:$C$320,"Gips karton (GKL)")</f>
        <v>0</v>
      </c>
      <c r="E24" s="50" t="n">
        <f aca="false">SUMIFS('Hisob (batafsil)'!$J$5:$J$320,'Hisob (batafsil)'!$B$5:$B$320,$A24,'Hisob (batafsil)'!$C$5:$C$320,"Gips karton (GKL)")</f>
        <v>0</v>
      </c>
      <c r="F24" s="56" t="n">
        <f aca="false">SUMIFS('Hisob (batafsil)'!$G$5:$G$320,'Hisob (batafsil)'!$B$5:$B$320,$A24,'Hisob (batafsil)'!$C$5:$C$320,"Bambuk panel")</f>
        <v>29.26</v>
      </c>
      <c r="G24" s="50" t="n">
        <f aca="false">SUMIFS('Hisob (batafsil)'!$J$5:$J$320,'Hisob (batafsil)'!$B$5:$B$320,$A24,'Hisob (batafsil)'!$C$5:$C$320,"Bambuk panel")</f>
        <v>453.53</v>
      </c>
      <c r="H24" s="57" t="n">
        <f aca="false">SUMIFS('Hisob (batafsil)'!$G$5:$G$320,'Hisob (batafsil)'!$B$5:$B$320,$A24,'Hisob (batafsil)'!$C$5:$C$320,"Interaktiv doska")</f>
        <v>0</v>
      </c>
      <c r="I24" s="50" t="n">
        <f aca="false">SUMIFS('Hisob (batafsil)'!$J$5:$J$320,'Hisob (batafsil)'!$B$5:$B$320,$A24,'Hisob (batafsil)'!$C$5:$C$320,"Interaktiv doska")</f>
        <v>0</v>
      </c>
      <c r="J24" s="56" t="n">
        <f aca="false">SUMIFS('Hisob (batafsil)'!$G$5:$G$320,'Hisob (batafsil)'!$B$5:$B$320,$A24,'Hisob (batafsil)'!$C$5:$C$320,"Perila")</f>
        <v>0</v>
      </c>
      <c r="K24" s="50" t="n">
        <f aca="false">SUMIFS('Hisob (batafsil)'!$J$5:$J$320,'Hisob (batafsil)'!$B$5:$B$320,$A24,'Hisob (batafsil)'!$C$5:$C$320,"Perila")</f>
        <v>0</v>
      </c>
      <c r="L24" s="50" t="n">
        <f aca="false">SUMIFS('Hisob (batafsil)'!$J$5:$J$320,'Hisob (batafsil)'!$B$5:$B$320,$A24,'Hisob (batafsil)'!$C$5:$C$320,"Yoritish")</f>
        <v>168</v>
      </c>
      <c r="M24" s="50" t="n">
        <f aca="false">SUMIFS('Hisob (batafsil)'!$J$5:$J$320,'Hisob (batafsil)'!$B$5:$B$320,$A24,'Hisob (batafsil)'!$C$5:$C$320,"Kamera tizimi")</f>
        <v>0</v>
      </c>
      <c r="N24" s="50" t="n">
        <f aca="false">SUMIFS('Hisob (batafsil)'!$J$5:$J$320,'Hisob (batafsil)'!$B$5:$B$320,$A24,'Hisob (batafsil)'!$C$5:$C$320,"Logotip")</f>
        <v>0</v>
      </c>
      <c r="O24" s="50" t="n">
        <f aca="false">SUMIFS('Hisob (batafsil)'!$J$5:$J$320,'Hisob (batafsil)'!$B$5:$B$320,$A24,'Hisob (batafsil)'!$C$5:$C$320,"Matli plyonka")</f>
        <v>0</v>
      </c>
      <c r="P24" s="50" t="n">
        <f aca="false">SUMIFS('Hisob (batafsil)'!$J$5:$J$320,'Hisob (batafsil)'!$B$5:$B$320,$A24,'Hisob (batafsil)'!$C$5:$C$320,"Yong'in xavfsizligi")</f>
        <v>0</v>
      </c>
      <c r="Q24" s="50" t="n">
        <f aca="false">SUMIFS('Hisob (batafsil)'!$J$5:$J$320,'Hisob (batafsil)'!$B$5:$B$320,$A24,'Hisob (batafsil)'!$C$5:$C$320,"Buzish ishlari")</f>
        <v>0</v>
      </c>
      <c r="R24" s="50" t="n">
        <f aca="false">SUMIFS('Hisob (batafsil)'!$J$5:$J$320,'Hisob (batafsil)'!$B$5:$B$320,$A24,'Hisob (batafsil)'!$C$5:$C$320,"Santexnika")</f>
        <v>0</v>
      </c>
      <c r="S24" s="50" t="n">
        <f aca="false">SUMIFS('Hisob (batafsil)'!$J$5:$J$320,'Hisob (batafsil)'!$B$5:$B$320,$A24,'Hisob (batafsil)'!$C$5:$C$320,"Kafel")</f>
        <v>0</v>
      </c>
      <c r="T24" s="50" t="n">
        <f aca="false">SUMIFS('Hisob (batafsil)'!$J$5:$J$320,'Hisob (batafsil)'!$B$5:$B$320,$A24,'Hisob (batafsil)'!$C$5:$C$320,"Konditsioner va ventilyatsiya")</f>
        <v>0</v>
      </c>
      <c r="U24" s="50" t="n">
        <f aca="false">SUMIFS('Hisob (batafsil)'!$J$5:$J$320,'Hisob (batafsil)'!$B$5:$B$320,$A24,'Hisob (batafsil)'!$C$5:$C$320,"Mebel va interyer")</f>
        <v>0</v>
      </c>
      <c r="V24" s="50" t="n">
        <f aca="false">SUMIFS('Hisob (batafsil)'!$J$5:$J$320,'Hisob (batafsil)'!$B$5:$B$320,$A24,'Hisob (batafsil)'!$C$5:$C$320,"E'lon va e'tirof doskalari")</f>
        <v>0</v>
      </c>
      <c r="W24" s="58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258</v>
      </c>
      <c r="B25" s="59" t="n">
        <f aca="false">SUM(B20:B24)</f>
        <v>57.5</v>
      </c>
      <c r="C25" s="41" t="n">
        <f aca="false">SUM(C20:C24)</f>
        <v>3162.5</v>
      </c>
      <c r="D25" s="59" t="n">
        <f aca="false">SUM(D20:D24)</f>
        <v>34.9</v>
      </c>
      <c r="E25" s="41" t="n">
        <f aca="false">SUM(E20:E24)</f>
        <v>418.8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1520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11696.705</v>
      </c>
    </row>
    <row r="27" customFormat="false" ht="15" hidden="false" customHeight="false" outlineLevel="0" collapsed="false">
      <c r="A27" s="54" t="s">
        <v>32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 customFormat="false" ht="15" hidden="false" customHeight="false" outlineLevel="0" collapsed="false">
      <c r="A28" s="6" t="s">
        <v>259</v>
      </c>
      <c r="B28" s="56" t="n">
        <f aca="false">SUMIFS('Hisob (batafsil)'!$G$5:$G$320,'Hisob (batafsil)'!$B$5:$B$320,$A28,'Hisob (batafsil)'!$C$5:$C$320,"Shisha devor")</f>
        <v>0</v>
      </c>
      <c r="C28" s="50" t="n">
        <f aca="false">SUMIFS('Hisob (batafsil)'!$J$5:$J$320,'Hisob (batafsil)'!$B$5:$B$320,$A28,'Hisob (batafsil)'!$C$5:$C$320,"Shisha devor")</f>
        <v>0</v>
      </c>
      <c r="D28" s="56" t="n">
        <f aca="false">SUMIFS('Hisob (batafsil)'!$G$5:$G$320,'Hisob (batafsil)'!$B$5:$B$320,$A28,'Hisob (batafsil)'!$C$5:$C$320,"Gips karton (GKL)")</f>
        <v>37.85</v>
      </c>
      <c r="E28" s="50" t="n">
        <f aca="false">SUMIFS('Hisob (batafsil)'!$J$5:$J$320,'Hisob (batafsil)'!$B$5:$B$320,$A28,'Hisob (batafsil)'!$C$5:$C$320,"Gips karton (GKL)")</f>
        <v>454.2</v>
      </c>
      <c r="F28" s="56" t="n">
        <f aca="false">SUMIFS('Hisob (batafsil)'!$G$5:$G$320,'Hisob (batafsil)'!$B$5:$B$320,$A28,'Hisob (batafsil)'!$C$5:$C$320,"Bambuk panel")</f>
        <v>0</v>
      </c>
      <c r="G28" s="50" t="n">
        <f aca="false">SUMIFS('Hisob (batafsil)'!$J$5:$J$320,'Hisob (batafsil)'!$B$5:$B$320,$A28,'Hisob (batafsil)'!$C$5:$C$320,"Bambuk panel")</f>
        <v>0</v>
      </c>
      <c r="H28" s="57" t="n">
        <f aca="false">SUMIFS('Hisob (batafsil)'!$G$5:$G$320,'Hisob (batafsil)'!$B$5:$B$320,$A28,'Hisob (batafsil)'!$C$5:$C$320,"Interaktiv doska")</f>
        <v>0</v>
      </c>
      <c r="I28" s="50" t="n">
        <f aca="false">SUMIFS('Hisob (batafsil)'!$J$5:$J$320,'Hisob (batafsil)'!$B$5:$B$320,$A28,'Hisob (batafsil)'!$C$5:$C$320,"Interaktiv doska")</f>
        <v>0</v>
      </c>
      <c r="J28" s="56" t="n">
        <f aca="false">SUMIFS('Hisob (batafsil)'!$G$5:$G$320,'Hisob (batafsil)'!$B$5:$B$320,$A28,'Hisob (batafsil)'!$C$5:$C$320,"Perila")</f>
        <v>0</v>
      </c>
      <c r="K28" s="50" t="n">
        <f aca="false">SUMIFS('Hisob (batafsil)'!$J$5:$J$320,'Hisob (batafsil)'!$B$5:$B$320,$A28,'Hisob (batafsil)'!$C$5:$C$320,"Perila")</f>
        <v>0</v>
      </c>
      <c r="L28" s="50" t="n">
        <f aca="false">SUMIFS('Hisob (batafsil)'!$J$5:$J$320,'Hisob (batafsil)'!$B$5:$B$320,$A28,'Hisob (batafsil)'!$C$5:$C$320,"Yoritish")</f>
        <v>336</v>
      </c>
      <c r="M28" s="50" t="n">
        <f aca="false">SUMIFS('Hisob (batafsil)'!$J$5:$J$320,'Hisob (batafsil)'!$B$5:$B$320,$A28,'Hisob (batafsil)'!$C$5:$C$320,"Kamera tizimi")</f>
        <v>0</v>
      </c>
      <c r="N28" s="50" t="n">
        <f aca="false">SUMIFS('Hisob (batafsil)'!$J$5:$J$320,'Hisob (batafsil)'!$B$5:$B$320,$A28,'Hisob (batafsil)'!$C$5:$C$320,"Logotip")</f>
        <v>0</v>
      </c>
      <c r="O28" s="50" t="n">
        <f aca="false">SUMIFS('Hisob (batafsil)'!$J$5:$J$320,'Hisob (batafsil)'!$B$5:$B$320,$A28,'Hisob (batafsil)'!$C$5:$C$320,"Matli plyonka")</f>
        <v>0</v>
      </c>
      <c r="P28" s="50" t="n">
        <f aca="false">SUMIFS('Hisob (batafsil)'!$J$5:$J$320,'Hisob (batafsil)'!$B$5:$B$320,$A28,'Hisob (batafsil)'!$C$5:$C$320,"Yong'in xavfsizligi")</f>
        <v>0</v>
      </c>
      <c r="Q28" s="50" t="n">
        <f aca="false">SUMIFS('Hisob (batafsil)'!$J$5:$J$320,'Hisob (batafsil)'!$B$5:$B$320,$A28,'Hisob (batafsil)'!$C$5:$C$320,"Buzish ishlari")</f>
        <v>0</v>
      </c>
      <c r="R28" s="50" t="n">
        <f aca="false">SUMIFS('Hisob (batafsil)'!$J$5:$J$320,'Hisob (batafsil)'!$B$5:$B$320,$A28,'Hisob (batafsil)'!$C$5:$C$320,"Santexnika")</f>
        <v>0</v>
      </c>
      <c r="S28" s="50" t="n">
        <f aca="false">SUMIFS('Hisob (batafsil)'!$J$5:$J$320,'Hisob (batafsil)'!$B$5:$B$320,$A28,'Hisob (batafsil)'!$C$5:$C$320,"Kafel")</f>
        <v>0</v>
      </c>
      <c r="T28" s="50" t="n">
        <f aca="false">SUMIFS('Hisob (batafsil)'!$J$5:$J$320,'Hisob (batafsil)'!$B$5:$B$320,$A28,'Hisob (batafsil)'!$C$5:$C$320,"Konditsioner va ventilyatsiya")</f>
        <v>0</v>
      </c>
      <c r="U28" s="50" t="n">
        <f aca="false">SUMIFS('Hisob (batafsil)'!$J$5:$J$320,'Hisob (batafsil)'!$B$5:$B$320,$A28,'Hisob (batafsil)'!$C$5:$C$320,"Mebel va interyer")</f>
        <v>1600</v>
      </c>
      <c r="V28" s="50" t="n">
        <f aca="false">SUMIFS('Hisob (batafsil)'!$J$5:$J$320,'Hisob (batafsil)'!$B$5:$B$320,$A28,'Hisob (batafsil)'!$C$5:$C$320,"E'lon va e'tirof doskalari")</f>
        <v>0</v>
      </c>
      <c r="W28" s="58" t="n">
        <f aca="false">C28+E28+G28+I28+K28+L28+M28+N28+O28+P28+Q28+R28+S28+T28+U28+V28</f>
        <v>2390.2</v>
      </c>
    </row>
    <row r="29" customFormat="false" ht="15" hidden="false" customHeight="false" outlineLevel="0" collapsed="false">
      <c r="A29" s="6" t="s">
        <v>260</v>
      </c>
      <c r="B29" s="56" t="n">
        <f aca="false">SUMIFS('Hisob (batafsil)'!$G$5:$G$320,'Hisob (batafsil)'!$B$5:$B$320,$A29,'Hisob (batafsil)'!$C$5:$C$320,"Shisha devor")</f>
        <v>0</v>
      </c>
      <c r="C29" s="50" t="n">
        <f aca="false">SUMIFS('Hisob (batafsil)'!$J$5:$J$320,'Hisob (batafsil)'!$B$5:$B$320,$A29,'Hisob (batafsil)'!$C$5:$C$320,"Shisha devor")</f>
        <v>0</v>
      </c>
      <c r="D29" s="56" t="n">
        <f aca="false">SUMIFS('Hisob (batafsil)'!$G$5:$G$320,'Hisob (batafsil)'!$B$5:$B$320,$A29,'Hisob (batafsil)'!$C$5:$C$320,"Gips karton (GKL)")</f>
        <v>35.7</v>
      </c>
      <c r="E29" s="50" t="n">
        <f aca="false">SUMIFS('Hisob (batafsil)'!$J$5:$J$320,'Hisob (batafsil)'!$B$5:$B$320,$A29,'Hisob (batafsil)'!$C$5:$C$320,"Gips karton (GKL)")</f>
        <v>428.4</v>
      </c>
      <c r="F29" s="56" t="n">
        <f aca="false">SUMIFS('Hisob (batafsil)'!$G$5:$G$320,'Hisob (batafsil)'!$B$5:$B$320,$A29,'Hisob (batafsil)'!$C$5:$C$320,"Bambuk panel")</f>
        <v>0</v>
      </c>
      <c r="G29" s="50" t="n">
        <f aca="false">SUMIFS('Hisob (batafsil)'!$J$5:$J$320,'Hisob (batafsil)'!$B$5:$B$320,$A29,'Hisob (batafsil)'!$C$5:$C$320,"Bambuk panel")</f>
        <v>0</v>
      </c>
      <c r="H29" s="57" t="n">
        <f aca="false">SUMIFS('Hisob (batafsil)'!$G$5:$G$320,'Hisob (batafsil)'!$B$5:$B$320,$A29,'Hisob (batafsil)'!$C$5:$C$320,"Interaktiv doska")</f>
        <v>0</v>
      </c>
      <c r="I29" s="50" t="n">
        <f aca="false">SUMIFS('Hisob (batafsil)'!$J$5:$J$320,'Hisob (batafsil)'!$B$5:$B$320,$A29,'Hisob (batafsil)'!$C$5:$C$320,"Interaktiv doska")</f>
        <v>0</v>
      </c>
      <c r="J29" s="56" t="n">
        <f aca="false">SUMIFS('Hisob (batafsil)'!$G$5:$G$320,'Hisob (batafsil)'!$B$5:$B$320,$A29,'Hisob (batafsil)'!$C$5:$C$320,"Perila")</f>
        <v>0</v>
      </c>
      <c r="K29" s="50" t="n">
        <f aca="false">SUMIFS('Hisob (batafsil)'!$J$5:$J$320,'Hisob (batafsil)'!$B$5:$B$320,$A29,'Hisob (batafsil)'!$C$5:$C$320,"Perila")</f>
        <v>0</v>
      </c>
      <c r="L29" s="50" t="n">
        <f aca="false">SUMIFS('Hisob (batafsil)'!$J$5:$J$320,'Hisob (batafsil)'!$B$5:$B$320,$A29,'Hisob (batafsil)'!$C$5:$C$320,"Yoritish")</f>
        <v>336</v>
      </c>
      <c r="M29" s="50" t="n">
        <f aca="false">SUMIFS('Hisob (batafsil)'!$J$5:$J$320,'Hisob (batafsil)'!$B$5:$B$320,$A29,'Hisob (batafsil)'!$C$5:$C$320,"Kamera tizimi")</f>
        <v>0</v>
      </c>
      <c r="N29" s="50" t="n">
        <f aca="false">SUMIFS('Hisob (batafsil)'!$J$5:$J$320,'Hisob (batafsil)'!$B$5:$B$320,$A29,'Hisob (batafsil)'!$C$5:$C$320,"Logotip")</f>
        <v>0</v>
      </c>
      <c r="O29" s="50" t="n">
        <f aca="false">SUMIFS('Hisob (batafsil)'!$J$5:$J$320,'Hisob (batafsil)'!$B$5:$B$320,$A29,'Hisob (batafsil)'!$C$5:$C$320,"Matli plyonka")</f>
        <v>0</v>
      </c>
      <c r="P29" s="50" t="n">
        <f aca="false">SUMIFS('Hisob (batafsil)'!$J$5:$J$320,'Hisob (batafsil)'!$B$5:$B$320,$A29,'Hisob (batafsil)'!$C$5:$C$320,"Yong'in xavfsizligi")</f>
        <v>0</v>
      </c>
      <c r="Q29" s="50" t="n">
        <f aca="false">SUMIFS('Hisob (batafsil)'!$J$5:$J$320,'Hisob (batafsil)'!$B$5:$B$320,$A29,'Hisob (batafsil)'!$C$5:$C$320,"Buzish ishlari")</f>
        <v>0</v>
      </c>
      <c r="R29" s="50" t="n">
        <f aca="false">SUMIFS('Hisob (batafsil)'!$J$5:$J$320,'Hisob (batafsil)'!$B$5:$B$320,$A29,'Hisob (batafsil)'!$C$5:$C$320,"Santexnika")</f>
        <v>0</v>
      </c>
      <c r="S29" s="50" t="n">
        <f aca="false">SUMIFS('Hisob (batafsil)'!$J$5:$J$320,'Hisob (batafsil)'!$B$5:$B$320,$A29,'Hisob (batafsil)'!$C$5:$C$320,"Kafel")</f>
        <v>0</v>
      </c>
      <c r="T29" s="50" t="n">
        <f aca="false">SUMIFS('Hisob (batafsil)'!$J$5:$J$320,'Hisob (batafsil)'!$B$5:$B$320,$A29,'Hisob (batafsil)'!$C$5:$C$320,"Konditsioner va ventilyatsiya")</f>
        <v>0</v>
      </c>
      <c r="U29" s="50" t="n">
        <f aca="false">SUMIFS('Hisob (batafsil)'!$J$5:$J$320,'Hisob (batafsil)'!$B$5:$B$320,$A29,'Hisob (batafsil)'!$C$5:$C$320,"Mebel va interyer")</f>
        <v>1600</v>
      </c>
      <c r="V29" s="50" t="n">
        <f aca="false">SUMIFS('Hisob (batafsil)'!$J$5:$J$320,'Hisob (batafsil)'!$B$5:$B$320,$A29,'Hisob (batafsil)'!$C$5:$C$320,"E'lon va e'tirof doskalari")</f>
        <v>0</v>
      </c>
      <c r="W29" s="58" t="n">
        <f aca="false">C29+E29+G29+I29+K29+L29+M29+N29+O29+P29+Q29+R29+S29+T29+U29+V29</f>
        <v>2364.4</v>
      </c>
    </row>
    <row r="30" customFormat="false" ht="15" hidden="false" customHeight="false" outlineLevel="0" collapsed="false">
      <c r="A30" s="6" t="s">
        <v>261</v>
      </c>
      <c r="B30" s="56" t="n">
        <f aca="false">SUMIFS('Hisob (batafsil)'!$G$5:$G$320,'Hisob (batafsil)'!$B$5:$B$320,$A30,'Hisob (batafsil)'!$C$5:$C$320,"Shisha devor")</f>
        <v>0</v>
      </c>
      <c r="C30" s="50" t="n">
        <f aca="false">SUMIFS('Hisob (batafsil)'!$J$5:$J$320,'Hisob (batafsil)'!$B$5:$B$320,$A30,'Hisob (batafsil)'!$C$5:$C$320,"Shisha devor")</f>
        <v>0</v>
      </c>
      <c r="D30" s="56" t="n">
        <f aca="false">SUMIFS('Hisob (batafsil)'!$G$5:$G$320,'Hisob (batafsil)'!$B$5:$B$320,$A30,'Hisob (batafsil)'!$C$5:$C$320,"Gips karton (GKL)")</f>
        <v>9.625</v>
      </c>
      <c r="E30" s="50" t="n">
        <f aca="false">SUMIFS('Hisob (batafsil)'!$J$5:$J$320,'Hisob (batafsil)'!$B$5:$B$320,$A30,'Hisob (batafsil)'!$C$5:$C$320,"Gips karton (GKL)")</f>
        <v>115.5</v>
      </c>
      <c r="F30" s="56" t="n">
        <f aca="false">SUMIFS('Hisob (batafsil)'!$G$5:$G$320,'Hisob (batafsil)'!$B$5:$B$320,$A30,'Hisob (batafsil)'!$C$5:$C$320,"Bambuk panel")</f>
        <v>0</v>
      </c>
      <c r="G30" s="50" t="n">
        <f aca="false">SUMIFS('Hisob (batafsil)'!$J$5:$J$320,'Hisob (batafsil)'!$B$5:$B$320,$A30,'Hisob (batafsil)'!$C$5:$C$320,"Bambuk panel")</f>
        <v>0</v>
      </c>
      <c r="H30" s="57" t="n">
        <f aca="false">SUMIFS('Hisob (batafsil)'!$G$5:$G$320,'Hisob (batafsil)'!$B$5:$B$320,$A30,'Hisob (batafsil)'!$C$5:$C$320,"Interaktiv doska")</f>
        <v>0</v>
      </c>
      <c r="I30" s="50" t="n">
        <f aca="false">SUMIFS('Hisob (batafsil)'!$J$5:$J$320,'Hisob (batafsil)'!$B$5:$B$320,$A30,'Hisob (batafsil)'!$C$5:$C$320,"Interaktiv doska")</f>
        <v>0</v>
      </c>
      <c r="J30" s="56" t="n">
        <f aca="false">SUMIFS('Hisob (batafsil)'!$G$5:$G$320,'Hisob (batafsil)'!$B$5:$B$320,$A30,'Hisob (batafsil)'!$C$5:$C$320,"Perila")</f>
        <v>0</v>
      </c>
      <c r="K30" s="50" t="n">
        <f aca="false">SUMIFS('Hisob (batafsil)'!$J$5:$J$320,'Hisob (batafsil)'!$B$5:$B$320,$A30,'Hisob (batafsil)'!$C$5:$C$320,"Perila")</f>
        <v>0</v>
      </c>
      <c r="L30" s="50" t="n">
        <f aca="false">SUMIFS('Hisob (batafsil)'!$J$5:$J$320,'Hisob (batafsil)'!$B$5:$B$320,$A30,'Hisob (batafsil)'!$C$5:$C$320,"Yoritish")</f>
        <v>336</v>
      </c>
      <c r="M30" s="50" t="n">
        <f aca="false">SUMIFS('Hisob (batafsil)'!$J$5:$J$320,'Hisob (batafsil)'!$B$5:$B$320,$A30,'Hisob (batafsil)'!$C$5:$C$320,"Kamera tizimi")</f>
        <v>0</v>
      </c>
      <c r="N30" s="50" t="n">
        <f aca="false">SUMIFS('Hisob (batafsil)'!$J$5:$J$320,'Hisob (batafsil)'!$B$5:$B$320,$A30,'Hisob (batafsil)'!$C$5:$C$320,"Logotip")</f>
        <v>0</v>
      </c>
      <c r="O30" s="50" t="n">
        <f aca="false">SUMIFS('Hisob (batafsil)'!$J$5:$J$320,'Hisob (batafsil)'!$B$5:$B$320,$A30,'Hisob (batafsil)'!$C$5:$C$320,"Matli plyonka")</f>
        <v>0</v>
      </c>
      <c r="P30" s="50" t="n">
        <f aca="false">SUMIFS('Hisob (batafsil)'!$J$5:$J$320,'Hisob (batafsil)'!$B$5:$B$320,$A30,'Hisob (batafsil)'!$C$5:$C$320,"Yong'in xavfsizligi")</f>
        <v>0</v>
      </c>
      <c r="Q30" s="50" t="n">
        <f aca="false">SUMIFS('Hisob (batafsil)'!$J$5:$J$320,'Hisob (batafsil)'!$B$5:$B$320,$A30,'Hisob (batafsil)'!$C$5:$C$320,"Buzish ishlari")</f>
        <v>0</v>
      </c>
      <c r="R30" s="50" t="n">
        <f aca="false">SUMIFS('Hisob (batafsil)'!$J$5:$J$320,'Hisob (batafsil)'!$B$5:$B$320,$A30,'Hisob (batafsil)'!$C$5:$C$320,"Santexnika")</f>
        <v>0</v>
      </c>
      <c r="S30" s="50" t="n">
        <f aca="false">SUMIFS('Hisob (batafsil)'!$J$5:$J$320,'Hisob (batafsil)'!$B$5:$B$320,$A30,'Hisob (batafsil)'!$C$5:$C$320,"Kafel")</f>
        <v>0</v>
      </c>
      <c r="T30" s="50" t="n">
        <f aca="false">SUMIFS('Hisob (batafsil)'!$J$5:$J$320,'Hisob (batafsil)'!$B$5:$B$320,$A30,'Hisob (batafsil)'!$C$5:$C$320,"Konditsioner va ventilyatsiya")</f>
        <v>0</v>
      </c>
      <c r="U30" s="50" t="n">
        <f aca="false">SUMIFS('Hisob (batafsil)'!$J$5:$J$320,'Hisob (batafsil)'!$B$5:$B$320,$A30,'Hisob (batafsil)'!$C$5:$C$320,"Mebel va interyer")</f>
        <v>3410</v>
      </c>
      <c r="V30" s="50" t="n">
        <f aca="false">SUMIFS('Hisob (batafsil)'!$J$5:$J$320,'Hisob (batafsil)'!$B$5:$B$320,$A30,'Hisob (batafsil)'!$C$5:$C$320,"E'lon va e'tirof doskalari")</f>
        <v>370</v>
      </c>
      <c r="W30" s="58" t="n">
        <f aca="false">C30+E30+G30+I30+K30+L30+M30+N30+O30+P30+Q30+R30+S30+T30+U30+V30</f>
        <v>4231.5</v>
      </c>
    </row>
    <row r="31" customFormat="false" ht="15" hidden="false" customHeight="false" outlineLevel="0" collapsed="false">
      <c r="A31" s="6" t="s">
        <v>262</v>
      </c>
      <c r="B31" s="56" t="n">
        <f aca="false">SUMIFS('Hisob (batafsil)'!$G$5:$G$320,'Hisob (batafsil)'!$B$5:$B$320,$A31,'Hisob (batafsil)'!$C$5:$C$320,"Shisha devor")</f>
        <v>0</v>
      </c>
      <c r="C31" s="50" t="n">
        <f aca="false">SUMIFS('Hisob (batafsil)'!$J$5:$J$320,'Hisob (batafsil)'!$B$5:$B$320,$A31,'Hisob (batafsil)'!$C$5:$C$320,"Shisha devor")</f>
        <v>0</v>
      </c>
      <c r="D31" s="56" t="n">
        <f aca="false">SUMIFS('Hisob (batafsil)'!$G$5:$G$320,'Hisob (batafsil)'!$B$5:$B$320,$A31,'Hisob (batafsil)'!$C$5:$C$320,"Gips karton (GKL)")</f>
        <v>9.1</v>
      </c>
      <c r="E31" s="50" t="n">
        <f aca="false">SUMIFS('Hisob (batafsil)'!$J$5:$J$320,'Hisob (batafsil)'!$B$5:$B$320,$A31,'Hisob (batafsil)'!$C$5:$C$320,"Gips karton (GKL)")</f>
        <v>109.2</v>
      </c>
      <c r="F31" s="56" t="n">
        <f aca="false">SUMIFS('Hisob (batafsil)'!$G$5:$G$320,'Hisob (batafsil)'!$B$5:$B$320,$A31,'Hisob (batafsil)'!$C$5:$C$320,"Bambuk panel")</f>
        <v>0</v>
      </c>
      <c r="G31" s="50" t="n">
        <f aca="false">SUMIFS('Hisob (batafsil)'!$J$5:$J$320,'Hisob (batafsil)'!$B$5:$B$320,$A31,'Hisob (batafsil)'!$C$5:$C$320,"Bambuk panel")</f>
        <v>0</v>
      </c>
      <c r="H31" s="57" t="n">
        <f aca="false">SUMIFS('Hisob (batafsil)'!$G$5:$G$320,'Hisob (batafsil)'!$B$5:$B$320,$A31,'Hisob (batafsil)'!$C$5:$C$320,"Interaktiv doska")</f>
        <v>0</v>
      </c>
      <c r="I31" s="50" t="n">
        <f aca="false">SUMIFS('Hisob (batafsil)'!$J$5:$J$320,'Hisob (batafsil)'!$B$5:$B$320,$A31,'Hisob (batafsil)'!$C$5:$C$320,"Interaktiv doska")</f>
        <v>0</v>
      </c>
      <c r="J31" s="56" t="n">
        <f aca="false">SUMIFS('Hisob (batafsil)'!$G$5:$G$320,'Hisob (batafsil)'!$B$5:$B$320,$A31,'Hisob (batafsil)'!$C$5:$C$320,"Perila")</f>
        <v>0</v>
      </c>
      <c r="K31" s="50" t="n">
        <f aca="false">SUMIFS('Hisob (batafsil)'!$J$5:$J$320,'Hisob (batafsil)'!$B$5:$B$320,$A31,'Hisob (batafsil)'!$C$5:$C$320,"Perila")</f>
        <v>0</v>
      </c>
      <c r="L31" s="50" t="n">
        <f aca="false">SUMIFS('Hisob (batafsil)'!$J$5:$J$320,'Hisob (batafsil)'!$B$5:$B$320,$A31,'Hisob (batafsil)'!$C$5:$C$320,"Yoritish")</f>
        <v>0</v>
      </c>
      <c r="M31" s="50" t="n">
        <f aca="false">SUMIFS('Hisob (batafsil)'!$J$5:$J$320,'Hisob (batafsil)'!$B$5:$B$320,$A31,'Hisob (batafsil)'!$C$5:$C$320,"Kamera tizimi")</f>
        <v>0</v>
      </c>
      <c r="N31" s="50" t="n">
        <f aca="false">SUMIFS('Hisob (batafsil)'!$J$5:$J$320,'Hisob (batafsil)'!$B$5:$B$320,$A31,'Hisob (batafsil)'!$C$5:$C$320,"Logotip")</f>
        <v>0</v>
      </c>
      <c r="O31" s="50" t="n">
        <f aca="false">SUMIFS('Hisob (batafsil)'!$J$5:$J$320,'Hisob (batafsil)'!$B$5:$B$320,$A31,'Hisob (batafsil)'!$C$5:$C$320,"Matli plyonka")</f>
        <v>0</v>
      </c>
      <c r="P31" s="50" t="n">
        <f aca="false">SUMIFS('Hisob (batafsil)'!$J$5:$J$320,'Hisob (batafsil)'!$B$5:$B$320,$A31,'Hisob (batafsil)'!$C$5:$C$320,"Yong'in xavfsizligi")</f>
        <v>0</v>
      </c>
      <c r="Q31" s="50" t="n">
        <f aca="false">SUMIFS('Hisob (batafsil)'!$J$5:$J$320,'Hisob (batafsil)'!$B$5:$B$320,$A31,'Hisob (batafsil)'!$C$5:$C$320,"Buzish ishlari")</f>
        <v>0</v>
      </c>
      <c r="R31" s="50" t="n">
        <f aca="false">SUMIFS('Hisob (batafsil)'!$J$5:$J$320,'Hisob (batafsil)'!$B$5:$B$320,$A31,'Hisob (batafsil)'!$C$5:$C$320,"Santexnika")</f>
        <v>0</v>
      </c>
      <c r="S31" s="50" t="n">
        <f aca="false">SUMIFS('Hisob (batafsil)'!$J$5:$J$320,'Hisob (batafsil)'!$B$5:$B$320,$A31,'Hisob (batafsil)'!$C$5:$C$320,"Kafel")</f>
        <v>0</v>
      </c>
      <c r="T31" s="50" t="n">
        <f aca="false">SUMIFS('Hisob (batafsil)'!$J$5:$J$320,'Hisob (batafsil)'!$B$5:$B$320,$A31,'Hisob (batafsil)'!$C$5:$C$320,"Konditsioner va ventilyatsiya")</f>
        <v>0</v>
      </c>
      <c r="U31" s="50" t="n">
        <f aca="false">SUMIFS('Hisob (batafsil)'!$J$5:$J$320,'Hisob (batafsil)'!$B$5:$B$320,$A31,'Hisob (batafsil)'!$C$5:$C$320,"Mebel va interyer")</f>
        <v>0</v>
      </c>
      <c r="V31" s="50" t="n">
        <f aca="false">SUMIFS('Hisob (batafsil)'!$J$5:$J$320,'Hisob (batafsil)'!$B$5:$B$320,$A31,'Hisob (batafsil)'!$C$5:$C$320,"E'lon va e'tirof doskalari")</f>
        <v>0</v>
      </c>
      <c r="W31" s="58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263</v>
      </c>
      <c r="B32" s="56" t="n">
        <f aca="false">SUMIFS('Hisob (batafsil)'!$G$5:$G$320,'Hisob (batafsil)'!$B$5:$B$320,$A32,'Hisob (batafsil)'!$C$5:$C$320,"Shisha devor")</f>
        <v>0</v>
      </c>
      <c r="C32" s="50" t="n">
        <f aca="false">SUMIFS('Hisob (batafsil)'!$J$5:$J$320,'Hisob (batafsil)'!$B$5:$B$320,$A32,'Hisob (batafsil)'!$C$5:$C$320,"Shisha devor")</f>
        <v>0</v>
      </c>
      <c r="D32" s="56" t="n">
        <f aca="false">SUMIFS('Hisob (batafsil)'!$G$5:$G$320,'Hisob (batafsil)'!$B$5:$B$320,$A32,'Hisob (batafsil)'!$C$5:$C$320,"Gips karton (GKL)")</f>
        <v>0</v>
      </c>
      <c r="E32" s="50" t="n">
        <f aca="false">SUMIFS('Hisob (batafsil)'!$J$5:$J$320,'Hisob (batafsil)'!$B$5:$B$320,$A32,'Hisob (batafsil)'!$C$5:$C$320,"Gips karton (GKL)")</f>
        <v>0</v>
      </c>
      <c r="F32" s="56" t="n">
        <f aca="false">SUMIFS('Hisob (batafsil)'!$G$5:$G$320,'Hisob (batafsil)'!$B$5:$B$320,$A32,'Hisob (batafsil)'!$C$5:$C$320,"Bambuk panel")</f>
        <v>0</v>
      </c>
      <c r="G32" s="50" t="n">
        <f aca="false">SUMIFS('Hisob (batafsil)'!$J$5:$J$320,'Hisob (batafsil)'!$B$5:$B$320,$A32,'Hisob (batafsil)'!$C$5:$C$320,"Bambuk panel")</f>
        <v>0</v>
      </c>
      <c r="H32" s="57" t="n">
        <f aca="false">SUMIFS('Hisob (batafsil)'!$G$5:$G$320,'Hisob (batafsil)'!$B$5:$B$320,$A32,'Hisob (batafsil)'!$C$5:$C$320,"Interaktiv doska")</f>
        <v>0</v>
      </c>
      <c r="I32" s="50" t="n">
        <f aca="false">SUMIFS('Hisob (batafsil)'!$J$5:$J$320,'Hisob (batafsil)'!$B$5:$B$320,$A32,'Hisob (batafsil)'!$C$5:$C$320,"Interaktiv doska")</f>
        <v>0</v>
      </c>
      <c r="J32" s="56" t="n">
        <f aca="false">SUMIFS('Hisob (batafsil)'!$G$5:$G$320,'Hisob (batafsil)'!$B$5:$B$320,$A32,'Hisob (batafsil)'!$C$5:$C$320,"Perila")</f>
        <v>27.65</v>
      </c>
      <c r="K32" s="50" t="n">
        <f aca="false">SUMIFS('Hisob (batafsil)'!$J$5:$J$320,'Hisob (batafsil)'!$B$5:$B$320,$A32,'Hisob (batafsil)'!$C$5:$C$320,"Perila")</f>
        <v>2322.6</v>
      </c>
      <c r="L32" s="50" t="n">
        <f aca="false">SUMIFS('Hisob (batafsil)'!$J$5:$J$320,'Hisob (batafsil)'!$B$5:$B$320,$A32,'Hisob (batafsil)'!$C$5:$C$320,"Yoritish")</f>
        <v>0</v>
      </c>
      <c r="M32" s="50" t="n">
        <f aca="false">SUMIFS('Hisob (batafsil)'!$J$5:$J$320,'Hisob (batafsil)'!$B$5:$B$320,$A32,'Hisob (batafsil)'!$C$5:$C$320,"Kamera tizimi")</f>
        <v>0</v>
      </c>
      <c r="N32" s="50" t="n">
        <f aca="false">SUMIFS('Hisob (batafsil)'!$J$5:$J$320,'Hisob (batafsil)'!$B$5:$B$320,$A32,'Hisob (batafsil)'!$C$5:$C$320,"Logotip")</f>
        <v>0</v>
      </c>
      <c r="O32" s="50" t="n">
        <f aca="false">SUMIFS('Hisob (batafsil)'!$J$5:$J$320,'Hisob (batafsil)'!$B$5:$B$320,$A32,'Hisob (batafsil)'!$C$5:$C$320,"Matli plyonka")</f>
        <v>0</v>
      </c>
      <c r="P32" s="50" t="n">
        <f aca="false">SUMIFS('Hisob (batafsil)'!$J$5:$J$320,'Hisob (batafsil)'!$B$5:$B$320,$A32,'Hisob (batafsil)'!$C$5:$C$320,"Yong'in xavfsizligi")</f>
        <v>0</v>
      </c>
      <c r="Q32" s="50" t="n">
        <f aca="false">SUMIFS('Hisob (batafsil)'!$J$5:$J$320,'Hisob (batafsil)'!$B$5:$B$320,$A32,'Hisob (batafsil)'!$C$5:$C$320,"Buzish ishlari")</f>
        <v>0</v>
      </c>
      <c r="R32" s="50" t="n">
        <f aca="false">SUMIFS('Hisob (batafsil)'!$J$5:$J$320,'Hisob (batafsil)'!$B$5:$B$320,$A32,'Hisob (batafsil)'!$C$5:$C$320,"Santexnika")</f>
        <v>0</v>
      </c>
      <c r="S32" s="50" t="n">
        <f aca="false">SUMIFS('Hisob (batafsil)'!$J$5:$J$320,'Hisob (batafsil)'!$B$5:$B$320,$A32,'Hisob (batafsil)'!$C$5:$C$320,"Kafel")</f>
        <v>0</v>
      </c>
      <c r="T32" s="50" t="n">
        <f aca="false">SUMIFS('Hisob (batafsil)'!$J$5:$J$320,'Hisob (batafsil)'!$B$5:$B$320,$A32,'Hisob (batafsil)'!$C$5:$C$320,"Konditsioner va ventilyatsiya")</f>
        <v>0</v>
      </c>
      <c r="U32" s="50" t="n">
        <f aca="false">SUMIFS('Hisob (batafsil)'!$J$5:$J$320,'Hisob (batafsil)'!$B$5:$B$320,$A32,'Hisob (batafsil)'!$C$5:$C$320,"Mebel va interyer")</f>
        <v>0</v>
      </c>
      <c r="V32" s="50" t="n">
        <f aca="false">SUMIFS('Hisob (batafsil)'!$J$5:$J$320,'Hisob (batafsil)'!$B$5:$B$320,$A32,'Hisob (batafsil)'!$C$5:$C$320,"E'lon va e'tirof doskalari")</f>
        <v>0</v>
      </c>
      <c r="W32" s="58" t="n">
        <f aca="false">C32+E32+G32+I32+K32+L32+M32+N32+O32+P32+Q32+R32+S32+T32+U32+V32</f>
        <v>2322.6</v>
      </c>
    </row>
    <row r="33" customFormat="false" ht="15" hidden="false" customHeight="false" outlineLevel="0" collapsed="false">
      <c r="A33" s="6" t="s">
        <v>264</v>
      </c>
      <c r="B33" s="56" t="n">
        <f aca="false">SUMIFS('Hisob (batafsil)'!$G$5:$G$320,'Hisob (batafsil)'!$B$5:$B$320,$A33,'Hisob (batafsil)'!$C$5:$C$320,"Shisha devor")</f>
        <v>0</v>
      </c>
      <c r="C33" s="50" t="n">
        <f aca="false">SUMIFS('Hisob (batafsil)'!$J$5:$J$320,'Hisob (batafsil)'!$B$5:$B$320,$A33,'Hisob (batafsil)'!$C$5:$C$320,"Shisha devor")</f>
        <v>0</v>
      </c>
      <c r="D33" s="56" t="n">
        <f aca="false">SUMIFS('Hisob (batafsil)'!$G$5:$G$320,'Hisob (batafsil)'!$B$5:$B$320,$A33,'Hisob (batafsil)'!$C$5:$C$320,"Gips karton (GKL)")</f>
        <v>0</v>
      </c>
      <c r="E33" s="50" t="n">
        <f aca="false">SUMIFS('Hisob (batafsil)'!$J$5:$J$320,'Hisob (batafsil)'!$B$5:$B$320,$A33,'Hisob (batafsil)'!$C$5:$C$320,"Gips karton (GKL)")</f>
        <v>0</v>
      </c>
      <c r="F33" s="56" t="n">
        <f aca="false">SUMIFS('Hisob (batafsil)'!$G$5:$G$320,'Hisob (batafsil)'!$B$5:$B$320,$A33,'Hisob (batafsil)'!$C$5:$C$320,"Bambuk panel")</f>
        <v>0</v>
      </c>
      <c r="G33" s="50" t="n">
        <f aca="false">SUMIFS('Hisob (batafsil)'!$J$5:$J$320,'Hisob (batafsil)'!$B$5:$B$320,$A33,'Hisob (batafsil)'!$C$5:$C$320,"Bambuk panel")</f>
        <v>0</v>
      </c>
      <c r="H33" s="57" t="n">
        <f aca="false">SUMIFS('Hisob (batafsil)'!$G$5:$G$320,'Hisob (batafsil)'!$B$5:$B$320,$A33,'Hisob (batafsil)'!$C$5:$C$320,"Interaktiv doska")</f>
        <v>0</v>
      </c>
      <c r="I33" s="50" t="n">
        <f aca="false">SUMIFS('Hisob (batafsil)'!$J$5:$J$320,'Hisob (batafsil)'!$B$5:$B$320,$A33,'Hisob (batafsil)'!$C$5:$C$320,"Interaktiv doska")</f>
        <v>0</v>
      </c>
      <c r="J33" s="56" t="n">
        <f aca="false">SUMIFS('Hisob (batafsil)'!$G$5:$G$320,'Hisob (batafsil)'!$B$5:$B$320,$A33,'Hisob (batafsil)'!$C$5:$C$320,"Perila")</f>
        <v>0</v>
      </c>
      <c r="K33" s="50" t="n">
        <f aca="false">SUMIFS('Hisob (batafsil)'!$J$5:$J$320,'Hisob (batafsil)'!$B$5:$B$320,$A33,'Hisob (batafsil)'!$C$5:$C$320,"Perila")</f>
        <v>0</v>
      </c>
      <c r="L33" s="50" t="n">
        <f aca="false">SUMIFS('Hisob (batafsil)'!$J$5:$J$320,'Hisob (batafsil)'!$B$5:$B$320,$A33,'Hisob (batafsil)'!$C$5:$C$320,"Yoritish")</f>
        <v>0</v>
      </c>
      <c r="M33" s="50" t="n">
        <f aca="false">SUMIFS('Hisob (batafsil)'!$J$5:$J$320,'Hisob (batafsil)'!$B$5:$B$320,$A33,'Hisob (batafsil)'!$C$5:$C$320,"Kamera tizimi")</f>
        <v>2119</v>
      </c>
      <c r="N33" s="50" t="n">
        <f aca="false">SUMIFS('Hisob (batafsil)'!$J$5:$J$320,'Hisob (batafsil)'!$B$5:$B$320,$A33,'Hisob (batafsil)'!$C$5:$C$320,"Logotip")</f>
        <v>2500</v>
      </c>
      <c r="O33" s="50" t="n">
        <f aca="false">SUMIFS('Hisob (batafsil)'!$J$5:$J$320,'Hisob (batafsil)'!$B$5:$B$320,$A33,'Hisob (batafsil)'!$C$5:$C$320,"Matli plyonka")</f>
        <v>537.81512605042</v>
      </c>
      <c r="P33" s="50" t="n">
        <f aca="false">SUMIFS('Hisob (batafsil)'!$J$5:$J$320,'Hisob (batafsil)'!$B$5:$B$320,$A33,'Hisob (batafsil)'!$C$5:$C$320,"Yong'in xavfsizligi")</f>
        <v>1512.60504201681</v>
      </c>
      <c r="Q33" s="50" t="n">
        <f aca="false">SUMIFS('Hisob (batafsil)'!$J$5:$J$320,'Hisob (batafsil)'!$B$5:$B$320,$A33,'Hisob (batafsil)'!$C$5:$C$320,"Buzish ishlari")</f>
        <v>340.546218487395</v>
      </c>
      <c r="R33" s="50" t="n">
        <f aca="false">SUMIFS('Hisob (batafsil)'!$J$5:$J$320,'Hisob (batafsil)'!$B$5:$B$320,$A33,'Hisob (batafsil)'!$C$5:$C$320,"Santexnika")</f>
        <v>0</v>
      </c>
      <c r="S33" s="50" t="n">
        <f aca="false">SUMIFS('Hisob (batafsil)'!$J$5:$J$320,'Hisob (batafsil)'!$B$5:$B$320,$A33,'Hisob (batafsil)'!$C$5:$C$320,"Kafel")</f>
        <v>0</v>
      </c>
      <c r="T33" s="50" t="n">
        <f aca="false">SUMIFS('Hisob (batafsil)'!$J$5:$J$320,'Hisob (batafsil)'!$B$5:$B$320,$A33,'Hisob (batafsil)'!$C$5:$C$320,"Konditsioner va ventilyatsiya")</f>
        <v>10025.2100840336</v>
      </c>
      <c r="U33" s="50" t="n">
        <f aca="false">SUMIFS('Hisob (batafsil)'!$J$5:$J$320,'Hisob (batafsil)'!$B$5:$B$320,$A33,'Hisob (batafsil)'!$C$5:$C$320,"Mebel va interyer")</f>
        <v>0</v>
      </c>
      <c r="V33" s="50" t="n">
        <f aca="false">SUMIFS('Hisob (batafsil)'!$J$5:$J$320,'Hisob (batafsil)'!$B$5:$B$320,$A33,'Hisob (batafsil)'!$C$5:$C$320,"E'lon va e'tirof doskalari")</f>
        <v>0</v>
      </c>
      <c r="W33" s="58" t="n">
        <f aca="false">C33+E33+G33+I33+K33+L33+M33+N33+O33+P33+Q33+R33+S33+T33+U33+V33</f>
        <v>17035.1764705882</v>
      </c>
    </row>
    <row r="34" customFormat="false" ht="15" hidden="false" customHeight="false" outlineLevel="0" collapsed="false">
      <c r="A34" s="11" t="s">
        <v>265</v>
      </c>
      <c r="B34" s="59" t="n">
        <f aca="false">SUM(B28:B33)</f>
        <v>0</v>
      </c>
      <c r="C34" s="41" t="n">
        <f aca="false">SUM(C28:C33)</f>
        <v>0</v>
      </c>
      <c r="D34" s="59" t="n">
        <f aca="false">SUM(D28:D33)</f>
        <v>92.275</v>
      </c>
      <c r="E34" s="41" t="n">
        <f aca="false">SUM(E28:E33)</f>
        <v>1107.3</v>
      </c>
      <c r="F34" s="59" t="n">
        <f aca="false">SUM(F28:F33)</f>
        <v>0</v>
      </c>
      <c r="G34" s="41" t="n">
        <f aca="false">SUM(G28:G33)</f>
        <v>0</v>
      </c>
      <c r="H34" s="60" t="n">
        <f aca="false">SUM(H28:H33)</f>
        <v>0</v>
      </c>
      <c r="I34" s="41" t="n">
        <f aca="false">SUM(I28:I33)</f>
        <v>0</v>
      </c>
      <c r="J34" s="59" t="n">
        <f aca="false">SUM(J28:J33)</f>
        <v>27.65</v>
      </c>
      <c r="K34" s="41" t="n">
        <f aca="false">SUM(K28:K33)</f>
        <v>2322.6</v>
      </c>
      <c r="L34" s="41" t="n">
        <f aca="false">SUM(L28:L33)</f>
        <v>1008</v>
      </c>
      <c r="M34" s="41" t="n">
        <f aca="false">SUM(M28:M33)</f>
        <v>2119</v>
      </c>
      <c r="N34" s="41" t="n">
        <f aca="false">SUM(N28:N33)</f>
        <v>2500</v>
      </c>
      <c r="O34" s="41" t="n">
        <f aca="false">SUM(O28:O33)</f>
        <v>537.81512605042</v>
      </c>
      <c r="P34" s="41" t="n">
        <f aca="false">SUM(P28:P33)</f>
        <v>1512.60504201681</v>
      </c>
      <c r="Q34" s="41" t="n">
        <f aca="false">SUM(Q28:Q33)</f>
        <v>340.546218487395</v>
      </c>
      <c r="R34" s="41" t="n">
        <f aca="false">SUM(R28:R33)</f>
        <v>0</v>
      </c>
      <c r="S34" s="41" t="n">
        <f aca="false">SUM(S28:S33)</f>
        <v>0</v>
      </c>
      <c r="T34" s="41" t="n">
        <f aca="false">SUM(T28:T33)</f>
        <v>10025.2100840336</v>
      </c>
      <c r="U34" s="41" t="n">
        <f aca="false">SUM(U28:U33)</f>
        <v>6610</v>
      </c>
      <c r="V34" s="41" t="n">
        <f aca="false">SUM(V28:V33)</f>
        <v>370</v>
      </c>
      <c r="W34" s="41" t="n">
        <f aca="false">SUM(W28:W33)</f>
        <v>28453.0764705882</v>
      </c>
    </row>
    <row r="36" customFormat="false" ht="15" hidden="false" customHeight="false" outlineLevel="0" collapsed="false">
      <c r="A36" s="54" t="s">
        <v>33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 customFormat="false" ht="15" hidden="false" customHeight="false" outlineLevel="0" collapsed="false">
      <c r="A37" s="6" t="s">
        <v>266</v>
      </c>
      <c r="B37" s="56" t="n">
        <f aca="false">SUMIFS('Hisob (batafsil)'!$G$5:$G$320,'Hisob (batafsil)'!$B$5:$B$320,$A37,'Hisob (batafsil)'!$C$5:$C$320,"Shisha devor")</f>
        <v>0</v>
      </c>
      <c r="C37" s="50" t="n">
        <f aca="false">SUMIFS('Hisob (batafsil)'!$J$5:$J$320,'Hisob (batafsil)'!$B$5:$B$320,$A37,'Hisob (batafsil)'!$C$5:$C$320,"Shisha devor")</f>
        <v>0</v>
      </c>
      <c r="D37" s="56" t="n">
        <f aca="false">SUMIFS('Hisob (batafsil)'!$G$5:$G$320,'Hisob (batafsil)'!$B$5:$B$320,$A37,'Hisob (batafsil)'!$C$5:$C$320,"Gips karton (GKL)")</f>
        <v>0</v>
      </c>
      <c r="E37" s="50" t="n">
        <f aca="false">SUMIFS('Hisob (batafsil)'!$J$5:$J$320,'Hisob (batafsil)'!$B$5:$B$320,$A37,'Hisob (batafsil)'!$C$5:$C$320,"Gips karton (GKL)")</f>
        <v>0</v>
      </c>
      <c r="F37" s="56" t="n">
        <f aca="false">SUMIFS('Hisob (batafsil)'!$G$5:$G$320,'Hisob (batafsil)'!$B$5:$B$320,$A37,'Hisob (batafsil)'!$C$5:$C$320,"Bambuk panel")</f>
        <v>46.86</v>
      </c>
      <c r="G37" s="50" t="n">
        <f aca="false">SUMIFS('Hisob (batafsil)'!$J$5:$J$320,'Hisob (batafsil)'!$B$5:$B$320,$A37,'Hisob (batafsil)'!$C$5:$C$320,"Bambuk panel")</f>
        <v>726.33</v>
      </c>
      <c r="H37" s="57" t="n">
        <f aca="false">SUMIFS('Hisob (batafsil)'!$G$5:$G$320,'Hisob (batafsil)'!$B$5:$B$320,$A37,'Hisob (batafsil)'!$C$5:$C$320,"Interaktiv doska")</f>
        <v>1</v>
      </c>
      <c r="I37" s="50" t="n">
        <f aca="false">SUMIFS('Hisob (batafsil)'!$J$5:$J$320,'Hisob (batafsil)'!$B$5:$B$320,$A37,'Hisob (batafsil)'!$C$5:$C$320,"Interaktiv doska")</f>
        <v>1032</v>
      </c>
      <c r="J37" s="56" t="n">
        <f aca="false">SUMIFS('Hisob (batafsil)'!$G$5:$G$320,'Hisob (batafsil)'!$B$5:$B$320,$A37,'Hisob (batafsil)'!$C$5:$C$320,"Perila")</f>
        <v>0</v>
      </c>
      <c r="K37" s="50" t="n">
        <f aca="false">SUMIFS('Hisob (batafsil)'!$J$5:$J$320,'Hisob (batafsil)'!$B$5:$B$320,$A37,'Hisob (batafsil)'!$C$5:$C$320,"Perila")</f>
        <v>0</v>
      </c>
      <c r="L37" s="50" t="n">
        <f aca="false">SUMIFS('Hisob (batafsil)'!$J$5:$J$320,'Hisob (batafsil)'!$B$5:$B$320,$A37,'Hisob (batafsil)'!$C$5:$C$320,"Yoritish")</f>
        <v>0</v>
      </c>
      <c r="M37" s="50" t="n">
        <f aca="false">SUMIFS('Hisob (batafsil)'!$J$5:$J$320,'Hisob (batafsil)'!$B$5:$B$320,$A37,'Hisob (batafsil)'!$C$5:$C$320,"Kamera tizimi")</f>
        <v>0</v>
      </c>
      <c r="N37" s="50" t="n">
        <f aca="false">SUMIFS('Hisob (batafsil)'!$J$5:$J$320,'Hisob (batafsil)'!$B$5:$B$320,$A37,'Hisob (batafsil)'!$C$5:$C$320,"Logotip")</f>
        <v>0</v>
      </c>
      <c r="O37" s="50" t="n">
        <f aca="false">SUMIFS('Hisob (batafsil)'!$J$5:$J$320,'Hisob (batafsil)'!$B$5:$B$320,$A37,'Hisob (batafsil)'!$C$5:$C$320,"Matli plyonka")</f>
        <v>0</v>
      </c>
      <c r="P37" s="50" t="n">
        <f aca="false">SUMIFS('Hisob (batafsil)'!$J$5:$J$320,'Hisob (batafsil)'!$B$5:$B$320,$A37,'Hisob (batafsil)'!$C$5:$C$320,"Yong'in xavfsizligi")</f>
        <v>0</v>
      </c>
      <c r="Q37" s="50" t="n">
        <f aca="false">SUMIFS('Hisob (batafsil)'!$J$5:$J$320,'Hisob (batafsil)'!$B$5:$B$320,$A37,'Hisob (batafsil)'!$C$5:$C$320,"Buzish ishlari")</f>
        <v>0</v>
      </c>
      <c r="R37" s="50" t="n">
        <f aca="false">SUMIFS('Hisob (batafsil)'!$J$5:$J$320,'Hisob (batafsil)'!$B$5:$B$320,$A37,'Hisob (batafsil)'!$C$5:$C$320,"Santexnika")</f>
        <v>0</v>
      </c>
      <c r="S37" s="50" t="n">
        <f aca="false">SUMIFS('Hisob (batafsil)'!$J$5:$J$320,'Hisob (batafsil)'!$B$5:$B$320,$A37,'Hisob (batafsil)'!$C$5:$C$320,"Kafel")</f>
        <v>0</v>
      </c>
      <c r="T37" s="50" t="n">
        <f aca="false">SUMIFS('Hisob (batafsil)'!$J$5:$J$320,'Hisob (batafsil)'!$B$5:$B$320,$A37,'Hisob (batafsil)'!$C$5:$C$320,"Konditsioner va ventilyatsiya")</f>
        <v>1000</v>
      </c>
      <c r="U37" s="50" t="n">
        <f aca="false">SUMIFS('Hisob (batafsil)'!$J$5:$J$320,'Hisob (batafsil)'!$B$5:$B$320,$A37,'Hisob (batafsil)'!$C$5:$C$320,"Mebel va interyer")</f>
        <v>0</v>
      </c>
      <c r="V37" s="50" t="n">
        <f aca="false">SUMIFS('Hisob (batafsil)'!$J$5:$J$320,'Hisob (batafsil)'!$B$5:$B$320,$A37,'Hisob (batafsil)'!$C$5:$C$320,"E'lon va e'tirof doskalari")</f>
        <v>0</v>
      </c>
      <c r="W37" s="58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267</v>
      </c>
      <c r="B38" s="56" t="n">
        <f aca="false">SUMIFS('Hisob (batafsil)'!$G$5:$G$320,'Hisob (batafsil)'!$B$5:$B$320,$A38,'Hisob (batafsil)'!$C$5:$C$320,"Shisha devor")</f>
        <v>0</v>
      </c>
      <c r="C38" s="50" t="n">
        <f aca="false">SUMIFS('Hisob (batafsil)'!$J$5:$J$320,'Hisob (batafsil)'!$B$5:$B$320,$A38,'Hisob (batafsil)'!$C$5:$C$320,"Shisha devor")</f>
        <v>0</v>
      </c>
      <c r="D38" s="56" t="n">
        <f aca="false">SUMIFS('Hisob (batafsil)'!$G$5:$G$320,'Hisob (batafsil)'!$B$5:$B$320,$A38,'Hisob (batafsil)'!$C$5:$C$320,"Gips karton (GKL)")</f>
        <v>0</v>
      </c>
      <c r="E38" s="50" t="n">
        <f aca="false">SUMIFS('Hisob (batafsil)'!$J$5:$J$320,'Hisob (batafsil)'!$B$5:$B$320,$A38,'Hisob (batafsil)'!$C$5:$C$320,"Gips karton (GKL)")</f>
        <v>0</v>
      </c>
      <c r="F38" s="56" t="n">
        <f aca="false">SUMIFS('Hisob (batafsil)'!$G$5:$G$320,'Hisob (batafsil)'!$B$5:$B$320,$A38,'Hisob (batafsil)'!$C$5:$C$320,"Bambuk panel")</f>
        <v>0</v>
      </c>
      <c r="G38" s="50" t="n">
        <f aca="false">SUMIFS('Hisob (batafsil)'!$J$5:$J$320,'Hisob (batafsil)'!$B$5:$B$320,$A38,'Hisob (batafsil)'!$C$5:$C$320,"Bambuk panel")</f>
        <v>0</v>
      </c>
      <c r="H38" s="57" t="n">
        <f aca="false">SUMIFS('Hisob (batafsil)'!$G$5:$G$320,'Hisob (batafsil)'!$B$5:$B$320,$A38,'Hisob (batafsil)'!$C$5:$C$320,"Interaktiv doska")</f>
        <v>0</v>
      </c>
      <c r="I38" s="50" t="n">
        <f aca="false">SUMIFS('Hisob (batafsil)'!$J$5:$J$320,'Hisob (batafsil)'!$B$5:$B$320,$A38,'Hisob (batafsil)'!$C$5:$C$320,"Interaktiv doska")</f>
        <v>0</v>
      </c>
      <c r="J38" s="56" t="n">
        <f aca="false">SUMIFS('Hisob (batafsil)'!$G$5:$G$320,'Hisob (batafsil)'!$B$5:$B$320,$A38,'Hisob (batafsil)'!$C$5:$C$320,"Perila")</f>
        <v>0</v>
      </c>
      <c r="K38" s="50" t="n">
        <f aca="false">SUMIFS('Hisob (batafsil)'!$J$5:$J$320,'Hisob (batafsil)'!$B$5:$B$320,$A38,'Hisob (batafsil)'!$C$5:$C$320,"Perila")</f>
        <v>0</v>
      </c>
      <c r="L38" s="50" t="n">
        <f aca="false">SUMIFS('Hisob (batafsil)'!$J$5:$J$320,'Hisob (batafsil)'!$B$5:$B$320,$A38,'Hisob (batafsil)'!$C$5:$C$320,"Yoritish")</f>
        <v>0</v>
      </c>
      <c r="M38" s="50" t="n">
        <f aca="false">SUMIFS('Hisob (batafsil)'!$J$5:$J$320,'Hisob (batafsil)'!$B$5:$B$320,$A38,'Hisob (batafsil)'!$C$5:$C$320,"Kamera tizimi")</f>
        <v>0</v>
      </c>
      <c r="N38" s="50" t="n">
        <f aca="false">SUMIFS('Hisob (batafsil)'!$J$5:$J$320,'Hisob (batafsil)'!$B$5:$B$320,$A38,'Hisob (batafsil)'!$C$5:$C$320,"Logotip")</f>
        <v>0</v>
      </c>
      <c r="O38" s="50" t="n">
        <f aca="false">SUMIFS('Hisob (batafsil)'!$J$5:$J$320,'Hisob (batafsil)'!$B$5:$B$320,$A38,'Hisob (batafsil)'!$C$5:$C$320,"Matli plyonka")</f>
        <v>0</v>
      </c>
      <c r="P38" s="50" t="n">
        <f aca="false">SUMIFS('Hisob (batafsil)'!$J$5:$J$320,'Hisob (batafsil)'!$B$5:$B$320,$A38,'Hisob (batafsil)'!$C$5:$C$320,"Yong'in xavfsizligi")</f>
        <v>0</v>
      </c>
      <c r="Q38" s="50" t="n">
        <f aca="false">SUMIFS('Hisob (batafsil)'!$J$5:$J$320,'Hisob (batafsil)'!$B$5:$B$320,$A38,'Hisob (batafsil)'!$C$5:$C$320,"Buzish ishlari")</f>
        <v>0</v>
      </c>
      <c r="R38" s="50" t="n">
        <f aca="false">SUMIFS('Hisob (batafsil)'!$J$5:$J$320,'Hisob (batafsil)'!$B$5:$B$320,$A38,'Hisob (batafsil)'!$C$5:$C$320,"Santexnika")</f>
        <v>3317.64705882353</v>
      </c>
      <c r="S38" s="50" t="n">
        <f aca="false">SUMIFS('Hisob (batafsil)'!$J$5:$J$320,'Hisob (batafsil)'!$B$5:$B$320,$A38,'Hisob (batafsil)'!$C$5:$C$320,"Kafel")</f>
        <v>1243.6974789916</v>
      </c>
      <c r="T38" s="50" t="n">
        <f aca="false">SUMIFS('Hisob (batafsil)'!$J$5:$J$320,'Hisob (batafsil)'!$B$5:$B$320,$A38,'Hisob (batafsil)'!$C$5:$C$320,"Konditsioner va ventilyatsiya")</f>
        <v>0</v>
      </c>
      <c r="U38" s="50" t="n">
        <f aca="false">SUMIFS('Hisob (batafsil)'!$J$5:$J$320,'Hisob (batafsil)'!$B$5:$B$320,$A38,'Hisob (batafsil)'!$C$5:$C$320,"Mebel va interyer")</f>
        <v>0</v>
      </c>
      <c r="V38" s="50" t="n">
        <f aca="false">SUMIFS('Hisob (batafsil)'!$J$5:$J$320,'Hisob (batafsil)'!$B$5:$B$320,$A38,'Hisob (batafsil)'!$C$5:$C$320,"E'lon va e'tirof doskalari")</f>
        <v>0</v>
      </c>
      <c r="W38" s="58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268</v>
      </c>
      <c r="B39" s="59" t="n">
        <f aca="false">SUM(B37:B38)</f>
        <v>0</v>
      </c>
      <c r="C39" s="41" t="n">
        <f aca="false">SUM(C37:C38)</f>
        <v>0</v>
      </c>
      <c r="D39" s="59" t="n">
        <f aca="false">SUM(D37:D38)</f>
        <v>0</v>
      </c>
      <c r="E39" s="41" t="n">
        <f aca="false">SUM(E37:E38)</f>
        <v>0</v>
      </c>
      <c r="F39" s="59" t="n">
        <f aca="false">SUM(F37:F38)</f>
        <v>46.86</v>
      </c>
      <c r="G39" s="41" t="n">
        <f aca="false">SUM(G37:G38)</f>
        <v>726.33</v>
      </c>
      <c r="H39" s="60" t="n">
        <f aca="false">SUM(H37:H38)</f>
        <v>1</v>
      </c>
      <c r="I39" s="41" t="n">
        <f aca="false">SUM(I37:I38)</f>
        <v>1032</v>
      </c>
      <c r="J39" s="59" t="n">
        <f aca="false">SUM(J37:J38)</f>
        <v>0</v>
      </c>
      <c r="K39" s="41" t="n">
        <f aca="false">SUM(K37:K38)</f>
        <v>0</v>
      </c>
      <c r="L39" s="41" t="n">
        <f aca="false">SUM(L37:L38)</f>
        <v>0</v>
      </c>
      <c r="M39" s="41" t="n">
        <f aca="false">SUM(M37:M38)</f>
        <v>0</v>
      </c>
      <c r="N39" s="41" t="n">
        <f aca="false">SUM(N37:N38)</f>
        <v>0</v>
      </c>
      <c r="O39" s="41" t="n">
        <f aca="false">SUM(O37:O38)</f>
        <v>0</v>
      </c>
      <c r="P39" s="41" t="n">
        <f aca="false">SUM(P37:P38)</f>
        <v>0</v>
      </c>
      <c r="Q39" s="41" t="n">
        <f aca="false">SUM(Q37:Q38)</f>
        <v>0</v>
      </c>
      <c r="R39" s="41" t="n">
        <f aca="false">SUM(R37:R38)</f>
        <v>3317.64705882353</v>
      </c>
      <c r="S39" s="41" t="n">
        <f aca="false">SUM(S37:S38)</f>
        <v>1243.6974789916</v>
      </c>
      <c r="T39" s="41" t="n">
        <f aca="false">SUM(T37:T38)</f>
        <v>1000</v>
      </c>
      <c r="U39" s="41" t="n">
        <f aca="false">SUM(U37:U38)</f>
        <v>0</v>
      </c>
      <c r="V39" s="41" t="n">
        <f aca="false">SUM(V37:V38)</f>
        <v>0</v>
      </c>
      <c r="W39" s="41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61" t="n">
        <f aca="false">B7+B17+B25+B34+B39</f>
        <v>120</v>
      </c>
      <c r="C41" s="62" t="n">
        <f aca="false">C7+C17+C25+C34+C39</f>
        <v>6600</v>
      </c>
      <c r="D41" s="61" t="n">
        <f aca="false">D7+D17+D25+D34+D39</f>
        <v>294.1</v>
      </c>
      <c r="E41" s="62" t="n">
        <f aca="false">E7+E17+E25+E34+E39</f>
        <v>3529.2</v>
      </c>
      <c r="F41" s="61" t="n">
        <f aca="false">F7+F17+F25+F34+F39</f>
        <v>546.17</v>
      </c>
      <c r="G41" s="62" t="n">
        <f aca="false">G7+G17+G25+G34+G39</f>
        <v>8465.635</v>
      </c>
      <c r="H41" s="63" t="n">
        <f aca="false">H7+H17+H25+H34+H39</f>
        <v>8</v>
      </c>
      <c r="I41" s="62" t="n">
        <f aca="false">I7+I17+I25+I34+I39</f>
        <v>8256</v>
      </c>
      <c r="J41" s="61" t="n">
        <f aca="false">J7+J17+J25+J34+J39</f>
        <v>27.65</v>
      </c>
      <c r="K41" s="62" t="n">
        <f aca="false">K7+K17+K25+K34+K39</f>
        <v>2322.6</v>
      </c>
      <c r="L41" s="62" t="n">
        <f aca="false">L7+L17+L25+L34+L39</f>
        <v>3024</v>
      </c>
      <c r="M41" s="62" t="n">
        <f aca="false">M7+M17+M25+M34+M39</f>
        <v>2119</v>
      </c>
      <c r="N41" s="62" t="n">
        <f aca="false">N7+N17+N25+N34+N39</f>
        <v>3250</v>
      </c>
      <c r="O41" s="62" t="n">
        <f aca="false">O7+O17+O25+O34+O39</f>
        <v>537.81512605042</v>
      </c>
      <c r="P41" s="62" t="n">
        <f aca="false">P7+P17+P25+P34+P39</f>
        <v>1512.60504201681</v>
      </c>
      <c r="Q41" s="62" t="n">
        <f aca="false">Q7+Q17+Q25+Q34+Q39</f>
        <v>340.546218487395</v>
      </c>
      <c r="R41" s="62" t="n">
        <f aca="false">R7+R17+R25+R34+R39</f>
        <v>3317.64705882353</v>
      </c>
      <c r="S41" s="62" t="n">
        <f aca="false">S7+S17+S25+S34+S39</f>
        <v>1243.6974789916</v>
      </c>
      <c r="T41" s="62" t="n">
        <f aca="false">T7+T17+T25+T34+T39</f>
        <v>20385.2100840336</v>
      </c>
      <c r="U41" s="62" t="n">
        <f aca="false">U7+U17+U25+U34+U39</f>
        <v>13100</v>
      </c>
      <c r="V41" s="62" t="n">
        <f aca="false">V7+V17+V25+V34+V39</f>
        <v>370</v>
      </c>
      <c r="W41" s="62" t="n">
        <f aca="false">W7+W17+W25+W34+W39</f>
        <v>78373.9560084034</v>
      </c>
    </row>
    <row r="42" customFormat="false" ht="15" hidden="false" customHeight="false" outlineLevel="0" collapsed="false">
      <c r="A42" s="16" t="str">
        <f aca="false">"Kutilmagan xarajatlar ("&amp;TEXT(Narxlar!$C$87,"0%")&amp;"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64" t="n">
        <f aca="false">W41*Narxlar!$C$87</f>
        <v>7837.39560084034</v>
      </c>
    </row>
    <row r="43" customFormat="false" ht="15" hidden="false" customHeight="false" outlineLevel="0" collapsed="false">
      <c r="A43" s="20" t="s">
        <v>269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62" t="n">
        <f aca="false">W41+W42</f>
        <v>86211.3516092437</v>
      </c>
    </row>
    <row r="44" customFormat="false" ht="15" hidden="false" customHeight="false" outlineLevel="0" collapsed="false">
      <c r="A44" s="20" t="s">
        <v>270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1025915084.15</v>
      </c>
    </row>
    <row r="46" customFormat="false" ht="15" hidden="false" customHeight="false" outlineLevel="0" collapsed="false">
      <c r="A46" s="2" t="s">
        <v>271</v>
      </c>
      <c r="W46" s="27" t="n">
        <f aca="false">W41-'Hisob (batafsil)'!J321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272</v>
      </c>
    </row>
    <row r="2" customFormat="false" ht="15" hidden="false" customHeight="false" outlineLevel="0" collapsed="false">
      <c r="A2" s="2" t="s">
        <v>273</v>
      </c>
    </row>
    <row r="4" customFormat="false" ht="15" hidden="false" customHeight="false" outlineLevel="0" collapsed="false">
      <c r="A4" s="4" t="s">
        <v>3</v>
      </c>
      <c r="B4" s="4" t="s">
        <v>274</v>
      </c>
      <c r="C4" s="4" t="s">
        <v>275</v>
      </c>
      <c r="D4" s="4" t="s">
        <v>276</v>
      </c>
      <c r="E4" s="4" t="s">
        <v>277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278</v>
      </c>
      <c r="E5" s="6" t="s">
        <v>279</v>
      </c>
    </row>
    <row r="6" customFormat="false" ht="15" hidden="false" customHeight="false" outlineLevel="0" collapsed="false">
      <c r="A6" s="5" t="n">
        <v>2</v>
      </c>
      <c r="B6" s="6" t="s">
        <v>126</v>
      </c>
      <c r="C6" s="65" t="n">
        <v>12</v>
      </c>
      <c r="D6" s="6" t="s">
        <v>278</v>
      </c>
      <c r="E6" s="6" t="s">
        <v>280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278</v>
      </c>
      <c r="E7" s="6" t="s">
        <v>279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281</v>
      </c>
      <c r="E8" s="6" t="s">
        <v>282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283</v>
      </c>
      <c r="E9" s="6" t="s">
        <v>279</v>
      </c>
    </row>
    <row r="10" customFormat="false" ht="15" hidden="false" customHeight="false" outlineLevel="0" collapsed="false">
      <c r="A10" s="5" t="n">
        <v>6</v>
      </c>
      <c r="B10" s="6" t="s">
        <v>284</v>
      </c>
      <c r="C10" s="66" t="n">
        <v>24</v>
      </c>
      <c r="D10" s="6" t="s">
        <v>285</v>
      </c>
      <c r="E10" s="6" t="s">
        <v>279</v>
      </c>
    </row>
    <row r="11" customFormat="false" ht="15" hidden="false" customHeight="false" outlineLevel="0" collapsed="false">
      <c r="A11" s="5" t="n">
        <v>7</v>
      </c>
      <c r="B11" s="6" t="s">
        <v>164</v>
      </c>
      <c r="C11" s="65" t="n">
        <v>336</v>
      </c>
      <c r="D11" s="6" t="s">
        <v>286</v>
      </c>
      <c r="E11" s="6" t="s">
        <v>287</v>
      </c>
    </row>
    <row r="12" customFormat="false" ht="15" hidden="false" customHeight="false" outlineLevel="0" collapsed="false">
      <c r="A12" s="5" t="n">
        <v>8</v>
      </c>
      <c r="B12" s="6" t="s">
        <v>162</v>
      </c>
      <c r="C12" s="65" t="n">
        <v>168</v>
      </c>
      <c r="D12" s="6" t="s">
        <v>288</v>
      </c>
      <c r="E12" s="6" t="s">
        <v>289</v>
      </c>
    </row>
    <row r="13" customFormat="false" ht="15" hidden="false" customHeight="false" outlineLevel="0" collapsed="false">
      <c r="A13" s="5" t="n">
        <v>9</v>
      </c>
      <c r="B13" s="6" t="s">
        <v>166</v>
      </c>
      <c r="C13" s="65" t="n">
        <v>40</v>
      </c>
      <c r="D13" s="6" t="s">
        <v>281</v>
      </c>
      <c r="E13" s="6" t="s">
        <v>279</v>
      </c>
    </row>
    <row r="14" customFormat="false" ht="15" hidden="false" customHeight="false" outlineLevel="0" collapsed="false">
      <c r="A14" s="5" t="n">
        <v>10</v>
      </c>
      <c r="B14" s="6" t="s">
        <v>290</v>
      </c>
      <c r="C14" s="67" t="n">
        <v>16</v>
      </c>
      <c r="D14" s="6" t="s">
        <v>291</v>
      </c>
      <c r="E14" s="6" t="s">
        <v>279</v>
      </c>
    </row>
    <row r="15" customFormat="false" ht="15" hidden="false" customHeight="false" outlineLevel="0" collapsed="false">
      <c r="A15" s="5" t="n">
        <v>11</v>
      </c>
      <c r="B15" s="6" t="s">
        <v>168</v>
      </c>
      <c r="C15" s="65" t="n">
        <v>21</v>
      </c>
      <c r="D15" s="6" t="s">
        <v>281</v>
      </c>
      <c r="E15" s="6" t="s">
        <v>279</v>
      </c>
    </row>
    <row r="16" customFormat="false" ht="15" hidden="false" customHeight="false" outlineLevel="0" collapsed="false">
      <c r="A16" s="5" t="n">
        <v>12</v>
      </c>
      <c r="B16" s="6" t="s">
        <v>170</v>
      </c>
      <c r="C16" s="65" t="n">
        <v>840</v>
      </c>
      <c r="D16" s="6" t="s">
        <v>281</v>
      </c>
      <c r="E16" s="6" t="s">
        <v>279</v>
      </c>
    </row>
    <row r="17" customFormat="false" ht="15" hidden="false" customHeight="false" outlineLevel="0" collapsed="false">
      <c r="A17" s="5" t="n">
        <v>13</v>
      </c>
      <c r="B17" s="6" t="s">
        <v>128</v>
      </c>
      <c r="C17" s="65" t="n">
        <v>303</v>
      </c>
      <c r="D17" s="6" t="s">
        <v>292</v>
      </c>
      <c r="E17" s="6" t="s">
        <v>293</v>
      </c>
    </row>
    <row r="18" customFormat="false" ht="15" hidden="false" customHeight="false" outlineLevel="0" collapsed="false">
      <c r="A18" s="5" t="n">
        <v>14</v>
      </c>
      <c r="B18" s="6" t="s">
        <v>98</v>
      </c>
      <c r="C18" s="65" t="n">
        <v>2500</v>
      </c>
      <c r="D18" s="6" t="s">
        <v>292</v>
      </c>
      <c r="E18" s="6" t="s">
        <v>294</v>
      </c>
    </row>
    <row r="19" customFormat="false" ht="15" hidden="false" customHeight="false" outlineLevel="0" collapsed="false">
      <c r="A19" s="5" t="n">
        <v>15</v>
      </c>
      <c r="B19" s="6" t="s">
        <v>295</v>
      </c>
      <c r="C19" s="68" t="n">
        <v>11900</v>
      </c>
      <c r="D19" s="6" t="s">
        <v>296</v>
      </c>
      <c r="E19" s="6" t="s">
        <v>297</v>
      </c>
    </row>
    <row r="20" customFormat="false" ht="15" hidden="false" customHeight="false" outlineLevel="0" collapsed="false">
      <c r="A20" s="5" t="n">
        <v>16</v>
      </c>
      <c r="B20" s="6" t="s">
        <v>172</v>
      </c>
      <c r="C20" s="68" t="n">
        <v>800000</v>
      </c>
      <c r="D20" s="6" t="s">
        <v>298</v>
      </c>
      <c r="E20" s="6" t="s">
        <v>279</v>
      </c>
    </row>
    <row r="21" customFormat="false" ht="15" hidden="false" customHeight="false" outlineLevel="0" collapsed="false">
      <c r="A21" s="5" t="n">
        <v>17</v>
      </c>
      <c r="B21" s="6" t="s">
        <v>299</v>
      </c>
      <c r="C21" s="67" t="n">
        <v>8</v>
      </c>
      <c r="D21" s="6" t="s">
        <v>291</v>
      </c>
      <c r="E21" s="6" t="s">
        <v>279</v>
      </c>
    </row>
    <row r="22" customFormat="false" ht="15" hidden="false" customHeight="false" outlineLevel="0" collapsed="false">
      <c r="A22" s="5" t="n">
        <v>18</v>
      </c>
      <c r="B22" s="6" t="s">
        <v>130</v>
      </c>
      <c r="C22" s="68" t="n">
        <v>18000000</v>
      </c>
      <c r="D22" s="6" t="s">
        <v>300</v>
      </c>
      <c r="E22" s="6" t="s">
        <v>293</v>
      </c>
    </row>
    <row r="23" customFormat="false" ht="15" hidden="false" customHeight="false" outlineLevel="0" collapsed="false">
      <c r="A23" s="5" t="n">
        <v>19</v>
      </c>
      <c r="B23" s="6" t="s">
        <v>122</v>
      </c>
      <c r="C23" s="68" t="n">
        <v>50000</v>
      </c>
      <c r="D23" s="6" t="s">
        <v>301</v>
      </c>
      <c r="E23" s="6" t="s">
        <v>279</v>
      </c>
    </row>
    <row r="24" customFormat="false" ht="15" hidden="false" customHeight="false" outlineLevel="0" collapsed="false">
      <c r="A24" s="5" t="n">
        <v>20</v>
      </c>
      <c r="B24" s="6" t="s">
        <v>124</v>
      </c>
      <c r="C24" s="68" t="n">
        <v>1200000</v>
      </c>
      <c r="D24" s="6" t="s">
        <v>300</v>
      </c>
      <c r="E24" s="6" t="s">
        <v>293</v>
      </c>
    </row>
    <row r="25" customFormat="false" ht="15" hidden="false" customHeight="false" outlineLevel="0" collapsed="false">
      <c r="A25" s="5" t="n">
        <v>21</v>
      </c>
      <c r="B25" s="6" t="s">
        <v>174</v>
      </c>
      <c r="C25" s="68" t="n">
        <v>700000</v>
      </c>
      <c r="D25" s="6" t="s">
        <v>298</v>
      </c>
      <c r="E25" s="6" t="s">
        <v>279</v>
      </c>
    </row>
    <row r="26" customFormat="false" ht="15" hidden="false" customHeight="false" outlineLevel="0" collapsed="false">
      <c r="A26" s="5" t="n">
        <v>22</v>
      </c>
      <c r="B26" s="6" t="s">
        <v>302</v>
      </c>
      <c r="C26" s="67" t="n">
        <v>3</v>
      </c>
      <c r="D26" s="6" t="s">
        <v>291</v>
      </c>
      <c r="E26" s="6" t="s">
        <v>303</v>
      </c>
    </row>
    <row r="27" customFormat="false" ht="15" hidden="false" customHeight="false" outlineLevel="0" collapsed="false">
      <c r="A27" s="5" t="n">
        <v>23</v>
      </c>
      <c r="B27" s="6" t="s">
        <v>176</v>
      </c>
      <c r="C27" s="68" t="n">
        <v>1200000</v>
      </c>
      <c r="D27" s="6" t="s">
        <v>298</v>
      </c>
      <c r="E27" s="6" t="s">
        <v>279</v>
      </c>
    </row>
    <row r="28" customFormat="false" ht="15" hidden="false" customHeight="false" outlineLevel="0" collapsed="false">
      <c r="A28" s="5" t="n">
        <v>24</v>
      </c>
      <c r="B28" s="6" t="s">
        <v>304</v>
      </c>
      <c r="C28" s="67" t="n">
        <v>3</v>
      </c>
      <c r="D28" s="6" t="s">
        <v>291</v>
      </c>
      <c r="E28" s="6" t="s">
        <v>305</v>
      </c>
    </row>
    <row r="29" customFormat="false" ht="15" hidden="false" customHeight="false" outlineLevel="0" collapsed="false">
      <c r="A29" s="5" t="n">
        <v>25</v>
      </c>
      <c r="B29" s="6" t="s">
        <v>178</v>
      </c>
      <c r="C29" s="68" t="n">
        <v>650000</v>
      </c>
      <c r="D29" s="6" t="s">
        <v>298</v>
      </c>
      <c r="E29" s="6" t="s">
        <v>279</v>
      </c>
    </row>
    <row r="30" customFormat="false" ht="15" hidden="false" customHeight="false" outlineLevel="0" collapsed="false">
      <c r="A30" s="5" t="n">
        <v>26</v>
      </c>
      <c r="B30" s="6" t="s">
        <v>306</v>
      </c>
      <c r="C30" s="67" t="n">
        <v>4</v>
      </c>
      <c r="D30" s="6" t="s">
        <v>291</v>
      </c>
      <c r="E30" s="6" t="s">
        <v>307</v>
      </c>
    </row>
    <row r="31" customFormat="false" ht="15" hidden="false" customHeight="false" outlineLevel="0" collapsed="false">
      <c r="A31" s="5" t="n">
        <v>27</v>
      </c>
      <c r="B31" s="6" t="s">
        <v>180</v>
      </c>
      <c r="C31" s="68" t="n">
        <v>200000</v>
      </c>
      <c r="D31" s="6" t="s">
        <v>298</v>
      </c>
      <c r="E31" s="6" t="s">
        <v>279</v>
      </c>
    </row>
    <row r="32" customFormat="false" ht="15" hidden="false" customHeight="false" outlineLevel="0" collapsed="false">
      <c r="A32" s="5" t="n">
        <v>28</v>
      </c>
      <c r="B32" s="6" t="s">
        <v>308</v>
      </c>
      <c r="C32" s="67" t="n">
        <v>6</v>
      </c>
      <c r="D32" s="6" t="s">
        <v>291</v>
      </c>
      <c r="E32" s="6" t="s">
        <v>309</v>
      </c>
    </row>
    <row r="33" customFormat="false" ht="15" hidden="false" customHeight="false" outlineLevel="0" collapsed="false">
      <c r="A33" s="5" t="n">
        <v>29</v>
      </c>
      <c r="B33" s="6" t="s">
        <v>182</v>
      </c>
      <c r="C33" s="68" t="n">
        <v>400000</v>
      </c>
      <c r="D33" s="6" t="s">
        <v>298</v>
      </c>
      <c r="E33" s="6" t="s">
        <v>279</v>
      </c>
    </row>
    <row r="34" customFormat="false" ht="15" hidden="false" customHeight="false" outlineLevel="0" collapsed="false">
      <c r="A34" s="5" t="n">
        <v>30</v>
      </c>
      <c r="B34" s="6" t="s">
        <v>310</v>
      </c>
      <c r="C34" s="67" t="n">
        <v>4</v>
      </c>
      <c r="D34" s="6" t="s">
        <v>291</v>
      </c>
      <c r="E34" s="6" t="s">
        <v>311</v>
      </c>
    </row>
    <row r="35" customFormat="false" ht="15" hidden="false" customHeight="false" outlineLevel="0" collapsed="false">
      <c r="A35" s="5" t="n">
        <v>31</v>
      </c>
      <c r="B35" s="6" t="s">
        <v>184</v>
      </c>
      <c r="C35" s="68" t="n">
        <v>400000</v>
      </c>
      <c r="D35" s="6" t="s">
        <v>298</v>
      </c>
      <c r="E35" s="6" t="s">
        <v>279</v>
      </c>
    </row>
    <row r="36" customFormat="false" ht="15" hidden="false" customHeight="false" outlineLevel="0" collapsed="false">
      <c r="A36" s="5" t="n">
        <v>32</v>
      </c>
      <c r="B36" s="6" t="s">
        <v>312</v>
      </c>
      <c r="C36" s="67" t="n">
        <v>4</v>
      </c>
      <c r="D36" s="6" t="s">
        <v>291</v>
      </c>
      <c r="E36" s="6" t="s">
        <v>313</v>
      </c>
    </row>
    <row r="37" customFormat="false" ht="15" hidden="false" customHeight="false" outlineLevel="0" collapsed="false">
      <c r="A37" s="5" t="n">
        <v>33</v>
      </c>
      <c r="B37" s="6" t="s">
        <v>132</v>
      </c>
      <c r="C37" s="68" t="n">
        <v>1000000</v>
      </c>
      <c r="D37" s="6" t="s">
        <v>314</v>
      </c>
      <c r="E37" s="6" t="s">
        <v>279</v>
      </c>
    </row>
    <row r="38" customFormat="false" ht="15" hidden="false" customHeight="false" outlineLevel="0" collapsed="false">
      <c r="A38" s="5" t="n">
        <v>34</v>
      </c>
      <c r="B38" s="6" t="s">
        <v>315</v>
      </c>
      <c r="C38" s="67" t="n">
        <v>16</v>
      </c>
      <c r="D38" s="6" t="s">
        <v>316</v>
      </c>
      <c r="E38" s="6" t="s">
        <v>279</v>
      </c>
    </row>
    <row r="39" customFormat="false" ht="15" hidden="false" customHeight="false" outlineLevel="0" collapsed="false">
      <c r="A39" s="5" t="n">
        <v>35</v>
      </c>
      <c r="B39" s="6" t="s">
        <v>148</v>
      </c>
      <c r="C39" s="68" t="n">
        <v>100000</v>
      </c>
      <c r="D39" s="6" t="s">
        <v>301</v>
      </c>
      <c r="E39" s="6" t="s">
        <v>279</v>
      </c>
    </row>
    <row r="40" customFormat="false" ht="15" hidden="false" customHeight="false" outlineLevel="0" collapsed="false">
      <c r="A40" s="5" t="n">
        <v>36</v>
      </c>
      <c r="B40" s="6" t="s">
        <v>150</v>
      </c>
      <c r="C40" s="68" t="n">
        <v>100000</v>
      </c>
      <c r="D40" s="6" t="s">
        <v>301</v>
      </c>
      <c r="E40" s="6" t="s">
        <v>279</v>
      </c>
    </row>
    <row r="41" customFormat="false" ht="15" hidden="false" customHeight="false" outlineLevel="0" collapsed="false">
      <c r="A41" s="5" t="n">
        <v>37</v>
      </c>
      <c r="B41" s="6" t="s">
        <v>317</v>
      </c>
      <c r="C41" s="66" t="n">
        <v>58</v>
      </c>
      <c r="D41" s="6" t="s">
        <v>318</v>
      </c>
      <c r="E41" s="6" t="s">
        <v>279</v>
      </c>
    </row>
    <row r="42" customFormat="false" ht="15" hidden="false" customHeight="false" outlineLevel="0" collapsed="false">
      <c r="A42" s="5" t="n">
        <v>38</v>
      </c>
      <c r="B42" s="6" t="s">
        <v>319</v>
      </c>
      <c r="C42" s="66" t="n">
        <v>16</v>
      </c>
      <c r="D42" s="6" t="s">
        <v>318</v>
      </c>
      <c r="E42" s="6" t="s">
        <v>279</v>
      </c>
    </row>
    <row r="43" customFormat="false" ht="15" hidden="false" customHeight="false" outlineLevel="0" collapsed="false">
      <c r="A43" s="5" t="n">
        <v>39</v>
      </c>
      <c r="B43" s="6" t="s">
        <v>186</v>
      </c>
      <c r="C43" s="68" t="n">
        <v>1200000</v>
      </c>
      <c r="D43" s="6" t="s">
        <v>298</v>
      </c>
      <c r="E43" s="6" t="s">
        <v>279</v>
      </c>
    </row>
    <row r="44" customFormat="false" ht="15" hidden="false" customHeight="false" outlineLevel="0" collapsed="false">
      <c r="A44" s="5" t="n">
        <v>40</v>
      </c>
      <c r="B44" s="6" t="s">
        <v>320</v>
      </c>
      <c r="C44" s="67" t="n">
        <v>4</v>
      </c>
      <c r="D44" s="6" t="s">
        <v>291</v>
      </c>
      <c r="E44" s="6" t="s">
        <v>321</v>
      </c>
    </row>
    <row r="45" customFormat="false" ht="15" hidden="false" customHeight="false" outlineLevel="0" collapsed="false">
      <c r="A45" s="5" t="n">
        <v>41</v>
      </c>
      <c r="B45" s="6" t="s">
        <v>134</v>
      </c>
      <c r="C45" s="68" t="n">
        <v>25000</v>
      </c>
      <c r="D45" s="6" t="s">
        <v>322</v>
      </c>
      <c r="E45" s="6" t="s">
        <v>279</v>
      </c>
    </row>
    <row r="46" customFormat="false" ht="15" hidden="false" customHeight="false" outlineLevel="0" collapsed="false">
      <c r="A46" s="5" t="n">
        <v>42</v>
      </c>
      <c r="B46" s="6" t="s">
        <v>323</v>
      </c>
      <c r="C46" s="66" t="n">
        <v>40</v>
      </c>
      <c r="D46" s="6" t="s">
        <v>285</v>
      </c>
      <c r="E46" s="6" t="s">
        <v>279</v>
      </c>
    </row>
    <row r="47" customFormat="false" ht="15" hidden="false" customHeight="false" outlineLevel="0" collapsed="false">
      <c r="A47" s="5" t="n">
        <v>43</v>
      </c>
      <c r="B47" s="6" t="s">
        <v>136</v>
      </c>
      <c r="C47" s="68" t="n">
        <v>12000</v>
      </c>
      <c r="D47" s="6" t="s">
        <v>322</v>
      </c>
      <c r="E47" s="6" t="s">
        <v>324</v>
      </c>
    </row>
    <row r="48" customFormat="false" ht="15" hidden="false" customHeight="false" outlineLevel="0" collapsed="false">
      <c r="A48" s="5" t="n">
        <v>44</v>
      </c>
      <c r="B48" s="6" t="s">
        <v>325</v>
      </c>
      <c r="C48" s="66" t="n">
        <v>40</v>
      </c>
      <c r="D48" s="6" t="s">
        <v>285</v>
      </c>
      <c r="E48" s="6" t="s">
        <v>279</v>
      </c>
    </row>
    <row r="49" customFormat="false" ht="15" hidden="false" customHeight="false" outlineLevel="0" collapsed="false">
      <c r="A49" s="5" t="n">
        <v>45</v>
      </c>
      <c r="B49" s="6" t="s">
        <v>138</v>
      </c>
      <c r="C49" s="68" t="n">
        <v>5000</v>
      </c>
      <c r="D49" s="6" t="s">
        <v>298</v>
      </c>
      <c r="E49" s="6" t="s">
        <v>279</v>
      </c>
    </row>
    <row r="50" customFormat="false" ht="15" hidden="false" customHeight="false" outlineLevel="0" collapsed="false">
      <c r="A50" s="5" t="n">
        <v>46</v>
      </c>
      <c r="B50" s="6" t="s">
        <v>326</v>
      </c>
      <c r="C50" s="67" t="n">
        <v>100</v>
      </c>
      <c r="D50" s="6" t="s">
        <v>291</v>
      </c>
      <c r="E50" s="6" t="s">
        <v>327</v>
      </c>
    </row>
    <row r="51" customFormat="false" ht="15" hidden="false" customHeight="false" outlineLevel="0" collapsed="false">
      <c r="A51" s="5" t="n">
        <v>47</v>
      </c>
      <c r="B51" s="6" t="s">
        <v>140</v>
      </c>
      <c r="C51" s="68" t="n">
        <v>4000000</v>
      </c>
      <c r="D51" s="6" t="s">
        <v>300</v>
      </c>
      <c r="E51" s="6" t="s">
        <v>293</v>
      </c>
    </row>
    <row r="52" customFormat="false" ht="15" hidden="false" customHeight="false" outlineLevel="0" collapsed="false">
      <c r="A52" s="5" t="n">
        <v>48</v>
      </c>
      <c r="B52" s="6" t="s">
        <v>100</v>
      </c>
      <c r="C52" s="68" t="n">
        <v>28000000</v>
      </c>
      <c r="D52" s="6" t="s">
        <v>298</v>
      </c>
      <c r="E52" s="6" t="s">
        <v>328</v>
      </c>
    </row>
    <row r="53" customFormat="false" ht="15" hidden="false" customHeight="false" outlineLevel="0" collapsed="false">
      <c r="A53" s="5" t="n">
        <v>49</v>
      </c>
      <c r="B53" s="6" t="s">
        <v>329</v>
      </c>
      <c r="C53" s="67" t="n">
        <v>2</v>
      </c>
      <c r="D53" s="6" t="s">
        <v>291</v>
      </c>
      <c r="E53" s="6" t="s">
        <v>330</v>
      </c>
    </row>
    <row r="54" customFormat="false" ht="15" hidden="false" customHeight="false" outlineLevel="0" collapsed="false">
      <c r="A54" s="5" t="n">
        <v>50</v>
      </c>
      <c r="B54" s="6" t="s">
        <v>142</v>
      </c>
      <c r="C54" s="68" t="n">
        <v>300000</v>
      </c>
      <c r="D54" s="6" t="s">
        <v>322</v>
      </c>
      <c r="E54" s="6" t="s">
        <v>331</v>
      </c>
    </row>
    <row r="55" customFormat="false" ht="15" hidden="false" customHeight="false" outlineLevel="0" collapsed="false">
      <c r="A55" s="5" t="n">
        <v>51</v>
      </c>
      <c r="B55" s="6" t="s">
        <v>332</v>
      </c>
      <c r="C55" s="66" t="n">
        <v>211</v>
      </c>
      <c r="D55" s="6" t="s">
        <v>285</v>
      </c>
      <c r="E55" s="6" t="s">
        <v>333</v>
      </c>
    </row>
    <row r="56" customFormat="false" ht="15" hidden="false" customHeight="false" outlineLevel="0" collapsed="false">
      <c r="A56" s="5" t="n">
        <v>52</v>
      </c>
      <c r="B56" s="6" t="s">
        <v>152</v>
      </c>
      <c r="C56" s="65" t="n">
        <v>1120</v>
      </c>
      <c r="D56" s="6" t="s">
        <v>281</v>
      </c>
      <c r="E56" s="6" t="s">
        <v>334</v>
      </c>
    </row>
    <row r="57" customFormat="false" ht="15" hidden="false" customHeight="false" outlineLevel="0" collapsed="false">
      <c r="A57" s="5" t="n">
        <v>53</v>
      </c>
      <c r="B57" s="6" t="s">
        <v>154</v>
      </c>
      <c r="C57" s="65" t="n">
        <v>380</v>
      </c>
      <c r="D57" s="6" t="s">
        <v>281</v>
      </c>
      <c r="E57" s="6" t="s">
        <v>335</v>
      </c>
    </row>
    <row r="58" customFormat="false" ht="15" hidden="false" customHeight="false" outlineLevel="0" collapsed="false">
      <c r="A58" s="5" t="n">
        <v>54</v>
      </c>
      <c r="B58" s="6" t="s">
        <v>156</v>
      </c>
      <c r="C58" s="65" t="n">
        <v>1000</v>
      </c>
      <c r="D58" s="6" t="s">
        <v>281</v>
      </c>
      <c r="E58" s="6" t="s">
        <v>279</v>
      </c>
    </row>
    <row r="59" customFormat="false" ht="15" hidden="false" customHeight="false" outlineLevel="0" collapsed="false">
      <c r="A59" s="5" t="n">
        <v>55</v>
      </c>
      <c r="B59" s="6" t="s">
        <v>112</v>
      </c>
      <c r="C59" s="69" t="n">
        <v>220</v>
      </c>
      <c r="D59" s="6" t="s">
        <v>281</v>
      </c>
      <c r="E59" s="6" t="s">
        <v>336</v>
      </c>
    </row>
    <row r="60" customFormat="false" ht="15" hidden="false" customHeight="false" outlineLevel="0" collapsed="false">
      <c r="A60" s="5" t="n">
        <v>56</v>
      </c>
      <c r="B60" s="6" t="s">
        <v>106</v>
      </c>
      <c r="C60" s="69" t="n">
        <v>130</v>
      </c>
      <c r="D60" s="6" t="s">
        <v>281</v>
      </c>
      <c r="E60" s="6" t="s">
        <v>337</v>
      </c>
    </row>
    <row r="61" customFormat="false" ht="15" hidden="false" customHeight="false" outlineLevel="0" collapsed="false">
      <c r="A61" s="5" t="n">
        <v>57</v>
      </c>
      <c r="B61" s="6" t="s">
        <v>114</v>
      </c>
      <c r="C61" s="69" t="n">
        <v>60</v>
      </c>
      <c r="D61" s="6" t="s">
        <v>281</v>
      </c>
      <c r="E61" s="6" t="s">
        <v>337</v>
      </c>
    </row>
    <row r="62" customFormat="false" ht="15" hidden="false" customHeight="false" outlineLevel="0" collapsed="false">
      <c r="A62" s="5" t="n">
        <v>58</v>
      </c>
      <c r="B62" s="6" t="s">
        <v>108</v>
      </c>
      <c r="C62" s="69" t="n">
        <v>450</v>
      </c>
      <c r="D62" s="6" t="s">
        <v>281</v>
      </c>
      <c r="E62" s="6" t="s">
        <v>337</v>
      </c>
    </row>
    <row r="63" customFormat="false" ht="15" hidden="false" customHeight="false" outlineLevel="0" collapsed="false">
      <c r="A63" s="5" t="n">
        <v>59</v>
      </c>
      <c r="B63" s="6" t="s">
        <v>116</v>
      </c>
      <c r="C63" s="69" t="n">
        <v>350</v>
      </c>
      <c r="D63" s="6" t="s">
        <v>281</v>
      </c>
      <c r="E63" s="6" t="s">
        <v>337</v>
      </c>
    </row>
    <row r="64" customFormat="false" ht="15" hidden="false" customHeight="false" outlineLevel="0" collapsed="false">
      <c r="A64" s="5" t="n">
        <v>60</v>
      </c>
      <c r="B64" s="6" t="s">
        <v>110</v>
      </c>
      <c r="C64" s="69" t="n">
        <v>100</v>
      </c>
      <c r="D64" s="6" t="s">
        <v>281</v>
      </c>
      <c r="E64" s="6" t="s">
        <v>337</v>
      </c>
    </row>
    <row r="65" customFormat="false" ht="15" hidden="false" customHeight="false" outlineLevel="0" collapsed="false">
      <c r="A65" s="5" t="n">
        <v>61</v>
      </c>
      <c r="B65" s="6" t="s">
        <v>196</v>
      </c>
      <c r="C65" s="69" t="n">
        <v>600</v>
      </c>
      <c r="D65" s="6" t="s">
        <v>292</v>
      </c>
      <c r="E65" s="6" t="s">
        <v>337</v>
      </c>
    </row>
    <row r="66" customFormat="false" ht="15" hidden="false" customHeight="false" outlineLevel="0" collapsed="false">
      <c r="A66" s="5" t="n">
        <v>62</v>
      </c>
      <c r="B66" s="6" t="s">
        <v>198</v>
      </c>
      <c r="C66" s="69" t="n">
        <v>300</v>
      </c>
      <c r="D66" s="6" t="s">
        <v>292</v>
      </c>
      <c r="E66" s="6" t="s">
        <v>337</v>
      </c>
    </row>
    <row r="67" customFormat="false" ht="15" hidden="false" customHeight="false" outlineLevel="0" collapsed="false">
      <c r="A67" s="5" t="n">
        <v>63</v>
      </c>
      <c r="B67" s="6" t="s">
        <v>210</v>
      </c>
      <c r="C67" s="69" t="n">
        <v>120</v>
      </c>
      <c r="D67" s="6" t="s">
        <v>281</v>
      </c>
      <c r="E67" s="6" t="s">
        <v>337</v>
      </c>
    </row>
    <row r="68" customFormat="false" ht="15" hidden="false" customHeight="false" outlineLevel="0" collapsed="false">
      <c r="A68" s="5" t="n">
        <v>64</v>
      </c>
      <c r="B68" s="6" t="s">
        <v>212</v>
      </c>
      <c r="C68" s="69" t="n">
        <v>250</v>
      </c>
      <c r="D68" s="6" t="s">
        <v>281</v>
      </c>
      <c r="E68" s="6" t="s">
        <v>337</v>
      </c>
    </row>
    <row r="69" customFormat="false" ht="15" hidden="false" customHeight="false" outlineLevel="0" collapsed="false">
      <c r="A69" s="5" t="n">
        <v>65</v>
      </c>
      <c r="B69" s="6" t="s">
        <v>102</v>
      </c>
      <c r="C69" s="69" t="n">
        <v>1500</v>
      </c>
      <c r="D69" s="6" t="s">
        <v>281</v>
      </c>
      <c r="E69" s="6" t="s">
        <v>338</v>
      </c>
    </row>
    <row r="70" customFormat="false" ht="15" hidden="false" customHeight="false" outlineLevel="0" collapsed="false">
      <c r="A70" s="5" t="n">
        <v>66</v>
      </c>
      <c r="B70" s="6" t="s">
        <v>104</v>
      </c>
      <c r="C70" s="69" t="n">
        <v>500</v>
      </c>
      <c r="D70" s="6" t="s">
        <v>292</v>
      </c>
      <c r="E70" s="6" t="s">
        <v>337</v>
      </c>
    </row>
    <row r="71" customFormat="false" ht="15" hidden="false" customHeight="false" outlineLevel="0" collapsed="false">
      <c r="A71" s="5" t="n">
        <v>67</v>
      </c>
      <c r="B71" s="6" t="s">
        <v>94</v>
      </c>
      <c r="C71" s="69" t="n">
        <v>500</v>
      </c>
      <c r="D71" s="6" t="s">
        <v>281</v>
      </c>
      <c r="E71" s="6" t="s">
        <v>337</v>
      </c>
    </row>
    <row r="72" customFormat="false" ht="15" hidden="false" customHeight="false" outlineLevel="0" collapsed="false">
      <c r="A72" s="5" t="n">
        <v>68</v>
      </c>
      <c r="B72" s="6" t="s">
        <v>96</v>
      </c>
      <c r="C72" s="69" t="n">
        <v>250</v>
      </c>
      <c r="D72" s="6" t="s">
        <v>281</v>
      </c>
      <c r="E72" s="6" t="s">
        <v>337</v>
      </c>
    </row>
    <row r="73" customFormat="false" ht="15" hidden="false" customHeight="false" outlineLevel="0" collapsed="false">
      <c r="A73" s="5" t="n">
        <v>69</v>
      </c>
      <c r="B73" s="6" t="s">
        <v>144</v>
      </c>
      <c r="C73" s="69" t="n">
        <v>700</v>
      </c>
      <c r="D73" s="6" t="s">
        <v>292</v>
      </c>
      <c r="E73" s="6" t="s">
        <v>337</v>
      </c>
    </row>
    <row r="74" customFormat="false" ht="15" hidden="false" customHeight="false" outlineLevel="0" collapsed="false">
      <c r="A74" s="5" t="n">
        <v>70</v>
      </c>
      <c r="B74" s="6" t="s">
        <v>202</v>
      </c>
      <c r="C74" s="69" t="n">
        <v>450</v>
      </c>
      <c r="D74" s="6" t="s">
        <v>292</v>
      </c>
      <c r="E74" s="6" t="s">
        <v>337</v>
      </c>
    </row>
    <row r="75" customFormat="false" ht="15" hidden="false" customHeight="false" outlineLevel="0" collapsed="false">
      <c r="A75" s="5" t="n">
        <v>71</v>
      </c>
      <c r="B75" s="6" t="s">
        <v>120</v>
      </c>
      <c r="C75" s="69" t="n">
        <v>600</v>
      </c>
      <c r="D75" s="6" t="s">
        <v>281</v>
      </c>
      <c r="E75" s="6" t="s">
        <v>339</v>
      </c>
    </row>
    <row r="76" customFormat="false" ht="15" hidden="false" customHeight="false" outlineLevel="0" collapsed="false">
      <c r="A76" s="5" t="n">
        <v>72</v>
      </c>
      <c r="B76" s="6" t="s">
        <v>192</v>
      </c>
      <c r="C76" s="69" t="n">
        <v>450</v>
      </c>
      <c r="D76" s="6" t="s">
        <v>292</v>
      </c>
      <c r="E76" s="6" t="s">
        <v>337</v>
      </c>
    </row>
    <row r="77" customFormat="false" ht="15" hidden="false" customHeight="false" outlineLevel="0" collapsed="false">
      <c r="A77" s="5" t="n">
        <v>73</v>
      </c>
      <c r="B77" s="6" t="s">
        <v>194</v>
      </c>
      <c r="C77" s="69" t="n">
        <v>60</v>
      </c>
      <c r="D77" s="6" t="s">
        <v>292</v>
      </c>
      <c r="E77" s="6" t="s">
        <v>340</v>
      </c>
    </row>
    <row r="78" customFormat="false" ht="15" hidden="false" customHeight="false" outlineLevel="0" collapsed="false">
      <c r="A78" s="5" t="n">
        <v>74</v>
      </c>
      <c r="B78" s="6" t="s">
        <v>204</v>
      </c>
      <c r="C78" s="69" t="n">
        <v>500</v>
      </c>
      <c r="D78" s="6" t="s">
        <v>292</v>
      </c>
      <c r="E78" s="6" t="s">
        <v>337</v>
      </c>
    </row>
    <row r="79" customFormat="false" ht="15" hidden="false" customHeight="false" outlineLevel="0" collapsed="false">
      <c r="A79" s="5" t="n">
        <v>75</v>
      </c>
      <c r="B79" s="6" t="s">
        <v>158</v>
      </c>
      <c r="C79" s="69" t="n">
        <v>250</v>
      </c>
      <c r="D79" s="6" t="s">
        <v>292</v>
      </c>
      <c r="E79" s="6" t="s">
        <v>337</v>
      </c>
    </row>
    <row r="80" customFormat="false" ht="15" hidden="false" customHeight="false" outlineLevel="0" collapsed="false">
      <c r="A80" s="5" t="n">
        <v>76</v>
      </c>
      <c r="B80" s="6" t="s">
        <v>206</v>
      </c>
      <c r="C80" s="69" t="n">
        <v>300</v>
      </c>
      <c r="D80" s="6" t="s">
        <v>281</v>
      </c>
      <c r="E80" s="6" t="s">
        <v>337</v>
      </c>
    </row>
    <row r="81" customFormat="false" ht="15" hidden="false" customHeight="false" outlineLevel="0" collapsed="false">
      <c r="A81" s="5" t="n">
        <v>77</v>
      </c>
      <c r="B81" s="6" t="s">
        <v>208</v>
      </c>
      <c r="C81" s="69" t="n">
        <v>100</v>
      </c>
      <c r="D81" s="6" t="s">
        <v>281</v>
      </c>
      <c r="E81" s="6" t="s">
        <v>337</v>
      </c>
    </row>
    <row r="82" customFormat="false" ht="15" hidden="false" customHeight="false" outlineLevel="0" collapsed="false">
      <c r="A82" s="5" t="n">
        <v>78</v>
      </c>
      <c r="B82" s="6" t="s">
        <v>188</v>
      </c>
      <c r="C82" s="69" t="n">
        <v>250</v>
      </c>
      <c r="D82" s="6" t="s">
        <v>281</v>
      </c>
      <c r="E82" s="6" t="s">
        <v>337</v>
      </c>
    </row>
    <row r="83" customFormat="false" ht="15" hidden="false" customHeight="false" outlineLevel="0" collapsed="false">
      <c r="A83" s="5" t="n">
        <v>79</v>
      </c>
      <c r="B83" s="6" t="s">
        <v>200</v>
      </c>
      <c r="C83" s="69" t="n">
        <v>300</v>
      </c>
      <c r="D83" s="6" t="s">
        <v>292</v>
      </c>
      <c r="E83" s="6" t="s">
        <v>341</v>
      </c>
    </row>
    <row r="84" customFormat="false" ht="15" hidden="false" customHeight="false" outlineLevel="0" collapsed="false">
      <c r="A84" s="5" t="n">
        <v>80</v>
      </c>
      <c r="B84" s="6" t="s">
        <v>118</v>
      </c>
      <c r="C84" s="69" t="n">
        <v>800</v>
      </c>
      <c r="D84" s="6" t="s">
        <v>292</v>
      </c>
      <c r="E84" s="6" t="s">
        <v>342</v>
      </c>
    </row>
    <row r="85" customFormat="false" ht="15" hidden="false" customHeight="false" outlineLevel="0" collapsed="false">
      <c r="A85" s="5" t="n">
        <v>81</v>
      </c>
      <c r="B85" s="6" t="s">
        <v>190</v>
      </c>
      <c r="C85" s="69" t="n">
        <v>250</v>
      </c>
      <c r="D85" s="6" t="s">
        <v>292</v>
      </c>
      <c r="E85" s="6" t="s">
        <v>337</v>
      </c>
    </row>
    <row r="86" customFormat="false" ht="15" hidden="false" customHeight="false" outlineLevel="0" collapsed="false">
      <c r="A86" s="5" t="n">
        <v>82</v>
      </c>
      <c r="B86" s="6" t="s">
        <v>343</v>
      </c>
      <c r="C86" s="67" t="n">
        <v>2</v>
      </c>
      <c r="D86" s="6" t="s">
        <v>291</v>
      </c>
      <c r="E86" s="6" t="s">
        <v>344</v>
      </c>
    </row>
    <row r="87" customFormat="false" ht="15" hidden="false" customHeight="false" outlineLevel="0" collapsed="false">
      <c r="A87" s="5" t="n">
        <v>83</v>
      </c>
      <c r="B87" s="6" t="s">
        <v>345</v>
      </c>
      <c r="C87" s="70" t="n">
        <v>0.1</v>
      </c>
      <c r="D87" s="6" t="s">
        <v>346</v>
      </c>
      <c r="E87" s="6" t="s">
        <v>347</v>
      </c>
    </row>
    <row r="88" customFormat="false" ht="15" hidden="false" customHeight="false" outlineLevel="0" collapsed="false">
      <c r="A88" s="5" t="n">
        <v>84</v>
      </c>
      <c r="B88" s="6" t="s">
        <v>348</v>
      </c>
      <c r="C88" s="66" t="n">
        <v>3.5</v>
      </c>
      <c r="D88" s="6" t="s">
        <v>285</v>
      </c>
      <c r="E88" s="6" t="s">
        <v>349</v>
      </c>
    </row>
    <row r="89" customFormat="false" ht="15" hidden="false" customHeight="false" outlineLevel="0" collapsed="false">
      <c r="A89" s="5" t="n">
        <v>85</v>
      </c>
      <c r="B89" s="6" t="s">
        <v>350</v>
      </c>
      <c r="C89" s="66" t="n">
        <v>2.5</v>
      </c>
      <c r="D89" s="6" t="s">
        <v>285</v>
      </c>
      <c r="E89" s="6" t="s">
        <v>279</v>
      </c>
    </row>
    <row r="90" customFormat="false" ht="15" hidden="false" customHeight="false" outlineLevel="0" collapsed="false">
      <c r="A90" s="5" t="n">
        <v>86</v>
      </c>
      <c r="B90" s="6" t="s">
        <v>351</v>
      </c>
      <c r="C90" s="71" t="n">
        <f aca="false">C88-C89</f>
        <v>1</v>
      </c>
      <c r="D90" s="6" t="s">
        <v>285</v>
      </c>
      <c r="E90" s="6" t="s">
        <v>352</v>
      </c>
    </row>
    <row r="91" customFormat="false" ht="15" hidden="false" customHeight="false" outlineLevel="0" collapsed="false">
      <c r="A91" s="5" t="n">
        <v>87</v>
      </c>
      <c r="B91" s="6" t="s">
        <v>353</v>
      </c>
      <c r="C91" s="66" t="n">
        <v>2.1</v>
      </c>
      <c r="D91" s="6" t="s">
        <v>285</v>
      </c>
      <c r="E91" s="6" t="s">
        <v>354</v>
      </c>
    </row>
    <row r="92" customFormat="false" ht="15" hidden="false" customHeight="false" outlineLevel="0" collapsed="false">
      <c r="A92" s="5" t="n">
        <v>88</v>
      </c>
      <c r="B92" s="6" t="s">
        <v>355</v>
      </c>
      <c r="C92" s="71" t="n">
        <f aca="false">C88-C91</f>
        <v>1.4</v>
      </c>
      <c r="D92" s="6" t="s">
        <v>285</v>
      </c>
      <c r="E92" s="6" t="s">
        <v>356</v>
      </c>
    </row>
    <row r="93" customFormat="false" ht="15" hidden="false" customHeight="false" outlineLevel="0" collapsed="false">
      <c r="A93" s="5" t="n">
        <v>89</v>
      </c>
      <c r="B93" s="6" t="s">
        <v>357</v>
      </c>
      <c r="C93" s="66" t="n">
        <v>0.9</v>
      </c>
      <c r="D93" s="6" t="s">
        <v>285</v>
      </c>
      <c r="E93" s="6" t="s">
        <v>358</v>
      </c>
    </row>
    <row r="94" customFormat="false" ht="15" hidden="false" customHeight="false" outlineLevel="0" collapsed="false">
      <c r="A94" s="5" t="n">
        <v>90</v>
      </c>
      <c r="B94" s="6" t="s">
        <v>359</v>
      </c>
      <c r="C94" s="72" t="n">
        <f aca="false">C88</f>
        <v>3.5</v>
      </c>
      <c r="D94" s="6" t="s">
        <v>285</v>
      </c>
      <c r="E94" s="6" t="s">
        <v>360</v>
      </c>
    </row>
    <row r="95" customFormat="false" ht="15" hidden="false" customHeight="false" outlineLevel="0" collapsed="false">
      <c r="A95" s="5" t="n">
        <v>91</v>
      </c>
      <c r="B95" s="6" t="s">
        <v>361</v>
      </c>
      <c r="C95" s="66" t="n">
        <v>2.5</v>
      </c>
      <c r="D95" s="6" t="s">
        <v>285</v>
      </c>
      <c r="E95" s="6" t="s">
        <v>279</v>
      </c>
    </row>
    <row r="97" customFormat="false" ht="15" hidden="false" customHeight="false" outlineLevel="0" collapsed="false">
      <c r="B97" s="3" t="s">
        <v>362</v>
      </c>
    </row>
    <row r="98" customFormat="false" ht="15" hidden="false" customHeight="false" outlineLevel="0" collapsed="false">
      <c r="B98" s="2" t="s">
        <v>363</v>
      </c>
    </row>
    <row r="99" customFormat="false" ht="15" hidden="false" customHeight="false" outlineLevel="0" collapsed="false">
      <c r="B99" s="2" t="s">
        <v>364</v>
      </c>
    </row>
    <row r="100" customFormat="false" ht="15" hidden="false" customHeight="false" outlineLevel="0" collapsed="false">
      <c r="B100" s="2" t="s">
        <v>365</v>
      </c>
    </row>
    <row r="101" customFormat="false" ht="15" hidden="false" customHeight="false" outlineLevel="0" collapsed="false">
      <c r="B101" s="2" t="s">
        <v>366</v>
      </c>
    </row>
    <row r="102" customFormat="false" ht="15" hidden="false" customHeight="false" outlineLevel="0" collapsed="false">
      <c r="B102" s="2" t="s">
        <v>367</v>
      </c>
    </row>
    <row r="103" customFormat="false" ht="15" hidden="false" customHeight="false" outlineLevel="0" collapsed="false">
      <c r="B103" s="2" t="s">
        <v>368</v>
      </c>
    </row>
    <row r="104" customFormat="false" ht="15" hidden="false" customHeight="false" outlineLevel="0" collapsed="false">
      <c r="B104" s="2" t="s">
        <v>369</v>
      </c>
    </row>
    <row r="105" customFormat="false" ht="15" hidden="false" customHeight="false" outlineLevel="0" collapsed="false">
      <c r="B105" s="2" t="s">
        <v>370</v>
      </c>
    </row>
    <row r="106" customFormat="false" ht="15" hidden="false" customHeight="false" outlineLevel="0" collapsed="false">
      <c r="B106" s="2" t="s">
        <v>371</v>
      </c>
    </row>
    <row r="107" customFormat="false" ht="15" hidden="false" customHeight="false" outlineLevel="0" collapsed="false">
      <c r="B107" s="2" t="s">
        <v>372</v>
      </c>
    </row>
    <row r="108" customFormat="false" ht="15" hidden="false" customHeight="false" outlineLevel="0" collapsed="false">
      <c r="B108" s="2" t="s">
        <v>373</v>
      </c>
    </row>
    <row r="109" customFormat="false" ht="15" hidden="false" customHeight="false" outlineLevel="0" collapsed="false">
      <c r="B109" s="2" t="s">
        <v>374</v>
      </c>
    </row>
    <row r="110" customFormat="false" ht="15" hidden="false" customHeight="false" outlineLevel="0" collapsed="false">
      <c r="B110" s="2" t="s">
        <v>375</v>
      </c>
    </row>
    <row r="111" customFormat="false" ht="15" hidden="false" customHeight="false" outlineLevel="0" collapsed="false">
      <c r="B111" s="2" t="s">
        <v>376</v>
      </c>
    </row>
    <row r="112" customFormat="false" ht="15" hidden="false" customHeight="false" outlineLevel="0" collapsed="false">
      <c r="B112" s="2" t="s">
        <v>377</v>
      </c>
    </row>
    <row r="113" customFormat="false" ht="15" hidden="false" customHeight="false" outlineLevel="0" collapsed="false">
      <c r="B113" s="2" t="s">
        <v>378</v>
      </c>
    </row>
    <row r="114" customFormat="false" ht="15" hidden="false" customHeight="false" outlineLevel="0" collapsed="false">
      <c r="B114" s="2" t="s">
        <v>379</v>
      </c>
    </row>
    <row r="115" customFormat="false" ht="15" hidden="false" customHeight="false" outlineLevel="0" collapsed="false">
      <c r="B115" s="2" t="s">
        <v>380</v>
      </c>
    </row>
    <row r="116" customFormat="false" ht="15" hidden="false" customHeight="false" outlineLevel="0" collapsed="false">
      <c r="B116" s="2" t="s">
        <v>381</v>
      </c>
    </row>
    <row r="117" customFormat="false" ht="15" hidden="false" customHeight="false" outlineLevel="0" collapsed="false">
      <c r="B117" s="2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383</v>
      </c>
    </row>
    <row r="2" customFormat="false" ht="15" hidden="false" customHeight="false" outlineLevel="0" collapsed="false">
      <c r="A2" s="2" t="s">
        <v>384</v>
      </c>
    </row>
    <row r="4" customFormat="false" ht="15" hidden="false" customHeight="false" outlineLevel="0" collapsed="false">
      <c r="A4" s="4" t="s">
        <v>3</v>
      </c>
      <c r="B4" s="4" t="s">
        <v>221</v>
      </c>
      <c r="C4" s="4" t="s">
        <v>385</v>
      </c>
      <c r="D4" s="4" t="s">
        <v>386</v>
      </c>
      <c r="E4" s="4" t="s">
        <v>387</v>
      </c>
      <c r="F4" s="4" t="s">
        <v>388</v>
      </c>
      <c r="G4" s="4" t="s">
        <v>389</v>
      </c>
      <c r="H4" s="4" t="s">
        <v>276</v>
      </c>
      <c r="I4" s="4" t="s">
        <v>390</v>
      </c>
      <c r="J4" s="4" t="s">
        <v>5</v>
      </c>
      <c r="K4" s="4" t="s">
        <v>391</v>
      </c>
    </row>
    <row r="5" customFormat="false" ht="15" hidden="false" customHeight="false" outlineLevel="0" collapsed="false">
      <c r="A5" s="54" t="s">
        <v>243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243</v>
      </c>
      <c r="C6" s="6" t="s">
        <v>15</v>
      </c>
      <c r="D6" s="6" t="s">
        <v>392</v>
      </c>
      <c r="E6" s="73"/>
      <c r="F6" s="74"/>
      <c r="G6" s="75" t="n">
        <v>1</v>
      </c>
      <c r="H6" s="5" t="s">
        <v>291</v>
      </c>
      <c r="I6" s="7" t="n">
        <f aca="false">Narxlar!$C$71</f>
        <v>500</v>
      </c>
      <c r="J6" s="76" t="n">
        <f aca="false">G6*I6</f>
        <v>500</v>
      </c>
      <c r="K6" s="24" t="s">
        <v>93</v>
      </c>
    </row>
    <row r="7" customFormat="false" ht="15" hidden="false" customHeight="false" outlineLevel="0" collapsed="false">
      <c r="A7" s="5" t="n">
        <v>2</v>
      </c>
      <c r="B7" s="6" t="s">
        <v>243</v>
      </c>
      <c r="C7" s="6" t="s">
        <v>15</v>
      </c>
      <c r="D7" s="6" t="s">
        <v>393</v>
      </c>
      <c r="E7" s="73"/>
      <c r="F7" s="74"/>
      <c r="G7" s="75" t="n">
        <v>1</v>
      </c>
      <c r="H7" s="5" t="s">
        <v>291</v>
      </c>
      <c r="I7" s="7" t="n">
        <f aca="false">Narxlar!$C$72</f>
        <v>250</v>
      </c>
      <c r="J7" s="76" t="n">
        <f aca="false">G7*I7</f>
        <v>250</v>
      </c>
      <c r="K7" s="24" t="s">
        <v>95</v>
      </c>
    </row>
    <row r="8" customFormat="false" ht="15" hidden="false" customHeight="false" outlineLevel="0" collapsed="false">
      <c r="A8" s="5" t="n">
        <v>3</v>
      </c>
      <c r="B8" s="6" t="s">
        <v>243</v>
      </c>
      <c r="C8" s="6" t="s">
        <v>22</v>
      </c>
      <c r="D8" s="6" t="s">
        <v>394</v>
      </c>
      <c r="E8" s="73"/>
      <c r="F8" s="74"/>
      <c r="G8" s="75" t="n">
        <v>1</v>
      </c>
      <c r="H8" s="5" t="s">
        <v>291</v>
      </c>
      <c r="I8" s="7" t="n">
        <f aca="false">Narxlar!$C$69</f>
        <v>1500</v>
      </c>
      <c r="J8" s="76" t="n">
        <f aca="false">G8*I8</f>
        <v>1500</v>
      </c>
      <c r="K8" s="24" t="s">
        <v>101</v>
      </c>
    </row>
    <row r="9" customFormat="false" ht="15" hidden="false" customHeight="false" outlineLevel="0" collapsed="false">
      <c r="A9" s="5" t="n">
        <v>4</v>
      </c>
      <c r="B9" s="6" t="s">
        <v>243</v>
      </c>
      <c r="C9" s="6" t="s">
        <v>22</v>
      </c>
      <c r="D9" s="6" t="s">
        <v>395</v>
      </c>
      <c r="E9" s="73"/>
      <c r="F9" s="74"/>
      <c r="G9" s="75" t="n">
        <v>1</v>
      </c>
      <c r="H9" s="5" t="s">
        <v>396</v>
      </c>
      <c r="I9" s="7" t="n">
        <f aca="false">Narxlar!$C$70</f>
        <v>500</v>
      </c>
      <c r="J9" s="76" t="n">
        <f aca="false">G9*I9</f>
        <v>500</v>
      </c>
      <c r="K9" s="24" t="s">
        <v>103</v>
      </c>
    </row>
    <row r="10" customFormat="false" ht="15" hidden="false" customHeight="false" outlineLevel="0" collapsed="false">
      <c r="A10" s="5" t="n">
        <v>5</v>
      </c>
      <c r="B10" s="6" t="s">
        <v>243</v>
      </c>
      <c r="C10" s="6" t="s">
        <v>22</v>
      </c>
      <c r="D10" s="6" t="s">
        <v>397</v>
      </c>
      <c r="E10" s="73"/>
      <c r="F10" s="74"/>
      <c r="G10" s="75" t="n">
        <v>1</v>
      </c>
      <c r="H10" s="5" t="s">
        <v>291</v>
      </c>
      <c r="I10" s="7" t="n">
        <f aca="false">Narxlar!$C$60</f>
        <v>130</v>
      </c>
      <c r="J10" s="76" t="n">
        <f aca="false">G10*I10</f>
        <v>130</v>
      </c>
      <c r="K10" s="24" t="s">
        <v>105</v>
      </c>
    </row>
    <row r="11" customFormat="false" ht="15" hidden="false" customHeight="false" outlineLevel="0" collapsed="false">
      <c r="A11" s="5" t="n">
        <v>6</v>
      </c>
      <c r="B11" s="6" t="s">
        <v>243</v>
      </c>
      <c r="C11" s="6" t="s">
        <v>22</v>
      </c>
      <c r="D11" s="6" t="s">
        <v>398</v>
      </c>
      <c r="E11" s="73"/>
      <c r="F11" s="74"/>
      <c r="G11" s="75" t="n">
        <v>1</v>
      </c>
      <c r="H11" s="5" t="s">
        <v>291</v>
      </c>
      <c r="I11" s="7" t="n">
        <f aca="false">Narxlar!$C$62</f>
        <v>450</v>
      </c>
      <c r="J11" s="76" t="n">
        <f aca="false">G11*I11</f>
        <v>450</v>
      </c>
      <c r="K11" s="24" t="s">
        <v>107</v>
      </c>
    </row>
    <row r="12" customFormat="false" ht="15" hidden="false" customHeight="false" outlineLevel="0" collapsed="false">
      <c r="A12" s="5" t="n">
        <v>7</v>
      </c>
      <c r="B12" s="6" t="s">
        <v>243</v>
      </c>
      <c r="C12" s="6" t="s">
        <v>22</v>
      </c>
      <c r="D12" s="6" t="s">
        <v>110</v>
      </c>
      <c r="E12" s="73"/>
      <c r="F12" s="74"/>
      <c r="G12" s="75" t="n">
        <v>1</v>
      </c>
      <c r="H12" s="5" t="s">
        <v>291</v>
      </c>
      <c r="I12" s="7" t="n">
        <f aca="false">Narxlar!$C$64</f>
        <v>100</v>
      </c>
      <c r="J12" s="76" t="n">
        <f aca="false">G12*I12</f>
        <v>100</v>
      </c>
      <c r="K12" s="24" t="s">
        <v>109</v>
      </c>
    </row>
    <row r="13" customFormat="false" ht="15" hidden="false" customHeight="false" outlineLevel="0" collapsed="false">
      <c r="A13" s="77"/>
      <c r="B13" s="77"/>
      <c r="C13" s="77"/>
      <c r="D13" s="11" t="s">
        <v>399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245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245</v>
      </c>
      <c r="C16" s="6" t="s">
        <v>8</v>
      </c>
      <c r="D16" s="6" t="s">
        <v>400</v>
      </c>
      <c r="E16" s="73" t="n">
        <v>4.6</v>
      </c>
      <c r="F16" s="56" t="n">
        <f aca="false">Narxlar!$C$89</f>
        <v>2.5</v>
      </c>
      <c r="G16" s="74" t="n">
        <f aca="false">E16*F16</f>
        <v>11.5</v>
      </c>
      <c r="H16" s="5" t="s">
        <v>318</v>
      </c>
      <c r="I16" s="7" t="n">
        <f aca="false">Narxlar!$C$5</f>
        <v>55</v>
      </c>
      <c r="J16" s="76" t="n">
        <f aca="false">G16*I16</f>
        <v>632.5</v>
      </c>
      <c r="K16" s="24" t="s">
        <v>145</v>
      </c>
    </row>
    <row r="17" customFormat="false" ht="15" hidden="false" customHeight="false" outlineLevel="0" collapsed="false">
      <c r="A17" s="5" t="n">
        <v>9</v>
      </c>
      <c r="B17" s="6" t="s">
        <v>245</v>
      </c>
      <c r="C17" s="6" t="s">
        <v>8</v>
      </c>
      <c r="D17" s="6" t="s">
        <v>401</v>
      </c>
      <c r="E17" s="56" t="n">
        <f aca="false">Narxlar!$C$93</f>
        <v>0.9</v>
      </c>
      <c r="F17" s="56" t="n">
        <f aca="false">Narxlar!$C$89</f>
        <v>2.5</v>
      </c>
      <c r="G17" s="74" t="n">
        <f aca="false">E17*F17</f>
        <v>2.25</v>
      </c>
      <c r="H17" s="5" t="s">
        <v>318</v>
      </c>
      <c r="I17" s="7" t="n">
        <f aca="false">Narxlar!$C$5</f>
        <v>55</v>
      </c>
      <c r="J17" s="76" t="n">
        <f aca="false">G17*I17</f>
        <v>123.75</v>
      </c>
      <c r="K17" s="24" t="s">
        <v>145</v>
      </c>
    </row>
    <row r="18" customFormat="false" ht="15" hidden="false" customHeight="false" outlineLevel="0" collapsed="false">
      <c r="A18" s="5" t="n">
        <v>10</v>
      </c>
      <c r="B18" s="6" t="s">
        <v>245</v>
      </c>
      <c r="C18" s="6" t="s">
        <v>9</v>
      </c>
      <c r="D18" s="6" t="s">
        <v>402</v>
      </c>
      <c r="E18" s="73" t="n">
        <v>0.3</v>
      </c>
      <c r="F18" s="56" t="n">
        <f aca="false">Narxlar!$C$88</f>
        <v>3.5</v>
      </c>
      <c r="G18" s="74" t="n">
        <f aca="false">E18*F18</f>
        <v>1.05</v>
      </c>
      <c r="H18" s="5" t="s">
        <v>318</v>
      </c>
      <c r="I18" s="7" t="n">
        <f aca="false">Narxlar!$C$6</f>
        <v>12</v>
      </c>
      <c r="J18" s="76" t="n">
        <f aca="false">G18*I18</f>
        <v>12.6</v>
      </c>
      <c r="K18" s="24" t="s">
        <v>125</v>
      </c>
    </row>
    <row r="19" customFormat="false" ht="15" hidden="false" customHeight="false" outlineLevel="0" collapsed="false">
      <c r="A19" s="5" t="n">
        <v>11</v>
      </c>
      <c r="B19" s="6" t="s">
        <v>245</v>
      </c>
      <c r="C19" s="6" t="s">
        <v>9</v>
      </c>
      <c r="D19" s="6" t="s">
        <v>403</v>
      </c>
      <c r="E19" s="73" t="n">
        <v>4.6</v>
      </c>
      <c r="F19" s="56" t="n">
        <f aca="false">Narxlar!$C$90</f>
        <v>1</v>
      </c>
      <c r="G19" s="74" t="n">
        <f aca="false">E19*F19</f>
        <v>4.6</v>
      </c>
      <c r="H19" s="5" t="s">
        <v>318</v>
      </c>
      <c r="I19" s="7" t="n">
        <f aca="false">Narxlar!$C$6</f>
        <v>12</v>
      </c>
      <c r="J19" s="76" t="n">
        <f aca="false">G19*I19</f>
        <v>55.2</v>
      </c>
      <c r="K19" s="24" t="s">
        <v>125</v>
      </c>
    </row>
    <row r="20" customFormat="false" ht="15" hidden="false" customHeight="false" outlineLevel="0" collapsed="false">
      <c r="A20" s="5" t="n">
        <v>12</v>
      </c>
      <c r="B20" s="6" t="s">
        <v>245</v>
      </c>
      <c r="C20" s="6" t="s">
        <v>9</v>
      </c>
      <c r="D20" s="6" t="s">
        <v>404</v>
      </c>
      <c r="E20" s="73" t="n">
        <v>0.2</v>
      </c>
      <c r="F20" s="56" t="n">
        <f aca="false">Narxlar!$C$88</f>
        <v>3.5</v>
      </c>
      <c r="G20" s="74" t="n">
        <f aca="false">E20*F20</f>
        <v>0.7</v>
      </c>
      <c r="H20" s="5" t="s">
        <v>318</v>
      </c>
      <c r="I20" s="7" t="n">
        <f aca="false">Narxlar!$C$6</f>
        <v>12</v>
      </c>
      <c r="J20" s="76" t="n">
        <f aca="false">G20*I20</f>
        <v>8.4</v>
      </c>
      <c r="K20" s="24" t="s">
        <v>125</v>
      </c>
    </row>
    <row r="21" customFormat="false" ht="15" hidden="false" customHeight="false" outlineLevel="0" collapsed="false">
      <c r="A21" s="5" t="n">
        <v>13</v>
      </c>
      <c r="B21" s="6" t="s">
        <v>245</v>
      </c>
      <c r="C21" s="6" t="s">
        <v>9</v>
      </c>
      <c r="D21" s="6" t="s">
        <v>405</v>
      </c>
      <c r="E21" s="56" t="n">
        <f aca="false">Narxlar!$C$93</f>
        <v>0.9</v>
      </c>
      <c r="F21" s="56" t="n">
        <f aca="false">Narxlar!$C$90</f>
        <v>1</v>
      </c>
      <c r="G21" s="74" t="n">
        <f aca="false">E21*F21</f>
        <v>0.9</v>
      </c>
      <c r="H21" s="5" t="s">
        <v>318</v>
      </c>
      <c r="I21" s="7" t="n">
        <f aca="false">Narxlar!$C$6</f>
        <v>12</v>
      </c>
      <c r="J21" s="76" t="n">
        <f aca="false">G21*I21</f>
        <v>10.8</v>
      </c>
      <c r="K21" s="24" t="s">
        <v>125</v>
      </c>
    </row>
    <row r="22" customFormat="false" ht="15" hidden="false" customHeight="false" outlineLevel="0" collapsed="false">
      <c r="A22" s="5" t="n">
        <v>14</v>
      </c>
      <c r="B22" s="6" t="s">
        <v>245</v>
      </c>
      <c r="C22" s="6" t="s">
        <v>10</v>
      </c>
      <c r="D22" s="6" t="s">
        <v>406</v>
      </c>
      <c r="E22" s="73" t="n">
        <v>7.7</v>
      </c>
      <c r="F22" s="56" t="n">
        <f aca="false">Narxlar!$C$94</f>
        <v>3.5</v>
      </c>
      <c r="G22" s="74" t="n">
        <f aca="false">E22*F22</f>
        <v>26.95</v>
      </c>
      <c r="H22" s="5" t="s">
        <v>318</v>
      </c>
      <c r="I22" s="7" t="n">
        <f aca="false">Narxlar!$C$7</f>
        <v>15.5</v>
      </c>
      <c r="J22" s="76" t="n">
        <f aca="false">G22*I22</f>
        <v>417.725</v>
      </c>
      <c r="K22" s="24" t="s">
        <v>146</v>
      </c>
    </row>
    <row r="23" customFormat="false" ht="15" hidden="false" customHeight="false" outlineLevel="0" collapsed="false">
      <c r="A23" s="5" t="n">
        <v>15</v>
      </c>
      <c r="B23" s="6" t="s">
        <v>245</v>
      </c>
      <c r="C23" s="6" t="s">
        <v>10</v>
      </c>
      <c r="D23" s="6" t="s">
        <v>407</v>
      </c>
      <c r="E23" s="73" t="n">
        <v>7.7</v>
      </c>
      <c r="F23" s="56" t="n">
        <f aca="false">Narxlar!$C$94</f>
        <v>3.5</v>
      </c>
      <c r="G23" s="74" t="n">
        <f aca="false">E23*F23</f>
        <v>26.95</v>
      </c>
      <c r="H23" s="5" t="s">
        <v>318</v>
      </c>
      <c r="I23" s="7" t="n">
        <f aca="false">Narxlar!$C$7</f>
        <v>15.5</v>
      </c>
      <c r="J23" s="76" t="n">
        <f aca="false">G23*I23</f>
        <v>417.725</v>
      </c>
      <c r="K23" s="24" t="s">
        <v>146</v>
      </c>
    </row>
    <row r="24" customFormat="false" ht="15" hidden="false" customHeight="false" outlineLevel="0" collapsed="false">
      <c r="A24" s="5" t="n">
        <v>16</v>
      </c>
      <c r="B24" s="6" t="s">
        <v>245</v>
      </c>
      <c r="C24" s="6" t="s">
        <v>11</v>
      </c>
      <c r="D24" s="6" t="s">
        <v>408</v>
      </c>
      <c r="E24" s="73"/>
      <c r="F24" s="74"/>
      <c r="G24" s="75" t="n">
        <v>1</v>
      </c>
      <c r="H24" s="5" t="s">
        <v>291</v>
      </c>
      <c r="I24" s="7" t="n">
        <f aca="false">Narxlar!$C$8</f>
        <v>1032</v>
      </c>
      <c r="J24" s="76" t="n">
        <f aca="false">G24*I24</f>
        <v>1032</v>
      </c>
      <c r="K24" s="24" t="s">
        <v>159</v>
      </c>
    </row>
    <row r="25" customFormat="false" ht="15" hidden="false" customHeight="false" outlineLevel="0" collapsed="false">
      <c r="A25" s="5" t="n">
        <v>17</v>
      </c>
      <c r="B25" s="6" t="s">
        <v>245</v>
      </c>
      <c r="C25" s="6" t="s">
        <v>13</v>
      </c>
      <c r="D25" s="6" t="s">
        <v>409</v>
      </c>
      <c r="E25" s="73"/>
      <c r="F25" s="74"/>
      <c r="G25" s="75" t="n">
        <v>1</v>
      </c>
      <c r="H25" s="5" t="s">
        <v>396</v>
      </c>
      <c r="I25" s="7" t="n">
        <f aca="false">Narxlar!$C$12</f>
        <v>168</v>
      </c>
      <c r="J25" s="76" t="n">
        <f aca="false">G25*I25</f>
        <v>168</v>
      </c>
      <c r="K25" s="24" t="s">
        <v>161</v>
      </c>
    </row>
    <row r="26" customFormat="false" ht="15" hidden="false" customHeight="false" outlineLevel="0" collapsed="false">
      <c r="A26" s="5" t="n">
        <v>18</v>
      </c>
      <c r="B26" s="6" t="s">
        <v>245</v>
      </c>
      <c r="C26" s="6" t="s">
        <v>21</v>
      </c>
      <c r="D26" s="6" t="s">
        <v>152</v>
      </c>
      <c r="E26" s="73"/>
      <c r="F26" s="74"/>
      <c r="G26" s="75" t="n">
        <v>1</v>
      </c>
      <c r="H26" s="5" t="s">
        <v>291</v>
      </c>
      <c r="I26" s="7" t="n">
        <f aca="false">Narxlar!$C$56</f>
        <v>1120</v>
      </c>
      <c r="J26" s="76" t="n">
        <f aca="false">G26*I26</f>
        <v>1120</v>
      </c>
      <c r="K26" s="24" t="s">
        <v>151</v>
      </c>
    </row>
    <row r="27" customFormat="false" ht="15" hidden="false" customHeight="false" outlineLevel="0" collapsed="false">
      <c r="A27" s="77"/>
      <c r="B27" s="77"/>
      <c r="C27" s="77"/>
      <c r="D27" s="11" t="s">
        <v>410</v>
      </c>
      <c r="E27" s="77"/>
      <c r="F27" s="77"/>
      <c r="G27" s="77"/>
      <c r="H27" s="77"/>
      <c r="I27" s="77"/>
      <c r="J27" s="12" t="n">
        <f aca="false">SUM(J16:J26)</f>
        <v>3998.7</v>
      </c>
    </row>
    <row r="29" customFormat="false" ht="15" hidden="false" customHeight="false" outlineLevel="0" collapsed="false">
      <c r="A29" s="54" t="s">
        <v>246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246</v>
      </c>
      <c r="C30" s="6" t="s">
        <v>8</v>
      </c>
      <c r="D30" s="6" t="s">
        <v>400</v>
      </c>
      <c r="E30" s="73" t="n">
        <v>4.7</v>
      </c>
      <c r="F30" s="56" t="n">
        <f aca="false">Narxlar!$C$89</f>
        <v>2.5</v>
      </c>
      <c r="G30" s="74" t="n">
        <f aca="false">E30*F30</f>
        <v>11.75</v>
      </c>
      <c r="H30" s="5" t="s">
        <v>318</v>
      </c>
      <c r="I30" s="7" t="n">
        <f aca="false">Narxlar!$C$5</f>
        <v>55</v>
      </c>
      <c r="J30" s="76" t="n">
        <f aca="false">G30*I30</f>
        <v>646.25</v>
      </c>
      <c r="K30" s="24" t="s">
        <v>145</v>
      </c>
    </row>
    <row r="31" customFormat="false" ht="15" hidden="false" customHeight="false" outlineLevel="0" collapsed="false">
      <c r="A31" s="5" t="n">
        <v>20</v>
      </c>
      <c r="B31" s="6" t="s">
        <v>246</v>
      </c>
      <c r="C31" s="6" t="s">
        <v>8</v>
      </c>
      <c r="D31" s="6" t="s">
        <v>401</v>
      </c>
      <c r="E31" s="56" t="n">
        <f aca="false">Narxlar!$C$93</f>
        <v>0.9</v>
      </c>
      <c r="F31" s="56" t="n">
        <f aca="false">Narxlar!$C$89</f>
        <v>2.5</v>
      </c>
      <c r="G31" s="74" t="n">
        <f aca="false">E31*F31</f>
        <v>2.25</v>
      </c>
      <c r="H31" s="5" t="s">
        <v>318</v>
      </c>
      <c r="I31" s="7" t="n">
        <f aca="false">Narxlar!$C$5</f>
        <v>55</v>
      </c>
      <c r="J31" s="76" t="n">
        <f aca="false">G31*I31</f>
        <v>123.75</v>
      </c>
      <c r="K31" s="24" t="s">
        <v>145</v>
      </c>
    </row>
    <row r="32" customFormat="false" ht="15" hidden="false" customHeight="false" outlineLevel="0" collapsed="false">
      <c r="A32" s="5" t="n">
        <v>21</v>
      </c>
      <c r="B32" s="6" t="s">
        <v>246</v>
      </c>
      <c r="C32" s="6" t="s">
        <v>9</v>
      </c>
      <c r="D32" s="6" t="s">
        <v>403</v>
      </c>
      <c r="E32" s="73" t="n">
        <v>4.7</v>
      </c>
      <c r="F32" s="56" t="n">
        <f aca="false">Narxlar!$C$90</f>
        <v>1</v>
      </c>
      <c r="G32" s="74" t="n">
        <f aca="false">E32*F32</f>
        <v>4.7</v>
      </c>
      <c r="H32" s="5" t="s">
        <v>318</v>
      </c>
      <c r="I32" s="7" t="n">
        <f aca="false">Narxlar!$C$6</f>
        <v>12</v>
      </c>
      <c r="J32" s="76" t="n">
        <f aca="false">G32*I32</f>
        <v>56.4</v>
      </c>
      <c r="K32" s="24" t="s">
        <v>125</v>
      </c>
    </row>
    <row r="33" customFormat="false" ht="15" hidden="false" customHeight="false" outlineLevel="0" collapsed="false">
      <c r="A33" s="5" t="n">
        <v>22</v>
      </c>
      <c r="B33" s="6" t="s">
        <v>246</v>
      </c>
      <c r="C33" s="6" t="s">
        <v>9</v>
      </c>
      <c r="D33" s="6" t="s">
        <v>404</v>
      </c>
      <c r="E33" s="73" t="n">
        <v>0.2</v>
      </c>
      <c r="F33" s="56" t="n">
        <f aca="false">Narxlar!$C$88</f>
        <v>3.5</v>
      </c>
      <c r="G33" s="74" t="n">
        <f aca="false">E33*F33</f>
        <v>0.7</v>
      </c>
      <c r="H33" s="5" t="s">
        <v>318</v>
      </c>
      <c r="I33" s="7" t="n">
        <f aca="false">Narxlar!$C$6</f>
        <v>12</v>
      </c>
      <c r="J33" s="76" t="n">
        <f aca="false">G33*I33</f>
        <v>8.4</v>
      </c>
      <c r="K33" s="24" t="s">
        <v>125</v>
      </c>
    </row>
    <row r="34" customFormat="false" ht="15" hidden="false" customHeight="false" outlineLevel="0" collapsed="false">
      <c r="A34" s="5" t="n">
        <v>23</v>
      </c>
      <c r="B34" s="6" t="s">
        <v>246</v>
      </c>
      <c r="C34" s="6" t="s">
        <v>9</v>
      </c>
      <c r="D34" s="6" t="s">
        <v>405</v>
      </c>
      <c r="E34" s="56" t="n">
        <f aca="false">Narxlar!$C$93</f>
        <v>0.9</v>
      </c>
      <c r="F34" s="56" t="n">
        <f aca="false">Narxlar!$C$90</f>
        <v>1</v>
      </c>
      <c r="G34" s="74" t="n">
        <f aca="false">E34*F34</f>
        <v>0.9</v>
      </c>
      <c r="H34" s="5" t="s">
        <v>318</v>
      </c>
      <c r="I34" s="7" t="n">
        <f aca="false">Narxlar!$C$6</f>
        <v>12</v>
      </c>
      <c r="J34" s="76" t="n">
        <f aca="false">G34*I34</f>
        <v>10.8</v>
      </c>
      <c r="K34" s="24" t="s">
        <v>125</v>
      </c>
    </row>
    <row r="35" customFormat="false" ht="15" hidden="false" customHeight="false" outlineLevel="0" collapsed="false">
      <c r="A35" s="5" t="n">
        <v>24</v>
      </c>
      <c r="B35" s="6" t="s">
        <v>246</v>
      </c>
      <c r="C35" s="6" t="s">
        <v>10</v>
      </c>
      <c r="D35" s="6" t="s">
        <v>406</v>
      </c>
      <c r="E35" s="73" t="n">
        <v>7.7</v>
      </c>
      <c r="F35" s="56" t="n">
        <f aca="false">Narxlar!$C$94</f>
        <v>3.5</v>
      </c>
      <c r="G35" s="74" t="n">
        <f aca="false">E35*F35</f>
        <v>26.95</v>
      </c>
      <c r="H35" s="5" t="s">
        <v>318</v>
      </c>
      <c r="I35" s="7" t="n">
        <f aca="false">Narxlar!$C$7</f>
        <v>15.5</v>
      </c>
      <c r="J35" s="76" t="n">
        <f aca="false">G35*I35</f>
        <v>417.725</v>
      </c>
      <c r="K35" s="24" t="s">
        <v>146</v>
      </c>
    </row>
    <row r="36" customFormat="false" ht="15" hidden="false" customHeight="false" outlineLevel="0" collapsed="false">
      <c r="A36" s="5" t="n">
        <v>25</v>
      </c>
      <c r="B36" s="6" t="s">
        <v>246</v>
      </c>
      <c r="C36" s="6" t="s">
        <v>10</v>
      </c>
      <c r="D36" s="6" t="s">
        <v>407</v>
      </c>
      <c r="E36" s="73" t="n">
        <v>7.7</v>
      </c>
      <c r="F36" s="56" t="n">
        <f aca="false">Narxlar!$C$94</f>
        <v>3.5</v>
      </c>
      <c r="G36" s="74" t="n">
        <f aca="false">E36*F36</f>
        <v>26.95</v>
      </c>
      <c r="H36" s="5" t="s">
        <v>318</v>
      </c>
      <c r="I36" s="7" t="n">
        <f aca="false">Narxlar!$C$7</f>
        <v>15.5</v>
      </c>
      <c r="J36" s="76" t="n">
        <f aca="false">G36*I36</f>
        <v>417.725</v>
      </c>
      <c r="K36" s="24" t="s">
        <v>146</v>
      </c>
    </row>
    <row r="37" customFormat="false" ht="15" hidden="false" customHeight="false" outlineLevel="0" collapsed="false">
      <c r="A37" s="5" t="n">
        <v>26</v>
      </c>
      <c r="B37" s="6" t="s">
        <v>246</v>
      </c>
      <c r="C37" s="6" t="s">
        <v>11</v>
      </c>
      <c r="D37" s="6" t="s">
        <v>408</v>
      </c>
      <c r="E37" s="73"/>
      <c r="F37" s="74"/>
      <c r="G37" s="75" t="n">
        <v>1</v>
      </c>
      <c r="H37" s="5" t="s">
        <v>291</v>
      </c>
      <c r="I37" s="7" t="n">
        <f aca="false">Narxlar!$C$8</f>
        <v>1032</v>
      </c>
      <c r="J37" s="76" t="n">
        <f aca="false">G37*I37</f>
        <v>1032</v>
      </c>
      <c r="K37" s="24" t="s">
        <v>159</v>
      </c>
    </row>
    <row r="38" customFormat="false" ht="15" hidden="false" customHeight="false" outlineLevel="0" collapsed="false">
      <c r="A38" s="5" t="n">
        <v>27</v>
      </c>
      <c r="B38" s="6" t="s">
        <v>246</v>
      </c>
      <c r="C38" s="6" t="s">
        <v>13</v>
      </c>
      <c r="D38" s="6" t="s">
        <v>409</v>
      </c>
      <c r="E38" s="73"/>
      <c r="F38" s="74"/>
      <c r="G38" s="75" t="n">
        <v>1</v>
      </c>
      <c r="H38" s="5" t="s">
        <v>396</v>
      </c>
      <c r="I38" s="7" t="n">
        <f aca="false">Narxlar!$C$12</f>
        <v>168</v>
      </c>
      <c r="J38" s="76" t="n">
        <f aca="false">G38*I38</f>
        <v>168</v>
      </c>
      <c r="K38" s="24" t="s">
        <v>161</v>
      </c>
    </row>
    <row r="39" customFormat="false" ht="15" hidden="false" customHeight="false" outlineLevel="0" collapsed="false">
      <c r="A39" s="5" t="n">
        <v>28</v>
      </c>
      <c r="B39" s="6" t="s">
        <v>246</v>
      </c>
      <c r="C39" s="6" t="s">
        <v>21</v>
      </c>
      <c r="D39" s="6" t="s">
        <v>152</v>
      </c>
      <c r="E39" s="73"/>
      <c r="F39" s="74"/>
      <c r="G39" s="75" t="n">
        <v>1</v>
      </c>
      <c r="H39" s="5" t="s">
        <v>291</v>
      </c>
      <c r="I39" s="7" t="n">
        <f aca="false">Narxlar!$C$56</f>
        <v>1120</v>
      </c>
      <c r="J39" s="76" t="n">
        <f aca="false">G39*I39</f>
        <v>1120</v>
      </c>
      <c r="K39" s="24" t="s">
        <v>151</v>
      </c>
    </row>
    <row r="40" customFormat="false" ht="15" hidden="false" customHeight="false" outlineLevel="0" collapsed="false">
      <c r="A40" s="77"/>
      <c r="B40" s="77"/>
      <c r="C40" s="77"/>
      <c r="D40" s="11" t="s">
        <v>411</v>
      </c>
      <c r="E40" s="77"/>
      <c r="F40" s="77"/>
      <c r="G40" s="77"/>
      <c r="H40" s="77"/>
      <c r="I40" s="77"/>
      <c r="J40" s="12" t="n">
        <f aca="false">SUM(J30:J39)</f>
        <v>4001.05</v>
      </c>
    </row>
    <row r="42" customFormat="false" ht="15" hidden="false" customHeight="false" outlineLevel="0" collapsed="false">
      <c r="A42" s="54" t="s">
        <v>247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247</v>
      </c>
      <c r="C43" s="6" t="s">
        <v>8</v>
      </c>
      <c r="D43" s="6" t="s">
        <v>401</v>
      </c>
      <c r="E43" s="56" t="n">
        <f aca="false">Narxlar!$C$93</f>
        <v>0.9</v>
      </c>
      <c r="F43" s="56" t="n">
        <f aca="false">Narxlar!$C$89</f>
        <v>2.5</v>
      </c>
      <c r="G43" s="74" t="n">
        <f aca="false">E43*F43</f>
        <v>2.25</v>
      </c>
      <c r="H43" s="5" t="s">
        <v>318</v>
      </c>
      <c r="I43" s="7" t="n">
        <f aca="false">Narxlar!$C$5</f>
        <v>55</v>
      </c>
      <c r="J43" s="76" t="n">
        <f aca="false">G43*I43</f>
        <v>123.75</v>
      </c>
      <c r="K43" s="24" t="s">
        <v>145</v>
      </c>
    </row>
    <row r="44" customFormat="false" ht="15" hidden="false" customHeight="false" outlineLevel="0" collapsed="false">
      <c r="A44" s="5" t="n">
        <v>30</v>
      </c>
      <c r="B44" s="6" t="s">
        <v>247</v>
      </c>
      <c r="C44" s="6" t="s">
        <v>9</v>
      </c>
      <c r="D44" s="6" t="s">
        <v>404</v>
      </c>
      <c r="E44" s="73" t="n">
        <v>0.15</v>
      </c>
      <c r="F44" s="56" t="n">
        <f aca="false">Narxlar!$C$88</f>
        <v>3.5</v>
      </c>
      <c r="G44" s="74" t="n">
        <f aca="false">E44*F44</f>
        <v>0.525</v>
      </c>
      <c r="H44" s="5" t="s">
        <v>318</v>
      </c>
      <c r="I44" s="7" t="n">
        <f aca="false">Narxlar!$C$6</f>
        <v>12</v>
      </c>
      <c r="J44" s="76" t="n">
        <f aca="false">G44*I44</f>
        <v>6.3</v>
      </c>
      <c r="K44" s="24" t="s">
        <v>125</v>
      </c>
    </row>
    <row r="45" customFormat="false" ht="15" hidden="false" customHeight="false" outlineLevel="0" collapsed="false">
      <c r="A45" s="5" t="n">
        <v>31</v>
      </c>
      <c r="B45" s="6" t="s">
        <v>247</v>
      </c>
      <c r="C45" s="6" t="s">
        <v>9</v>
      </c>
      <c r="D45" s="6" t="s">
        <v>412</v>
      </c>
      <c r="E45" s="73" t="n">
        <v>4.7</v>
      </c>
      <c r="F45" s="56" t="n">
        <f aca="false">Narxlar!$C$88</f>
        <v>3.5</v>
      </c>
      <c r="G45" s="74" t="n">
        <f aca="false">E45*F45</f>
        <v>16.45</v>
      </c>
      <c r="H45" s="5" t="s">
        <v>318</v>
      </c>
      <c r="I45" s="7" t="n">
        <f aca="false">Narxlar!$C$6</f>
        <v>12</v>
      </c>
      <c r="J45" s="76" t="n">
        <f aca="false">G45*I45</f>
        <v>197.4</v>
      </c>
      <c r="K45" s="24" t="s">
        <v>125</v>
      </c>
    </row>
    <row r="46" customFormat="false" ht="15" hidden="false" customHeight="false" outlineLevel="0" collapsed="false">
      <c r="A46" s="5" t="n">
        <v>32</v>
      </c>
      <c r="B46" s="6" t="s">
        <v>247</v>
      </c>
      <c r="C46" s="6" t="s">
        <v>9</v>
      </c>
      <c r="D46" s="6" t="s">
        <v>405</v>
      </c>
      <c r="E46" s="56" t="n">
        <f aca="false">Narxlar!$C$93</f>
        <v>0.9</v>
      </c>
      <c r="F46" s="56" t="n">
        <f aca="false">Narxlar!$C$90</f>
        <v>1</v>
      </c>
      <c r="G46" s="74" t="n">
        <f aca="false">E46*F46</f>
        <v>0.9</v>
      </c>
      <c r="H46" s="5" t="s">
        <v>318</v>
      </c>
      <c r="I46" s="7" t="n">
        <f aca="false">Narxlar!$C$6</f>
        <v>12</v>
      </c>
      <c r="J46" s="76" t="n">
        <f aca="false">G46*I46</f>
        <v>10.8</v>
      </c>
      <c r="K46" s="24" t="s">
        <v>125</v>
      </c>
    </row>
    <row r="47" customFormat="false" ht="15" hidden="false" customHeight="false" outlineLevel="0" collapsed="false">
      <c r="A47" s="5" t="n">
        <v>33</v>
      </c>
      <c r="B47" s="6" t="s">
        <v>247</v>
      </c>
      <c r="C47" s="6" t="s">
        <v>10</v>
      </c>
      <c r="D47" s="6" t="s">
        <v>406</v>
      </c>
      <c r="E47" s="73" t="n">
        <v>7.7</v>
      </c>
      <c r="F47" s="56" t="n">
        <f aca="false">Narxlar!$C$94</f>
        <v>3.5</v>
      </c>
      <c r="G47" s="74" t="n">
        <f aca="false">E47*F47</f>
        <v>26.95</v>
      </c>
      <c r="H47" s="5" t="s">
        <v>318</v>
      </c>
      <c r="I47" s="7" t="n">
        <f aca="false">Narxlar!$C$7</f>
        <v>15.5</v>
      </c>
      <c r="J47" s="76" t="n">
        <f aca="false">G47*I47</f>
        <v>417.725</v>
      </c>
      <c r="K47" s="24" t="s">
        <v>146</v>
      </c>
    </row>
    <row r="48" customFormat="false" ht="15" hidden="false" customHeight="false" outlineLevel="0" collapsed="false">
      <c r="A48" s="5" t="n">
        <v>34</v>
      </c>
      <c r="B48" s="6" t="s">
        <v>247</v>
      </c>
      <c r="C48" s="6" t="s">
        <v>10</v>
      </c>
      <c r="D48" s="6" t="s">
        <v>407</v>
      </c>
      <c r="E48" s="73" t="n">
        <v>7.7</v>
      </c>
      <c r="F48" s="56" t="n">
        <f aca="false">Narxlar!$C$94</f>
        <v>3.5</v>
      </c>
      <c r="G48" s="74" t="n">
        <f aca="false">E48*F48</f>
        <v>26.95</v>
      </c>
      <c r="H48" s="5" t="s">
        <v>318</v>
      </c>
      <c r="I48" s="7" t="n">
        <f aca="false">Narxlar!$C$7</f>
        <v>15.5</v>
      </c>
      <c r="J48" s="76" t="n">
        <f aca="false">G48*I48</f>
        <v>417.725</v>
      </c>
      <c r="K48" s="24" t="s">
        <v>146</v>
      </c>
    </row>
    <row r="49" customFormat="false" ht="15" hidden="false" customHeight="false" outlineLevel="0" collapsed="false">
      <c r="A49" s="5" t="n">
        <v>35</v>
      </c>
      <c r="B49" s="6" t="s">
        <v>247</v>
      </c>
      <c r="C49" s="6" t="s">
        <v>11</v>
      </c>
      <c r="D49" s="6" t="s">
        <v>408</v>
      </c>
      <c r="E49" s="73"/>
      <c r="F49" s="74"/>
      <c r="G49" s="75" t="n">
        <v>1</v>
      </c>
      <c r="H49" s="5" t="s">
        <v>291</v>
      </c>
      <c r="I49" s="7" t="n">
        <f aca="false">Narxlar!$C$8</f>
        <v>1032</v>
      </c>
      <c r="J49" s="76" t="n">
        <f aca="false">G49*I49</f>
        <v>1032</v>
      </c>
      <c r="K49" s="24" t="s">
        <v>159</v>
      </c>
    </row>
    <row r="50" customFormat="false" ht="15" hidden="false" customHeight="false" outlineLevel="0" collapsed="false">
      <c r="A50" s="5" t="n">
        <v>36</v>
      </c>
      <c r="B50" s="6" t="s">
        <v>247</v>
      </c>
      <c r="C50" s="6" t="s">
        <v>13</v>
      </c>
      <c r="D50" s="6" t="s">
        <v>409</v>
      </c>
      <c r="E50" s="73"/>
      <c r="F50" s="74"/>
      <c r="G50" s="75" t="n">
        <v>1</v>
      </c>
      <c r="H50" s="5" t="s">
        <v>396</v>
      </c>
      <c r="I50" s="7" t="n">
        <f aca="false">Narxlar!$C$12</f>
        <v>168</v>
      </c>
      <c r="J50" s="76" t="n">
        <f aca="false">G50*I50</f>
        <v>168</v>
      </c>
      <c r="K50" s="24" t="s">
        <v>161</v>
      </c>
    </row>
    <row r="51" customFormat="false" ht="15" hidden="false" customHeight="false" outlineLevel="0" collapsed="false">
      <c r="A51" s="5" t="n">
        <v>37</v>
      </c>
      <c r="B51" s="6" t="s">
        <v>247</v>
      </c>
      <c r="C51" s="6" t="s">
        <v>21</v>
      </c>
      <c r="D51" s="6" t="s">
        <v>152</v>
      </c>
      <c r="E51" s="73"/>
      <c r="F51" s="74"/>
      <c r="G51" s="75" t="n">
        <v>1</v>
      </c>
      <c r="H51" s="5" t="s">
        <v>291</v>
      </c>
      <c r="I51" s="7" t="n">
        <f aca="false">Narxlar!$C$56</f>
        <v>1120</v>
      </c>
      <c r="J51" s="76" t="n">
        <f aca="false">G51*I51</f>
        <v>1120</v>
      </c>
      <c r="K51" s="24" t="s">
        <v>151</v>
      </c>
    </row>
    <row r="52" customFormat="false" ht="15" hidden="false" customHeight="false" outlineLevel="0" collapsed="false">
      <c r="A52" s="77"/>
      <c r="B52" s="77"/>
      <c r="C52" s="77"/>
      <c r="D52" s="11" t="s">
        <v>413</v>
      </c>
      <c r="E52" s="77"/>
      <c r="F52" s="77"/>
      <c r="G52" s="77"/>
      <c r="H52" s="77"/>
      <c r="I52" s="77"/>
      <c r="J52" s="12" t="n">
        <f aca="false">SUM(J43:J51)</f>
        <v>3493.7</v>
      </c>
    </row>
    <row r="54" customFormat="false" ht="15" hidden="false" customHeight="false" outlineLevel="0" collapsed="false">
      <c r="A54" s="54" t="s">
        <v>248</v>
      </c>
      <c r="B54" s="55"/>
      <c r="C54" s="55"/>
      <c r="D54" s="55"/>
      <c r="E54" s="55"/>
      <c r="F54" s="55"/>
      <c r="G54" s="55"/>
      <c r="H54" s="55"/>
      <c r="I54" s="55"/>
      <c r="J54" s="55"/>
    </row>
    <row r="55" customFormat="false" ht="15" hidden="false" customHeight="false" outlineLevel="0" collapsed="false">
      <c r="A55" s="5" t="n">
        <v>38</v>
      </c>
      <c r="B55" s="6" t="s">
        <v>248</v>
      </c>
      <c r="C55" s="6" t="s">
        <v>8</v>
      </c>
      <c r="D55" s="6" t="s">
        <v>414</v>
      </c>
      <c r="E55" s="56" t="n">
        <f aca="false">Narxlar!$C$93</f>
        <v>0.9</v>
      </c>
      <c r="F55" s="56" t="n">
        <f aca="false">Narxlar!$C$89</f>
        <v>2.5</v>
      </c>
      <c r="G55" s="74" t="n">
        <f aca="false">E55*F55</f>
        <v>2.25</v>
      </c>
      <c r="H55" s="5" t="s">
        <v>318</v>
      </c>
      <c r="I55" s="7" t="n">
        <f aca="false">Narxlar!$C$5</f>
        <v>55</v>
      </c>
      <c r="J55" s="76" t="n">
        <f aca="false">G55*I55</f>
        <v>123.75</v>
      </c>
      <c r="K55" s="24" t="s">
        <v>145</v>
      </c>
    </row>
    <row r="56" customFormat="false" ht="15" hidden="false" customHeight="false" outlineLevel="0" collapsed="false">
      <c r="A56" s="5" t="n">
        <v>39</v>
      </c>
      <c r="B56" s="6" t="s">
        <v>248</v>
      </c>
      <c r="C56" s="6" t="s">
        <v>9</v>
      </c>
      <c r="D56" s="6" t="s">
        <v>415</v>
      </c>
      <c r="E56" s="73" t="n">
        <v>1</v>
      </c>
      <c r="F56" s="56" t="n">
        <f aca="false">Narxlar!$C$88</f>
        <v>3.5</v>
      </c>
      <c r="G56" s="74" t="n">
        <f aca="false">E56*F56</f>
        <v>3.5</v>
      </c>
      <c r="H56" s="5" t="s">
        <v>318</v>
      </c>
      <c r="I56" s="7" t="n">
        <f aca="false">Narxlar!$C$6</f>
        <v>12</v>
      </c>
      <c r="J56" s="76" t="n">
        <f aca="false">G56*I56</f>
        <v>42</v>
      </c>
      <c r="K56" s="24" t="s">
        <v>125</v>
      </c>
    </row>
    <row r="57" customFormat="false" ht="15" hidden="false" customHeight="false" outlineLevel="0" collapsed="false">
      <c r="A57" s="5" t="n">
        <v>40</v>
      </c>
      <c r="B57" s="6" t="s">
        <v>248</v>
      </c>
      <c r="C57" s="6" t="s">
        <v>9</v>
      </c>
      <c r="D57" s="6" t="s">
        <v>416</v>
      </c>
      <c r="E57" s="73" t="n">
        <v>4.5</v>
      </c>
      <c r="F57" s="56" t="n">
        <f aca="false">Narxlar!$C$88</f>
        <v>3.5</v>
      </c>
      <c r="G57" s="74" t="n">
        <f aca="false">E57*F57</f>
        <v>15.75</v>
      </c>
      <c r="H57" s="5" t="s">
        <v>318</v>
      </c>
      <c r="I57" s="7" t="n">
        <f aca="false">Narxlar!$C$6</f>
        <v>12</v>
      </c>
      <c r="J57" s="76" t="n">
        <f aca="false">G57*I57</f>
        <v>189</v>
      </c>
      <c r="K57" s="24" t="s">
        <v>125</v>
      </c>
    </row>
    <row r="58" customFormat="false" ht="15" hidden="false" customHeight="false" outlineLevel="0" collapsed="false">
      <c r="A58" s="5" t="n">
        <v>41</v>
      </c>
      <c r="B58" s="6" t="s">
        <v>248</v>
      </c>
      <c r="C58" s="6" t="s">
        <v>9</v>
      </c>
      <c r="D58" s="6" t="s">
        <v>417</v>
      </c>
      <c r="E58" s="73" t="n">
        <v>1.5</v>
      </c>
      <c r="F58" s="56" t="n">
        <f aca="false">Narxlar!$C$88</f>
        <v>3.5</v>
      </c>
      <c r="G58" s="74" t="n">
        <f aca="false">E58*F58</f>
        <v>5.25</v>
      </c>
      <c r="H58" s="5" t="s">
        <v>318</v>
      </c>
      <c r="I58" s="7" t="n">
        <f aca="false">Narxlar!$C$6</f>
        <v>12</v>
      </c>
      <c r="J58" s="76" t="n">
        <f aca="false">G58*I58</f>
        <v>63</v>
      </c>
      <c r="K58" s="24" t="s">
        <v>125</v>
      </c>
    </row>
    <row r="59" customFormat="false" ht="15" hidden="false" customHeight="false" outlineLevel="0" collapsed="false">
      <c r="A59" s="5" t="n">
        <v>42</v>
      </c>
      <c r="B59" s="6" t="s">
        <v>248</v>
      </c>
      <c r="C59" s="6" t="s">
        <v>9</v>
      </c>
      <c r="D59" s="6" t="s">
        <v>418</v>
      </c>
      <c r="E59" s="73" t="n">
        <v>1.15</v>
      </c>
      <c r="F59" s="56" t="n">
        <f aca="false">Narxlar!$C$88</f>
        <v>3.5</v>
      </c>
      <c r="G59" s="74" t="n">
        <f aca="false">E59*F59</f>
        <v>4.025</v>
      </c>
      <c r="H59" s="5" t="s">
        <v>318</v>
      </c>
      <c r="I59" s="7" t="n">
        <f aca="false">Narxlar!$C$6</f>
        <v>12</v>
      </c>
      <c r="J59" s="76" t="n">
        <f aca="false">G59*I59</f>
        <v>48.3</v>
      </c>
      <c r="K59" s="24" t="s">
        <v>125</v>
      </c>
    </row>
    <row r="60" customFormat="false" ht="15" hidden="false" customHeight="false" outlineLevel="0" collapsed="false">
      <c r="A60" s="5" t="n">
        <v>43</v>
      </c>
      <c r="B60" s="6" t="s">
        <v>248</v>
      </c>
      <c r="C60" s="6" t="s">
        <v>9</v>
      </c>
      <c r="D60" s="6" t="s">
        <v>419</v>
      </c>
      <c r="E60" s="73" t="n">
        <v>0.1</v>
      </c>
      <c r="F60" s="56" t="n">
        <f aca="false">Narxlar!$C$88</f>
        <v>3.5</v>
      </c>
      <c r="G60" s="74" t="n">
        <f aca="false">E60*F60</f>
        <v>0.35</v>
      </c>
      <c r="H60" s="5" t="s">
        <v>318</v>
      </c>
      <c r="I60" s="7" t="n">
        <f aca="false">Narxlar!$C$6</f>
        <v>12</v>
      </c>
      <c r="J60" s="76" t="n">
        <f aca="false">G60*I60</f>
        <v>4.2</v>
      </c>
      <c r="K60" s="24" t="s">
        <v>125</v>
      </c>
    </row>
    <row r="61" customFormat="false" ht="15" hidden="false" customHeight="false" outlineLevel="0" collapsed="false">
      <c r="A61" s="5" t="n">
        <v>44</v>
      </c>
      <c r="B61" s="6" t="s">
        <v>248</v>
      </c>
      <c r="C61" s="6" t="s">
        <v>9</v>
      </c>
      <c r="D61" s="6" t="s">
        <v>420</v>
      </c>
      <c r="E61" s="73" t="n">
        <v>0.1</v>
      </c>
      <c r="F61" s="56" t="n">
        <f aca="false">Narxlar!$C$88</f>
        <v>3.5</v>
      </c>
      <c r="G61" s="74" t="n">
        <f aca="false">E61*F61</f>
        <v>0.35</v>
      </c>
      <c r="H61" s="5" t="s">
        <v>318</v>
      </c>
      <c r="I61" s="7" t="n">
        <f aca="false">Narxlar!$C$6</f>
        <v>12</v>
      </c>
      <c r="J61" s="76" t="n">
        <f aca="false">G61*I61</f>
        <v>4.2</v>
      </c>
      <c r="K61" s="24" t="s">
        <v>125</v>
      </c>
    </row>
    <row r="62" customFormat="false" ht="15" hidden="false" customHeight="false" outlineLevel="0" collapsed="false">
      <c r="A62" s="5" t="n">
        <v>45</v>
      </c>
      <c r="B62" s="6" t="s">
        <v>248</v>
      </c>
      <c r="C62" s="6" t="s">
        <v>9</v>
      </c>
      <c r="D62" s="6" t="s">
        <v>420</v>
      </c>
      <c r="E62" s="73" t="n">
        <v>0.25</v>
      </c>
      <c r="F62" s="56" t="n">
        <f aca="false">Narxlar!$C$88</f>
        <v>3.5</v>
      </c>
      <c r="G62" s="74" t="n">
        <f aca="false">E62*F62</f>
        <v>0.875</v>
      </c>
      <c r="H62" s="5" t="s">
        <v>318</v>
      </c>
      <c r="I62" s="7" t="n">
        <f aca="false">Narxlar!$C$6</f>
        <v>12</v>
      </c>
      <c r="J62" s="76" t="n">
        <f aca="false">G62*I62</f>
        <v>10.5</v>
      </c>
      <c r="K62" s="24" t="s">
        <v>125</v>
      </c>
    </row>
    <row r="63" customFormat="false" ht="15" hidden="false" customHeight="false" outlineLevel="0" collapsed="false">
      <c r="A63" s="5" t="n">
        <v>46</v>
      </c>
      <c r="B63" s="6" t="s">
        <v>248</v>
      </c>
      <c r="C63" s="6" t="s">
        <v>9</v>
      </c>
      <c r="D63" s="6" t="s">
        <v>421</v>
      </c>
      <c r="E63" s="73" t="n">
        <v>1.5</v>
      </c>
      <c r="F63" s="56" t="n">
        <f aca="false">Narxlar!$C$88</f>
        <v>3.5</v>
      </c>
      <c r="G63" s="74" t="n">
        <f aca="false">E63*F63</f>
        <v>5.25</v>
      </c>
      <c r="H63" s="5" t="s">
        <v>318</v>
      </c>
      <c r="I63" s="7" t="n">
        <f aca="false">Narxlar!$C$6</f>
        <v>12</v>
      </c>
      <c r="J63" s="76" t="n">
        <f aca="false">G63*I63</f>
        <v>63</v>
      </c>
      <c r="K63" s="24" t="s">
        <v>125</v>
      </c>
    </row>
    <row r="64" customFormat="false" ht="15" hidden="false" customHeight="false" outlineLevel="0" collapsed="false">
      <c r="A64" s="5" t="n">
        <v>47</v>
      </c>
      <c r="B64" s="6" t="s">
        <v>248</v>
      </c>
      <c r="C64" s="6" t="s">
        <v>9</v>
      </c>
      <c r="D64" s="6" t="s">
        <v>422</v>
      </c>
      <c r="E64" s="73" t="n">
        <v>4.5</v>
      </c>
      <c r="F64" s="56" t="n">
        <f aca="false">Narxlar!$C$88</f>
        <v>3.5</v>
      </c>
      <c r="G64" s="74" t="n">
        <f aca="false">E64*F64</f>
        <v>15.75</v>
      </c>
      <c r="H64" s="5" t="s">
        <v>318</v>
      </c>
      <c r="I64" s="7" t="n">
        <f aca="false">Narxlar!$C$6</f>
        <v>12</v>
      </c>
      <c r="J64" s="76" t="n">
        <f aca="false">G64*I64</f>
        <v>189</v>
      </c>
      <c r="K64" s="24" t="s">
        <v>125</v>
      </c>
    </row>
    <row r="65" customFormat="false" ht="15" hidden="false" customHeight="false" outlineLevel="0" collapsed="false">
      <c r="A65" s="5" t="n">
        <v>48</v>
      </c>
      <c r="B65" s="6" t="s">
        <v>248</v>
      </c>
      <c r="C65" s="6" t="s">
        <v>9</v>
      </c>
      <c r="D65" s="6" t="s">
        <v>423</v>
      </c>
      <c r="E65" s="56" t="n">
        <f aca="false">Narxlar!$C$93</f>
        <v>0.9</v>
      </c>
      <c r="F65" s="56" t="n">
        <f aca="false">Narxlar!$C$90</f>
        <v>1</v>
      </c>
      <c r="G65" s="74" t="n">
        <f aca="false">E65*F65</f>
        <v>0.9</v>
      </c>
      <c r="H65" s="5" t="s">
        <v>318</v>
      </c>
      <c r="I65" s="7" t="n">
        <f aca="false">Narxlar!$C$6</f>
        <v>12</v>
      </c>
      <c r="J65" s="76" t="n">
        <f aca="false">G65*I65</f>
        <v>10.8</v>
      </c>
      <c r="K65" s="24" t="s">
        <v>125</v>
      </c>
    </row>
    <row r="66" customFormat="false" ht="15" hidden="false" customHeight="false" outlineLevel="0" collapsed="false">
      <c r="A66" s="5" t="n">
        <v>49</v>
      </c>
      <c r="B66" s="6" t="s">
        <v>248</v>
      </c>
      <c r="C66" s="6" t="s">
        <v>10</v>
      </c>
      <c r="D66" s="6" t="s">
        <v>406</v>
      </c>
      <c r="E66" s="73" t="n">
        <v>8.8</v>
      </c>
      <c r="F66" s="56" t="n">
        <f aca="false">Narxlar!$C$94</f>
        <v>3.5</v>
      </c>
      <c r="G66" s="74" t="n">
        <f aca="false">E66*F66</f>
        <v>30.8</v>
      </c>
      <c r="H66" s="5" t="s">
        <v>318</v>
      </c>
      <c r="I66" s="7" t="n">
        <f aca="false">Narxlar!$C$7</f>
        <v>15.5</v>
      </c>
      <c r="J66" s="76" t="n">
        <f aca="false">G66*I66</f>
        <v>477.4</v>
      </c>
      <c r="K66" s="24" t="s">
        <v>146</v>
      </c>
    </row>
    <row r="67" customFormat="false" ht="15" hidden="false" customHeight="false" outlineLevel="0" collapsed="false">
      <c r="A67" s="5" t="n">
        <v>50</v>
      </c>
      <c r="B67" s="6" t="s">
        <v>248</v>
      </c>
      <c r="C67" s="6" t="s">
        <v>10</v>
      </c>
      <c r="D67" s="6" t="s">
        <v>424</v>
      </c>
      <c r="E67" s="73" t="n">
        <v>5.6</v>
      </c>
      <c r="F67" s="56" t="n">
        <f aca="false">Narxlar!$C$94</f>
        <v>3.5</v>
      </c>
      <c r="G67" s="74" t="n">
        <f aca="false">E67*F67</f>
        <v>19.6</v>
      </c>
      <c r="H67" s="5" t="s">
        <v>318</v>
      </c>
      <c r="I67" s="7" t="n">
        <f aca="false">Narxlar!$C$7</f>
        <v>15.5</v>
      </c>
      <c r="J67" s="76" t="n">
        <f aca="false">G67*I67</f>
        <v>303.8</v>
      </c>
      <c r="K67" s="24" t="s">
        <v>146</v>
      </c>
    </row>
    <row r="68" customFormat="false" ht="15" hidden="false" customHeight="false" outlineLevel="0" collapsed="false">
      <c r="A68" s="5" t="n">
        <v>51</v>
      </c>
      <c r="B68" s="6" t="s">
        <v>248</v>
      </c>
      <c r="C68" s="6" t="s">
        <v>11</v>
      </c>
      <c r="D68" s="6" t="s">
        <v>408</v>
      </c>
      <c r="E68" s="73"/>
      <c r="F68" s="74"/>
      <c r="G68" s="75" t="n">
        <v>1</v>
      </c>
      <c r="H68" s="5" t="s">
        <v>291</v>
      </c>
      <c r="I68" s="7" t="n">
        <f aca="false">Narxlar!$C$8</f>
        <v>1032</v>
      </c>
      <c r="J68" s="76" t="n">
        <f aca="false">G68*I68</f>
        <v>1032</v>
      </c>
      <c r="K68" s="24" t="s">
        <v>159</v>
      </c>
    </row>
    <row r="69" customFormat="false" ht="15" hidden="false" customHeight="false" outlineLevel="0" collapsed="false">
      <c r="A69" s="5" t="n">
        <v>52</v>
      </c>
      <c r="B69" s="6" t="s">
        <v>248</v>
      </c>
      <c r="C69" s="6" t="s">
        <v>13</v>
      </c>
      <c r="D69" s="6" t="s">
        <v>409</v>
      </c>
      <c r="E69" s="73"/>
      <c r="F69" s="74"/>
      <c r="G69" s="75" t="n">
        <v>1</v>
      </c>
      <c r="H69" s="5" t="s">
        <v>396</v>
      </c>
      <c r="I69" s="7" t="n">
        <f aca="false">Narxlar!$C$12</f>
        <v>168</v>
      </c>
      <c r="J69" s="76" t="n">
        <f aca="false">G69*I69</f>
        <v>168</v>
      </c>
      <c r="K69" s="24" t="s">
        <v>161</v>
      </c>
    </row>
    <row r="70" customFormat="false" ht="15" hidden="false" customHeight="false" outlineLevel="0" collapsed="false">
      <c r="A70" s="5" t="n">
        <v>53</v>
      </c>
      <c r="B70" s="6" t="s">
        <v>248</v>
      </c>
      <c r="C70" s="6" t="s">
        <v>21</v>
      </c>
      <c r="D70" s="6" t="s">
        <v>152</v>
      </c>
      <c r="E70" s="73"/>
      <c r="F70" s="74"/>
      <c r="G70" s="75" t="n">
        <v>1</v>
      </c>
      <c r="H70" s="5" t="s">
        <v>291</v>
      </c>
      <c r="I70" s="7" t="n">
        <f aca="false">Narxlar!$C$56</f>
        <v>1120</v>
      </c>
      <c r="J70" s="76" t="n">
        <f aca="false">G70*I70</f>
        <v>1120</v>
      </c>
      <c r="K70" s="24" t="s">
        <v>151</v>
      </c>
    </row>
    <row r="71" customFormat="false" ht="15" hidden="false" customHeight="false" outlineLevel="0" collapsed="false">
      <c r="A71" s="77"/>
      <c r="B71" s="77"/>
      <c r="C71" s="77"/>
      <c r="D71" s="11" t="s">
        <v>425</v>
      </c>
      <c r="E71" s="77"/>
      <c r="F71" s="77"/>
      <c r="G71" s="77"/>
      <c r="H71" s="77"/>
      <c r="I71" s="77"/>
      <c r="J71" s="12" t="n">
        <f aca="false">SUM(J55:J70)</f>
        <v>3848.95</v>
      </c>
    </row>
    <row r="73" customFormat="false" ht="15" hidden="false" customHeight="false" outlineLevel="0" collapsed="false">
      <c r="A73" s="54" t="s">
        <v>249</v>
      </c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5" hidden="false" customHeight="false" outlineLevel="0" collapsed="false">
      <c r="A74" s="5" t="n">
        <v>54</v>
      </c>
      <c r="B74" s="6" t="s">
        <v>249</v>
      </c>
      <c r="C74" s="6" t="s">
        <v>8</v>
      </c>
      <c r="D74" s="6" t="s">
        <v>414</v>
      </c>
      <c r="E74" s="56" t="n">
        <f aca="false">Narxlar!$C$93</f>
        <v>0.9</v>
      </c>
      <c r="F74" s="56" t="n">
        <f aca="false">Narxlar!$C$89</f>
        <v>2.5</v>
      </c>
      <c r="G74" s="74" t="n">
        <f aca="false">E74*F74</f>
        <v>2.25</v>
      </c>
      <c r="H74" s="5" t="s">
        <v>318</v>
      </c>
      <c r="I74" s="7" t="n">
        <f aca="false">Narxlar!$C$5</f>
        <v>55</v>
      </c>
      <c r="J74" s="76" t="n">
        <f aca="false">G74*I74</f>
        <v>123.75</v>
      </c>
      <c r="K74" s="24" t="s">
        <v>145</v>
      </c>
    </row>
    <row r="75" customFormat="false" ht="15" hidden="false" customHeight="false" outlineLevel="0" collapsed="false">
      <c r="A75" s="5" t="n">
        <v>55</v>
      </c>
      <c r="B75" s="6" t="s">
        <v>249</v>
      </c>
      <c r="C75" s="6" t="s">
        <v>9</v>
      </c>
      <c r="D75" s="6" t="s">
        <v>426</v>
      </c>
      <c r="E75" s="73" t="n">
        <v>2.75</v>
      </c>
      <c r="F75" s="56" t="n">
        <f aca="false">Narxlar!$C$88</f>
        <v>3.5</v>
      </c>
      <c r="G75" s="74" t="n">
        <f aca="false">E75*F75</f>
        <v>9.625</v>
      </c>
      <c r="H75" s="5" t="s">
        <v>318</v>
      </c>
      <c r="I75" s="7" t="n">
        <f aca="false">Narxlar!$C$6</f>
        <v>12</v>
      </c>
      <c r="J75" s="76" t="n">
        <f aca="false">G75*I75</f>
        <v>115.5</v>
      </c>
      <c r="K75" s="24" t="s">
        <v>125</v>
      </c>
    </row>
    <row r="76" customFormat="false" ht="15" hidden="false" customHeight="false" outlineLevel="0" collapsed="false">
      <c r="A76" s="5" t="n">
        <v>56</v>
      </c>
      <c r="B76" s="6" t="s">
        <v>249</v>
      </c>
      <c r="C76" s="6" t="s">
        <v>9</v>
      </c>
      <c r="D76" s="6" t="s">
        <v>420</v>
      </c>
      <c r="E76" s="73" t="n">
        <v>0.15</v>
      </c>
      <c r="F76" s="56" t="n">
        <f aca="false">Narxlar!$C$88</f>
        <v>3.5</v>
      </c>
      <c r="G76" s="74" t="n">
        <f aca="false">E76*F76</f>
        <v>0.525</v>
      </c>
      <c r="H76" s="5" t="s">
        <v>318</v>
      </c>
      <c r="I76" s="7" t="n">
        <f aca="false">Narxlar!$C$6</f>
        <v>12</v>
      </c>
      <c r="J76" s="76" t="n">
        <f aca="false">G76*I76</f>
        <v>6.3</v>
      </c>
      <c r="K76" s="24" t="s">
        <v>125</v>
      </c>
    </row>
    <row r="77" customFormat="false" ht="15" hidden="false" customHeight="false" outlineLevel="0" collapsed="false">
      <c r="A77" s="5" t="n">
        <v>57</v>
      </c>
      <c r="B77" s="6" t="s">
        <v>249</v>
      </c>
      <c r="C77" s="6" t="s">
        <v>9</v>
      </c>
      <c r="D77" s="6" t="s">
        <v>427</v>
      </c>
      <c r="E77" s="73" t="n">
        <v>4.7</v>
      </c>
      <c r="F77" s="56" t="n">
        <f aca="false">Narxlar!$C$88</f>
        <v>3.5</v>
      </c>
      <c r="G77" s="74" t="n">
        <f aca="false">E77*F77</f>
        <v>16.45</v>
      </c>
      <c r="H77" s="5" t="s">
        <v>318</v>
      </c>
      <c r="I77" s="7" t="n">
        <f aca="false">Narxlar!$C$6</f>
        <v>12</v>
      </c>
      <c r="J77" s="76" t="n">
        <f aca="false">G77*I77</f>
        <v>197.4</v>
      </c>
      <c r="K77" s="24" t="s">
        <v>125</v>
      </c>
    </row>
    <row r="78" customFormat="false" ht="15" hidden="false" customHeight="false" outlineLevel="0" collapsed="false">
      <c r="A78" s="5" t="n">
        <v>58</v>
      </c>
      <c r="B78" s="6" t="s">
        <v>249</v>
      </c>
      <c r="C78" s="6" t="s">
        <v>9</v>
      </c>
      <c r="D78" s="6" t="s">
        <v>423</v>
      </c>
      <c r="E78" s="56" t="n">
        <f aca="false">Narxlar!$C$93</f>
        <v>0.9</v>
      </c>
      <c r="F78" s="56" t="n">
        <f aca="false">Narxlar!$C$90</f>
        <v>1</v>
      </c>
      <c r="G78" s="74" t="n">
        <f aca="false">E78*F78</f>
        <v>0.9</v>
      </c>
      <c r="H78" s="5" t="s">
        <v>318</v>
      </c>
      <c r="I78" s="7" t="n">
        <f aca="false">Narxlar!$C$6</f>
        <v>12</v>
      </c>
      <c r="J78" s="76" t="n">
        <f aca="false">G78*I78</f>
        <v>10.8</v>
      </c>
      <c r="K78" s="24" t="s">
        <v>125</v>
      </c>
    </row>
    <row r="79" customFormat="false" ht="15" hidden="false" customHeight="false" outlineLevel="0" collapsed="false">
      <c r="A79" s="5" t="n">
        <v>59</v>
      </c>
      <c r="B79" s="6" t="s">
        <v>249</v>
      </c>
      <c r="C79" s="6" t="s">
        <v>10</v>
      </c>
      <c r="D79" s="6" t="s">
        <v>406</v>
      </c>
      <c r="E79" s="73" t="n">
        <v>7.7</v>
      </c>
      <c r="F79" s="56" t="n">
        <f aca="false">Narxlar!$C$94</f>
        <v>3.5</v>
      </c>
      <c r="G79" s="74" t="n">
        <f aca="false">E79*F79</f>
        <v>26.95</v>
      </c>
      <c r="H79" s="5" t="s">
        <v>318</v>
      </c>
      <c r="I79" s="7" t="n">
        <f aca="false">Narxlar!$C$7</f>
        <v>15.5</v>
      </c>
      <c r="J79" s="76" t="n">
        <f aca="false">G79*I79</f>
        <v>417.725</v>
      </c>
      <c r="K79" s="24" t="s">
        <v>146</v>
      </c>
    </row>
    <row r="80" customFormat="false" ht="15" hidden="false" customHeight="false" outlineLevel="0" collapsed="false">
      <c r="A80" s="5" t="n">
        <v>60</v>
      </c>
      <c r="B80" s="6" t="s">
        <v>249</v>
      </c>
      <c r="C80" s="6" t="s">
        <v>10</v>
      </c>
      <c r="D80" s="6" t="s">
        <v>407</v>
      </c>
      <c r="E80" s="73" t="n">
        <v>7.7</v>
      </c>
      <c r="F80" s="56" t="n">
        <f aca="false">Narxlar!$C$94</f>
        <v>3.5</v>
      </c>
      <c r="G80" s="74" t="n">
        <f aca="false">E80*F80</f>
        <v>26.95</v>
      </c>
      <c r="H80" s="5" t="s">
        <v>318</v>
      </c>
      <c r="I80" s="7" t="n">
        <f aca="false">Narxlar!$C$7</f>
        <v>15.5</v>
      </c>
      <c r="J80" s="76" t="n">
        <f aca="false">G80*I80</f>
        <v>417.725</v>
      </c>
      <c r="K80" s="24" t="s">
        <v>146</v>
      </c>
    </row>
    <row r="81" customFormat="false" ht="15" hidden="false" customHeight="false" outlineLevel="0" collapsed="false">
      <c r="A81" s="5" t="n">
        <v>61</v>
      </c>
      <c r="B81" s="6" t="s">
        <v>249</v>
      </c>
      <c r="C81" s="6" t="s">
        <v>11</v>
      </c>
      <c r="D81" s="6" t="s">
        <v>408</v>
      </c>
      <c r="E81" s="73"/>
      <c r="F81" s="74"/>
      <c r="G81" s="75" t="n">
        <v>1</v>
      </c>
      <c r="H81" s="5" t="s">
        <v>291</v>
      </c>
      <c r="I81" s="7" t="n">
        <f aca="false">Narxlar!$C$8</f>
        <v>1032</v>
      </c>
      <c r="J81" s="76" t="n">
        <f aca="false">G81*I81</f>
        <v>1032</v>
      </c>
      <c r="K81" s="24" t="s">
        <v>159</v>
      </c>
    </row>
    <row r="82" customFormat="false" ht="15" hidden="false" customHeight="false" outlineLevel="0" collapsed="false">
      <c r="A82" s="5" t="n">
        <v>62</v>
      </c>
      <c r="B82" s="6" t="s">
        <v>249</v>
      </c>
      <c r="C82" s="6" t="s">
        <v>13</v>
      </c>
      <c r="D82" s="6" t="s">
        <v>409</v>
      </c>
      <c r="E82" s="73"/>
      <c r="F82" s="74"/>
      <c r="G82" s="75" t="n">
        <v>1</v>
      </c>
      <c r="H82" s="5" t="s">
        <v>396</v>
      </c>
      <c r="I82" s="7" t="n">
        <f aca="false">Narxlar!$C$12</f>
        <v>168</v>
      </c>
      <c r="J82" s="76" t="n">
        <f aca="false">G82*I82</f>
        <v>168</v>
      </c>
      <c r="K82" s="24" t="s">
        <v>161</v>
      </c>
    </row>
    <row r="83" customFormat="false" ht="15" hidden="false" customHeight="false" outlineLevel="0" collapsed="false">
      <c r="A83" s="5" t="n">
        <v>63</v>
      </c>
      <c r="B83" s="6" t="s">
        <v>249</v>
      </c>
      <c r="C83" s="6" t="s">
        <v>21</v>
      </c>
      <c r="D83" s="6" t="s">
        <v>152</v>
      </c>
      <c r="E83" s="73"/>
      <c r="F83" s="74"/>
      <c r="G83" s="75" t="n">
        <v>1</v>
      </c>
      <c r="H83" s="5" t="s">
        <v>291</v>
      </c>
      <c r="I83" s="7" t="n">
        <f aca="false">Narxlar!$C$56</f>
        <v>1120</v>
      </c>
      <c r="J83" s="76" t="n">
        <f aca="false">G83*I83</f>
        <v>1120</v>
      </c>
      <c r="K83" s="24" t="s">
        <v>151</v>
      </c>
    </row>
    <row r="84" customFormat="false" ht="15" hidden="false" customHeight="false" outlineLevel="0" collapsed="false">
      <c r="A84" s="77"/>
      <c r="B84" s="77"/>
      <c r="C84" s="77"/>
      <c r="D84" s="11" t="s">
        <v>428</v>
      </c>
      <c r="E84" s="77"/>
      <c r="F84" s="77"/>
      <c r="G84" s="77"/>
      <c r="H84" s="77"/>
      <c r="I84" s="77"/>
      <c r="J84" s="12" t="n">
        <f aca="false">SUM(J74:J83)</f>
        <v>3609.2</v>
      </c>
    </row>
    <row r="86" customFormat="false" ht="15" hidden="false" customHeight="false" outlineLevel="0" collapsed="false">
      <c r="A86" s="54" t="s">
        <v>250</v>
      </c>
      <c r="B86" s="55"/>
      <c r="C86" s="55"/>
      <c r="D86" s="55"/>
      <c r="E86" s="55"/>
      <c r="F86" s="55"/>
      <c r="G86" s="55"/>
      <c r="H86" s="55"/>
      <c r="I86" s="55"/>
      <c r="J86" s="55"/>
    </row>
    <row r="87" customFormat="false" ht="15" hidden="false" customHeight="false" outlineLevel="0" collapsed="false">
      <c r="A87" s="5" t="n">
        <v>64</v>
      </c>
      <c r="B87" s="6" t="s">
        <v>250</v>
      </c>
      <c r="C87" s="6" t="s">
        <v>8</v>
      </c>
      <c r="D87" s="6" t="s">
        <v>429</v>
      </c>
      <c r="E87" s="73" t="n">
        <v>4.7</v>
      </c>
      <c r="F87" s="56" t="n">
        <f aca="false">Narxlar!$C$89</f>
        <v>2.5</v>
      </c>
      <c r="G87" s="74" t="n">
        <f aca="false">E87*F87</f>
        <v>11.75</v>
      </c>
      <c r="H87" s="5" t="s">
        <v>318</v>
      </c>
      <c r="I87" s="7" t="n">
        <f aca="false">Narxlar!$C$5</f>
        <v>55</v>
      </c>
      <c r="J87" s="76" t="n">
        <f aca="false">G87*I87</f>
        <v>646.25</v>
      </c>
      <c r="K87" s="24" t="s">
        <v>145</v>
      </c>
    </row>
    <row r="88" customFormat="false" ht="15" hidden="false" customHeight="false" outlineLevel="0" collapsed="false">
      <c r="A88" s="5" t="n">
        <v>65</v>
      </c>
      <c r="B88" s="6" t="s">
        <v>250</v>
      </c>
      <c r="C88" s="6" t="s">
        <v>8</v>
      </c>
      <c r="D88" s="6" t="s">
        <v>414</v>
      </c>
      <c r="E88" s="56" t="n">
        <f aca="false">Narxlar!$C$93</f>
        <v>0.9</v>
      </c>
      <c r="F88" s="56" t="n">
        <f aca="false">Narxlar!$C$89</f>
        <v>2.5</v>
      </c>
      <c r="G88" s="74" t="n">
        <f aca="false">E88*F88</f>
        <v>2.25</v>
      </c>
      <c r="H88" s="5" t="s">
        <v>318</v>
      </c>
      <c r="I88" s="7" t="n">
        <f aca="false">Narxlar!$C$5</f>
        <v>55</v>
      </c>
      <c r="J88" s="76" t="n">
        <f aca="false">G88*I88</f>
        <v>123.75</v>
      </c>
      <c r="K88" s="24" t="s">
        <v>145</v>
      </c>
    </row>
    <row r="89" customFormat="false" ht="15" hidden="false" customHeight="false" outlineLevel="0" collapsed="false">
      <c r="A89" s="5" t="n">
        <v>66</v>
      </c>
      <c r="B89" s="6" t="s">
        <v>250</v>
      </c>
      <c r="C89" s="6" t="s">
        <v>9</v>
      </c>
      <c r="D89" s="6" t="s">
        <v>430</v>
      </c>
      <c r="E89" s="73" t="n">
        <v>2.75</v>
      </c>
      <c r="F89" s="56" t="n">
        <f aca="false">Narxlar!$C$88</f>
        <v>3.5</v>
      </c>
      <c r="G89" s="74" t="n">
        <f aca="false">E89*F89</f>
        <v>9.625</v>
      </c>
      <c r="H89" s="5" t="s">
        <v>318</v>
      </c>
      <c r="I89" s="7" t="n">
        <f aca="false">Narxlar!$C$6</f>
        <v>12</v>
      </c>
      <c r="J89" s="76" t="n">
        <f aca="false">G89*I89</f>
        <v>115.5</v>
      </c>
      <c r="K89" s="24" t="s">
        <v>125</v>
      </c>
    </row>
    <row r="90" customFormat="false" ht="15" hidden="false" customHeight="false" outlineLevel="0" collapsed="false">
      <c r="A90" s="5" t="n">
        <v>67</v>
      </c>
      <c r="B90" s="6" t="s">
        <v>250</v>
      </c>
      <c r="C90" s="6" t="s">
        <v>9</v>
      </c>
      <c r="D90" s="6" t="s">
        <v>431</v>
      </c>
      <c r="E90" s="73" t="n">
        <v>2.75</v>
      </c>
      <c r="F90" s="56" t="n">
        <f aca="false">Narxlar!$C$88</f>
        <v>3.5</v>
      </c>
      <c r="G90" s="74" t="n">
        <f aca="false">E90*F90</f>
        <v>9.625</v>
      </c>
      <c r="H90" s="5" t="s">
        <v>318</v>
      </c>
      <c r="I90" s="7" t="n">
        <f aca="false">Narxlar!$C$6</f>
        <v>12</v>
      </c>
      <c r="J90" s="76" t="n">
        <f aca="false">G90*I90</f>
        <v>115.5</v>
      </c>
      <c r="K90" s="24" t="s">
        <v>125</v>
      </c>
    </row>
    <row r="91" customFormat="false" ht="15" hidden="false" customHeight="false" outlineLevel="0" collapsed="false">
      <c r="A91" s="5" t="n">
        <v>68</v>
      </c>
      <c r="B91" s="6" t="s">
        <v>250</v>
      </c>
      <c r="C91" s="6" t="s">
        <v>9</v>
      </c>
      <c r="D91" s="6" t="s">
        <v>420</v>
      </c>
      <c r="E91" s="73" t="n">
        <v>0.2</v>
      </c>
      <c r="F91" s="56" t="n">
        <f aca="false">Narxlar!$C$88</f>
        <v>3.5</v>
      </c>
      <c r="G91" s="74" t="n">
        <f aca="false">E91*F91</f>
        <v>0.7</v>
      </c>
      <c r="H91" s="5" t="s">
        <v>318</v>
      </c>
      <c r="I91" s="7" t="n">
        <f aca="false">Narxlar!$C$6</f>
        <v>12</v>
      </c>
      <c r="J91" s="76" t="n">
        <f aca="false">G91*I91</f>
        <v>8.4</v>
      </c>
      <c r="K91" s="24" t="s">
        <v>125</v>
      </c>
    </row>
    <row r="92" customFormat="false" ht="15" hidden="false" customHeight="false" outlineLevel="0" collapsed="false">
      <c r="A92" s="5" t="n">
        <v>69</v>
      </c>
      <c r="B92" s="6" t="s">
        <v>250</v>
      </c>
      <c r="C92" s="6" t="s">
        <v>9</v>
      </c>
      <c r="D92" s="6" t="s">
        <v>432</v>
      </c>
      <c r="E92" s="73" t="n">
        <v>4.7</v>
      </c>
      <c r="F92" s="56" t="n">
        <f aca="false">Narxlar!$C$90</f>
        <v>1</v>
      </c>
      <c r="G92" s="74" t="n">
        <f aca="false">E92*F92</f>
        <v>4.7</v>
      </c>
      <c r="H92" s="5" t="s">
        <v>318</v>
      </c>
      <c r="I92" s="7" t="n">
        <f aca="false">Narxlar!$C$6</f>
        <v>12</v>
      </c>
      <c r="J92" s="76" t="n">
        <f aca="false">G92*I92</f>
        <v>56.4</v>
      </c>
      <c r="K92" s="24" t="s">
        <v>125</v>
      </c>
    </row>
    <row r="93" customFormat="false" ht="15" hidden="false" customHeight="false" outlineLevel="0" collapsed="false">
      <c r="A93" s="5" t="n">
        <v>70</v>
      </c>
      <c r="B93" s="6" t="s">
        <v>250</v>
      </c>
      <c r="C93" s="6" t="s">
        <v>9</v>
      </c>
      <c r="D93" s="6" t="s">
        <v>423</v>
      </c>
      <c r="E93" s="56" t="n">
        <f aca="false">Narxlar!$C$93</f>
        <v>0.9</v>
      </c>
      <c r="F93" s="56" t="n">
        <f aca="false">Narxlar!$C$90</f>
        <v>1</v>
      </c>
      <c r="G93" s="74" t="n">
        <f aca="false">E93*F93</f>
        <v>0.9</v>
      </c>
      <c r="H93" s="5" t="s">
        <v>318</v>
      </c>
      <c r="I93" s="7" t="n">
        <f aca="false">Narxlar!$C$6</f>
        <v>12</v>
      </c>
      <c r="J93" s="76" t="n">
        <f aca="false">G93*I93</f>
        <v>10.8</v>
      </c>
      <c r="K93" s="24" t="s">
        <v>125</v>
      </c>
    </row>
    <row r="94" customFormat="false" ht="15" hidden="false" customHeight="false" outlineLevel="0" collapsed="false">
      <c r="A94" s="5" t="n">
        <v>71</v>
      </c>
      <c r="B94" s="6" t="s">
        <v>250</v>
      </c>
      <c r="C94" s="6" t="s">
        <v>10</v>
      </c>
      <c r="D94" s="6" t="s">
        <v>406</v>
      </c>
      <c r="E94" s="73" t="n">
        <v>7.7</v>
      </c>
      <c r="F94" s="56" t="n">
        <f aca="false">Narxlar!$C$94</f>
        <v>3.5</v>
      </c>
      <c r="G94" s="74" t="n">
        <f aca="false">E94*F94</f>
        <v>26.95</v>
      </c>
      <c r="H94" s="5" t="s">
        <v>318</v>
      </c>
      <c r="I94" s="7" t="n">
        <f aca="false">Narxlar!$C$7</f>
        <v>15.5</v>
      </c>
      <c r="J94" s="76" t="n">
        <f aca="false">G94*I94</f>
        <v>417.725</v>
      </c>
      <c r="K94" s="24" t="s">
        <v>146</v>
      </c>
    </row>
    <row r="95" customFormat="false" ht="15" hidden="false" customHeight="false" outlineLevel="0" collapsed="false">
      <c r="A95" s="5" t="n">
        <v>72</v>
      </c>
      <c r="B95" s="6" t="s">
        <v>250</v>
      </c>
      <c r="C95" s="6" t="s">
        <v>10</v>
      </c>
      <c r="D95" s="6" t="s">
        <v>407</v>
      </c>
      <c r="E95" s="73" t="n">
        <v>7.7</v>
      </c>
      <c r="F95" s="56" t="n">
        <f aca="false">Narxlar!$C$94</f>
        <v>3.5</v>
      </c>
      <c r="G95" s="74" t="n">
        <f aca="false">E95*F95</f>
        <v>26.95</v>
      </c>
      <c r="H95" s="5" t="s">
        <v>318</v>
      </c>
      <c r="I95" s="7" t="n">
        <f aca="false">Narxlar!$C$7</f>
        <v>15.5</v>
      </c>
      <c r="J95" s="76" t="n">
        <f aca="false">G95*I95</f>
        <v>417.725</v>
      </c>
      <c r="K95" s="24" t="s">
        <v>146</v>
      </c>
    </row>
    <row r="96" customFormat="false" ht="15" hidden="false" customHeight="false" outlineLevel="0" collapsed="false">
      <c r="A96" s="5" t="n">
        <v>73</v>
      </c>
      <c r="B96" s="6" t="s">
        <v>250</v>
      </c>
      <c r="C96" s="6" t="s">
        <v>11</v>
      </c>
      <c r="D96" s="6" t="s">
        <v>408</v>
      </c>
      <c r="E96" s="73"/>
      <c r="F96" s="74"/>
      <c r="G96" s="75" t="n">
        <v>1</v>
      </c>
      <c r="H96" s="5" t="s">
        <v>291</v>
      </c>
      <c r="I96" s="7" t="n">
        <f aca="false">Narxlar!$C$8</f>
        <v>1032</v>
      </c>
      <c r="J96" s="76" t="n">
        <f aca="false">G96*I96</f>
        <v>1032</v>
      </c>
      <c r="K96" s="24" t="s">
        <v>159</v>
      </c>
    </row>
    <row r="97" customFormat="false" ht="15" hidden="false" customHeight="false" outlineLevel="0" collapsed="false">
      <c r="A97" s="5" t="n">
        <v>74</v>
      </c>
      <c r="B97" s="6" t="s">
        <v>250</v>
      </c>
      <c r="C97" s="6" t="s">
        <v>13</v>
      </c>
      <c r="D97" s="6" t="s">
        <v>409</v>
      </c>
      <c r="E97" s="73"/>
      <c r="F97" s="74"/>
      <c r="G97" s="75" t="n">
        <v>1</v>
      </c>
      <c r="H97" s="5" t="s">
        <v>396</v>
      </c>
      <c r="I97" s="7" t="n">
        <f aca="false">Narxlar!$C$12</f>
        <v>168</v>
      </c>
      <c r="J97" s="76" t="n">
        <f aca="false">G97*I97</f>
        <v>168</v>
      </c>
      <c r="K97" s="24" t="s">
        <v>161</v>
      </c>
    </row>
    <row r="98" customFormat="false" ht="15" hidden="false" customHeight="false" outlineLevel="0" collapsed="false">
      <c r="A98" s="5" t="n">
        <v>75</v>
      </c>
      <c r="B98" s="6" t="s">
        <v>250</v>
      </c>
      <c r="C98" s="6" t="s">
        <v>21</v>
      </c>
      <c r="D98" s="6" t="s">
        <v>152</v>
      </c>
      <c r="E98" s="73"/>
      <c r="F98" s="74"/>
      <c r="G98" s="75" t="n">
        <v>1</v>
      </c>
      <c r="H98" s="5" t="s">
        <v>291</v>
      </c>
      <c r="I98" s="7" t="n">
        <f aca="false">Narxlar!$C$56</f>
        <v>1120</v>
      </c>
      <c r="J98" s="76" t="n">
        <f aca="false">G98*I98</f>
        <v>1120</v>
      </c>
      <c r="K98" s="24" t="s">
        <v>151</v>
      </c>
    </row>
    <row r="99" customFormat="false" ht="15" hidden="false" customHeight="false" outlineLevel="0" collapsed="false">
      <c r="A99" s="77"/>
      <c r="B99" s="77"/>
      <c r="C99" s="77"/>
      <c r="D99" s="11" t="s">
        <v>433</v>
      </c>
      <c r="E99" s="77"/>
      <c r="F99" s="77"/>
      <c r="G99" s="77"/>
      <c r="H99" s="77"/>
      <c r="I99" s="77"/>
      <c r="J99" s="12" t="n">
        <f aca="false">SUM(J87:J98)</f>
        <v>4232.05</v>
      </c>
    </row>
    <row r="101" customFormat="false" ht="15" hidden="false" customHeight="false" outlineLevel="0" collapsed="false">
      <c r="A101" s="54" t="s">
        <v>251</v>
      </c>
      <c r="B101" s="55"/>
      <c r="C101" s="55"/>
      <c r="D101" s="55"/>
      <c r="E101" s="55"/>
      <c r="F101" s="55"/>
      <c r="G101" s="55"/>
      <c r="H101" s="55"/>
      <c r="I101" s="55"/>
      <c r="J101" s="55"/>
    </row>
    <row r="102" customFormat="false" ht="15" hidden="false" customHeight="false" outlineLevel="0" collapsed="false">
      <c r="A102" s="5" t="n">
        <v>76</v>
      </c>
      <c r="B102" s="6" t="s">
        <v>251</v>
      </c>
      <c r="C102" s="6" t="s">
        <v>8</v>
      </c>
      <c r="D102" s="6" t="s">
        <v>429</v>
      </c>
      <c r="E102" s="73" t="n">
        <v>4.7</v>
      </c>
      <c r="F102" s="56" t="n">
        <f aca="false">Narxlar!$C$89</f>
        <v>2.5</v>
      </c>
      <c r="G102" s="74" t="n">
        <f aca="false">E102*F102</f>
        <v>11.75</v>
      </c>
      <c r="H102" s="5" t="s">
        <v>318</v>
      </c>
      <c r="I102" s="7" t="n">
        <f aca="false">Narxlar!$C$5</f>
        <v>55</v>
      </c>
      <c r="J102" s="76" t="n">
        <f aca="false">G102*I102</f>
        <v>646.25</v>
      </c>
      <c r="K102" s="24" t="s">
        <v>145</v>
      </c>
    </row>
    <row r="103" customFormat="false" ht="15" hidden="false" customHeight="false" outlineLevel="0" collapsed="false">
      <c r="A103" s="5" t="n">
        <v>77</v>
      </c>
      <c r="B103" s="6" t="s">
        <v>251</v>
      </c>
      <c r="C103" s="6" t="s">
        <v>8</v>
      </c>
      <c r="D103" s="6" t="s">
        <v>414</v>
      </c>
      <c r="E103" s="56" t="n">
        <f aca="false">Narxlar!$C$93</f>
        <v>0.9</v>
      </c>
      <c r="F103" s="56" t="n">
        <f aca="false">Narxlar!$C$89</f>
        <v>2.5</v>
      </c>
      <c r="G103" s="74" t="n">
        <f aca="false">E103*F103</f>
        <v>2.25</v>
      </c>
      <c r="H103" s="5" t="s">
        <v>318</v>
      </c>
      <c r="I103" s="7" t="n">
        <f aca="false">Narxlar!$C$5</f>
        <v>55</v>
      </c>
      <c r="J103" s="76" t="n">
        <f aca="false">G103*I103</f>
        <v>123.75</v>
      </c>
      <c r="K103" s="24" t="s">
        <v>145</v>
      </c>
    </row>
    <row r="104" customFormat="false" ht="15" hidden="false" customHeight="false" outlineLevel="0" collapsed="false">
      <c r="A104" s="5" t="n">
        <v>78</v>
      </c>
      <c r="B104" s="6" t="s">
        <v>251</v>
      </c>
      <c r="C104" s="6" t="s">
        <v>9</v>
      </c>
      <c r="D104" s="6" t="s">
        <v>402</v>
      </c>
      <c r="E104" s="73" t="n">
        <v>1.55</v>
      </c>
      <c r="F104" s="56" t="n">
        <f aca="false">Narxlar!$C$88</f>
        <v>3.5</v>
      </c>
      <c r="G104" s="74" t="n">
        <f aca="false">E104*F104</f>
        <v>5.425</v>
      </c>
      <c r="H104" s="5" t="s">
        <v>318</v>
      </c>
      <c r="I104" s="7" t="n">
        <f aca="false">Narxlar!$C$6</f>
        <v>12</v>
      </c>
      <c r="J104" s="76" t="n">
        <f aca="false">G104*I104</f>
        <v>65.1</v>
      </c>
      <c r="K104" s="24" t="s">
        <v>125</v>
      </c>
    </row>
    <row r="105" customFormat="false" ht="15" hidden="false" customHeight="false" outlineLevel="0" collapsed="false">
      <c r="A105" s="5" t="n">
        <v>79</v>
      </c>
      <c r="B105" s="6" t="s">
        <v>251</v>
      </c>
      <c r="C105" s="6" t="s">
        <v>9</v>
      </c>
      <c r="D105" s="6" t="s">
        <v>434</v>
      </c>
      <c r="E105" s="73" t="n">
        <v>2.6</v>
      </c>
      <c r="F105" s="56" t="n">
        <f aca="false">Narxlar!$C$88</f>
        <v>3.5</v>
      </c>
      <c r="G105" s="74" t="n">
        <f aca="false">E105*F105</f>
        <v>9.1</v>
      </c>
      <c r="H105" s="5" t="s">
        <v>318</v>
      </c>
      <c r="I105" s="7" t="n">
        <f aca="false">Narxlar!$C$6</f>
        <v>12</v>
      </c>
      <c r="J105" s="76" t="n">
        <f aca="false">G105*I105</f>
        <v>109.2</v>
      </c>
      <c r="K105" s="24" t="s">
        <v>125</v>
      </c>
    </row>
    <row r="106" customFormat="false" ht="15" hidden="false" customHeight="false" outlineLevel="0" collapsed="false">
      <c r="A106" s="5" t="n">
        <v>80</v>
      </c>
      <c r="B106" s="6" t="s">
        <v>251</v>
      </c>
      <c r="C106" s="6" t="s">
        <v>9</v>
      </c>
      <c r="D106" s="6" t="s">
        <v>426</v>
      </c>
      <c r="E106" s="73" t="n">
        <v>2.75</v>
      </c>
      <c r="F106" s="56" t="n">
        <f aca="false">Narxlar!$C$88</f>
        <v>3.5</v>
      </c>
      <c r="G106" s="74" t="n">
        <f aca="false">E106*F106</f>
        <v>9.625</v>
      </c>
      <c r="H106" s="5" t="s">
        <v>318</v>
      </c>
      <c r="I106" s="7" t="n">
        <f aca="false">Narxlar!$C$6</f>
        <v>12</v>
      </c>
      <c r="J106" s="76" t="n">
        <f aca="false">G106*I106</f>
        <v>115.5</v>
      </c>
      <c r="K106" s="24" t="s">
        <v>125</v>
      </c>
    </row>
    <row r="107" customFormat="false" ht="15" hidden="false" customHeight="false" outlineLevel="0" collapsed="false">
      <c r="A107" s="5" t="n">
        <v>81</v>
      </c>
      <c r="B107" s="6" t="s">
        <v>251</v>
      </c>
      <c r="C107" s="6" t="s">
        <v>9</v>
      </c>
      <c r="D107" s="6" t="s">
        <v>420</v>
      </c>
      <c r="E107" s="73" t="n">
        <v>0.2</v>
      </c>
      <c r="F107" s="56" t="n">
        <f aca="false">Narxlar!$C$88</f>
        <v>3.5</v>
      </c>
      <c r="G107" s="74" t="n">
        <f aca="false">E107*F107</f>
        <v>0.7</v>
      </c>
      <c r="H107" s="5" t="s">
        <v>318</v>
      </c>
      <c r="I107" s="7" t="n">
        <f aca="false">Narxlar!$C$6</f>
        <v>12</v>
      </c>
      <c r="J107" s="76" t="n">
        <f aca="false">G107*I107</f>
        <v>8.4</v>
      </c>
      <c r="K107" s="24" t="s">
        <v>125</v>
      </c>
    </row>
    <row r="108" customFormat="false" ht="15" hidden="false" customHeight="false" outlineLevel="0" collapsed="false">
      <c r="A108" s="5" t="n">
        <v>82</v>
      </c>
      <c r="B108" s="6" t="s">
        <v>251</v>
      </c>
      <c r="C108" s="6" t="s">
        <v>9</v>
      </c>
      <c r="D108" s="6" t="s">
        <v>432</v>
      </c>
      <c r="E108" s="73" t="n">
        <v>4.7</v>
      </c>
      <c r="F108" s="56" t="n">
        <f aca="false">Narxlar!$C$90</f>
        <v>1</v>
      </c>
      <c r="G108" s="74" t="n">
        <f aca="false">E108*F108</f>
        <v>4.7</v>
      </c>
      <c r="H108" s="5" t="s">
        <v>318</v>
      </c>
      <c r="I108" s="7" t="n">
        <f aca="false">Narxlar!$C$6</f>
        <v>12</v>
      </c>
      <c r="J108" s="76" t="n">
        <f aca="false">G108*I108</f>
        <v>56.4</v>
      </c>
      <c r="K108" s="24" t="s">
        <v>125</v>
      </c>
    </row>
    <row r="109" customFormat="false" ht="15" hidden="false" customHeight="false" outlineLevel="0" collapsed="false">
      <c r="A109" s="5" t="n">
        <v>83</v>
      </c>
      <c r="B109" s="6" t="s">
        <v>251</v>
      </c>
      <c r="C109" s="6" t="s">
        <v>9</v>
      </c>
      <c r="D109" s="6" t="s">
        <v>423</v>
      </c>
      <c r="E109" s="56" t="n">
        <f aca="false">Narxlar!$C$93</f>
        <v>0.9</v>
      </c>
      <c r="F109" s="56" t="n">
        <f aca="false">Narxlar!$C$90</f>
        <v>1</v>
      </c>
      <c r="G109" s="74" t="n">
        <f aca="false">E109*F109</f>
        <v>0.9</v>
      </c>
      <c r="H109" s="5" t="s">
        <v>318</v>
      </c>
      <c r="I109" s="7" t="n">
        <f aca="false">Narxlar!$C$6</f>
        <v>12</v>
      </c>
      <c r="J109" s="76" t="n">
        <f aca="false">G109*I109</f>
        <v>10.8</v>
      </c>
      <c r="K109" s="24" t="s">
        <v>125</v>
      </c>
    </row>
    <row r="110" customFormat="false" ht="15" hidden="false" customHeight="false" outlineLevel="0" collapsed="false">
      <c r="A110" s="5" t="n">
        <v>84</v>
      </c>
      <c r="B110" s="6" t="s">
        <v>251</v>
      </c>
      <c r="C110" s="6" t="s">
        <v>10</v>
      </c>
      <c r="D110" s="6" t="s">
        <v>406</v>
      </c>
      <c r="E110" s="73" t="n">
        <v>7.7</v>
      </c>
      <c r="F110" s="56" t="n">
        <f aca="false">Narxlar!$C$94</f>
        <v>3.5</v>
      </c>
      <c r="G110" s="74" t="n">
        <f aca="false">E110*F110</f>
        <v>26.95</v>
      </c>
      <c r="H110" s="5" t="s">
        <v>318</v>
      </c>
      <c r="I110" s="7" t="n">
        <f aca="false">Narxlar!$C$7</f>
        <v>15.5</v>
      </c>
      <c r="J110" s="76" t="n">
        <f aca="false">G110*I110</f>
        <v>417.725</v>
      </c>
      <c r="K110" s="24" t="s">
        <v>146</v>
      </c>
    </row>
    <row r="111" customFormat="false" ht="15" hidden="false" customHeight="false" outlineLevel="0" collapsed="false">
      <c r="A111" s="5" t="n">
        <v>85</v>
      </c>
      <c r="B111" s="6" t="s">
        <v>251</v>
      </c>
      <c r="C111" s="6" t="s">
        <v>10</v>
      </c>
      <c r="D111" s="6" t="s">
        <v>407</v>
      </c>
      <c r="E111" s="73" t="n">
        <v>7.7</v>
      </c>
      <c r="F111" s="56" t="n">
        <f aca="false">Narxlar!$C$94</f>
        <v>3.5</v>
      </c>
      <c r="G111" s="74" t="n">
        <f aca="false">E111*F111</f>
        <v>26.95</v>
      </c>
      <c r="H111" s="5" t="s">
        <v>318</v>
      </c>
      <c r="I111" s="7" t="n">
        <f aca="false">Narxlar!$C$7</f>
        <v>15.5</v>
      </c>
      <c r="J111" s="76" t="n">
        <f aca="false">G111*I111</f>
        <v>417.725</v>
      </c>
      <c r="K111" s="24" t="s">
        <v>146</v>
      </c>
    </row>
    <row r="112" customFormat="false" ht="15" hidden="false" customHeight="false" outlineLevel="0" collapsed="false">
      <c r="A112" s="5" t="n">
        <v>86</v>
      </c>
      <c r="B112" s="6" t="s">
        <v>251</v>
      </c>
      <c r="C112" s="6" t="s">
        <v>11</v>
      </c>
      <c r="D112" s="6" t="s">
        <v>408</v>
      </c>
      <c r="E112" s="73"/>
      <c r="F112" s="74"/>
      <c r="G112" s="75" t="n">
        <v>1</v>
      </c>
      <c r="H112" s="5" t="s">
        <v>291</v>
      </c>
      <c r="I112" s="7" t="n">
        <f aca="false">Narxlar!$C$8</f>
        <v>1032</v>
      </c>
      <c r="J112" s="76" t="n">
        <f aca="false">G112*I112</f>
        <v>1032</v>
      </c>
      <c r="K112" s="24" t="s">
        <v>159</v>
      </c>
    </row>
    <row r="113" customFormat="false" ht="15" hidden="false" customHeight="false" outlineLevel="0" collapsed="false">
      <c r="A113" s="5" t="n">
        <v>87</v>
      </c>
      <c r="B113" s="6" t="s">
        <v>251</v>
      </c>
      <c r="C113" s="6" t="s">
        <v>13</v>
      </c>
      <c r="D113" s="6" t="s">
        <v>409</v>
      </c>
      <c r="E113" s="73"/>
      <c r="F113" s="74"/>
      <c r="G113" s="75" t="n">
        <v>1</v>
      </c>
      <c r="H113" s="5" t="s">
        <v>396</v>
      </c>
      <c r="I113" s="7" t="n">
        <f aca="false">Narxlar!$C$12</f>
        <v>168</v>
      </c>
      <c r="J113" s="76" t="n">
        <f aca="false">G113*I113</f>
        <v>168</v>
      </c>
      <c r="K113" s="24" t="s">
        <v>161</v>
      </c>
    </row>
    <row r="114" customFormat="false" ht="15" hidden="false" customHeight="false" outlineLevel="0" collapsed="false">
      <c r="A114" s="5" t="n">
        <v>88</v>
      </c>
      <c r="B114" s="6" t="s">
        <v>251</v>
      </c>
      <c r="C114" s="6" t="s">
        <v>21</v>
      </c>
      <c r="D114" s="6" t="s">
        <v>152</v>
      </c>
      <c r="E114" s="73"/>
      <c r="F114" s="74"/>
      <c r="G114" s="75" t="n">
        <v>1</v>
      </c>
      <c r="H114" s="5" t="s">
        <v>291</v>
      </c>
      <c r="I114" s="7" t="n">
        <f aca="false">Narxlar!$C$56</f>
        <v>1120</v>
      </c>
      <c r="J114" s="76" t="n">
        <f aca="false">G114*I114</f>
        <v>1120</v>
      </c>
      <c r="K114" s="24" t="s">
        <v>151</v>
      </c>
    </row>
    <row r="115" customFormat="false" ht="15" hidden="false" customHeight="false" outlineLevel="0" collapsed="false">
      <c r="A115" s="77"/>
      <c r="B115" s="77"/>
      <c r="C115" s="77"/>
      <c r="D115" s="11" t="s">
        <v>435</v>
      </c>
      <c r="E115" s="77"/>
      <c r="F115" s="77"/>
      <c r="G115" s="77"/>
      <c r="H115" s="77"/>
      <c r="I115" s="77"/>
      <c r="J115" s="12" t="n">
        <f aca="false">SUM(J102:J114)</f>
        <v>4290.85</v>
      </c>
    </row>
    <row r="117" customFormat="false" ht="15" hidden="false" customHeight="false" outlineLevel="0" collapsed="false">
      <c r="A117" s="54" t="s">
        <v>253</v>
      </c>
      <c r="B117" s="55"/>
      <c r="C117" s="55"/>
      <c r="D117" s="55"/>
      <c r="E117" s="55"/>
      <c r="F117" s="55"/>
      <c r="G117" s="55"/>
      <c r="H117" s="55"/>
      <c r="I117" s="55"/>
      <c r="J117" s="55"/>
    </row>
    <row r="118" customFormat="false" ht="15" hidden="false" customHeight="false" outlineLevel="0" collapsed="false">
      <c r="A118" s="5" t="n">
        <v>89</v>
      </c>
      <c r="B118" s="6" t="s">
        <v>253</v>
      </c>
      <c r="C118" s="6" t="s">
        <v>8</v>
      </c>
      <c r="D118" s="6" t="s">
        <v>429</v>
      </c>
      <c r="E118" s="73" t="n">
        <v>2.4</v>
      </c>
      <c r="F118" s="56" t="n">
        <f aca="false">Narxlar!$C$89</f>
        <v>2.5</v>
      </c>
      <c r="G118" s="74" t="n">
        <f aca="false">E118*F118</f>
        <v>6</v>
      </c>
      <c r="H118" s="5" t="s">
        <v>318</v>
      </c>
      <c r="I118" s="7" t="n">
        <f aca="false">Narxlar!$C$5</f>
        <v>55</v>
      </c>
      <c r="J118" s="76" t="n">
        <f aca="false">G118*I118</f>
        <v>330</v>
      </c>
      <c r="K118" s="24" t="s">
        <v>145</v>
      </c>
    </row>
    <row r="119" customFormat="false" ht="15" hidden="false" customHeight="false" outlineLevel="0" collapsed="false">
      <c r="A119" s="5" t="n">
        <v>90</v>
      </c>
      <c r="B119" s="6" t="s">
        <v>253</v>
      </c>
      <c r="C119" s="6" t="s">
        <v>8</v>
      </c>
      <c r="D119" s="6" t="s">
        <v>429</v>
      </c>
      <c r="E119" s="73" t="n">
        <v>2.4</v>
      </c>
      <c r="F119" s="56" t="n">
        <f aca="false">Narxlar!$C$89</f>
        <v>2.5</v>
      </c>
      <c r="G119" s="74" t="n">
        <f aca="false">E119*F119</f>
        <v>6</v>
      </c>
      <c r="H119" s="5" t="s">
        <v>318</v>
      </c>
      <c r="I119" s="7" t="n">
        <f aca="false">Narxlar!$C$5</f>
        <v>55</v>
      </c>
      <c r="J119" s="76" t="n">
        <f aca="false">G119*I119</f>
        <v>330</v>
      </c>
      <c r="K119" s="24" t="s">
        <v>145</v>
      </c>
    </row>
    <row r="120" customFormat="false" ht="15" hidden="false" customHeight="false" outlineLevel="0" collapsed="false">
      <c r="A120" s="5" t="n">
        <v>91</v>
      </c>
      <c r="B120" s="6" t="s">
        <v>253</v>
      </c>
      <c r="C120" s="6" t="s">
        <v>8</v>
      </c>
      <c r="D120" s="6" t="s">
        <v>414</v>
      </c>
      <c r="E120" s="56" t="n">
        <f aca="false">Narxlar!$C$93</f>
        <v>0.9</v>
      </c>
      <c r="F120" s="56" t="n">
        <f aca="false">Narxlar!$C$89</f>
        <v>2.5</v>
      </c>
      <c r="G120" s="74" t="n">
        <f aca="false">E120*F120</f>
        <v>2.25</v>
      </c>
      <c r="H120" s="5" t="s">
        <v>318</v>
      </c>
      <c r="I120" s="7" t="n">
        <f aca="false">Narxlar!$C$5</f>
        <v>55</v>
      </c>
      <c r="J120" s="76" t="n">
        <f aca="false">G120*I120</f>
        <v>123.75</v>
      </c>
      <c r="K120" s="24" t="s">
        <v>145</v>
      </c>
    </row>
    <row r="121" customFormat="false" ht="15" hidden="false" customHeight="false" outlineLevel="0" collapsed="false">
      <c r="A121" s="5" t="n">
        <v>92</v>
      </c>
      <c r="B121" s="6" t="s">
        <v>253</v>
      </c>
      <c r="C121" s="6" t="s">
        <v>9</v>
      </c>
      <c r="D121" s="6" t="s">
        <v>432</v>
      </c>
      <c r="E121" s="73" t="n">
        <v>2.4</v>
      </c>
      <c r="F121" s="56" t="n">
        <f aca="false">Narxlar!$C$90</f>
        <v>1</v>
      </c>
      <c r="G121" s="74" t="n">
        <f aca="false">E121*F121</f>
        <v>2.4</v>
      </c>
      <c r="H121" s="5" t="s">
        <v>318</v>
      </c>
      <c r="I121" s="7" t="n">
        <f aca="false">Narxlar!$C$6</f>
        <v>12</v>
      </c>
      <c r="J121" s="76" t="n">
        <f aca="false">G121*I121</f>
        <v>28.8</v>
      </c>
      <c r="K121" s="24" t="s">
        <v>125</v>
      </c>
    </row>
    <row r="122" customFormat="false" ht="15" hidden="false" customHeight="false" outlineLevel="0" collapsed="false">
      <c r="A122" s="5" t="n">
        <v>93</v>
      </c>
      <c r="B122" s="6" t="s">
        <v>253</v>
      </c>
      <c r="C122" s="6" t="s">
        <v>9</v>
      </c>
      <c r="D122" s="6" t="s">
        <v>432</v>
      </c>
      <c r="E122" s="73" t="n">
        <v>2.4</v>
      </c>
      <c r="F122" s="56" t="n">
        <f aca="false">Narxlar!$C$90</f>
        <v>1</v>
      </c>
      <c r="G122" s="74" t="n">
        <f aca="false">E122*F122</f>
        <v>2.4</v>
      </c>
      <c r="H122" s="5" t="s">
        <v>318</v>
      </c>
      <c r="I122" s="7" t="n">
        <f aca="false">Narxlar!$C$6</f>
        <v>12</v>
      </c>
      <c r="J122" s="76" t="n">
        <f aca="false">G122*I122</f>
        <v>28.8</v>
      </c>
      <c r="K122" s="24" t="s">
        <v>125</v>
      </c>
    </row>
    <row r="123" customFormat="false" ht="15" hidden="false" customHeight="false" outlineLevel="0" collapsed="false">
      <c r="A123" s="5" t="n">
        <v>94</v>
      </c>
      <c r="B123" s="6" t="s">
        <v>253</v>
      </c>
      <c r="C123" s="6" t="s">
        <v>9</v>
      </c>
      <c r="D123" s="6" t="s">
        <v>423</v>
      </c>
      <c r="E123" s="56" t="n">
        <f aca="false">Narxlar!$C$93</f>
        <v>0.9</v>
      </c>
      <c r="F123" s="56" t="n">
        <f aca="false">Narxlar!$C$90</f>
        <v>1</v>
      </c>
      <c r="G123" s="74" t="n">
        <f aca="false">E123*F123</f>
        <v>0.9</v>
      </c>
      <c r="H123" s="5" t="s">
        <v>318</v>
      </c>
      <c r="I123" s="7" t="n">
        <f aca="false">Narxlar!$C$6</f>
        <v>12</v>
      </c>
      <c r="J123" s="76" t="n">
        <f aca="false">G123*I123</f>
        <v>10.8</v>
      </c>
      <c r="K123" s="24" t="s">
        <v>125</v>
      </c>
    </row>
    <row r="124" customFormat="false" ht="15" hidden="false" customHeight="false" outlineLevel="0" collapsed="false">
      <c r="A124" s="5" t="n">
        <v>95</v>
      </c>
      <c r="B124" s="6" t="s">
        <v>253</v>
      </c>
      <c r="C124" s="6" t="s">
        <v>10</v>
      </c>
      <c r="D124" s="6" t="s">
        <v>436</v>
      </c>
      <c r="E124" s="73" t="n">
        <v>2.6</v>
      </c>
      <c r="F124" s="56" t="n">
        <f aca="false">Narxlar!$C$94</f>
        <v>3.5</v>
      </c>
      <c r="G124" s="74" t="n">
        <f aca="false">E124*F124</f>
        <v>9.1</v>
      </c>
      <c r="H124" s="5" t="s">
        <v>318</v>
      </c>
      <c r="I124" s="7" t="n">
        <f aca="false">Narxlar!$C$7</f>
        <v>15.5</v>
      </c>
      <c r="J124" s="76" t="n">
        <f aca="false">G124*I124</f>
        <v>141.05</v>
      </c>
      <c r="K124" s="24" t="s">
        <v>146</v>
      </c>
    </row>
    <row r="125" customFormat="false" ht="15" hidden="false" customHeight="false" outlineLevel="0" collapsed="false">
      <c r="A125" s="5" t="n">
        <v>96</v>
      </c>
      <c r="B125" s="6" t="s">
        <v>253</v>
      </c>
      <c r="C125" s="6" t="s">
        <v>10</v>
      </c>
      <c r="D125" s="6" t="s">
        <v>437</v>
      </c>
      <c r="E125" s="73" t="n">
        <v>2.6</v>
      </c>
      <c r="F125" s="56" t="n">
        <f aca="false">Narxlar!$C$94</f>
        <v>3.5</v>
      </c>
      <c r="G125" s="74" t="n">
        <f aca="false">E125*F125</f>
        <v>9.1</v>
      </c>
      <c r="H125" s="5" t="s">
        <v>318</v>
      </c>
      <c r="I125" s="7" t="n">
        <f aca="false">Narxlar!$C$7</f>
        <v>15.5</v>
      </c>
      <c r="J125" s="76" t="n">
        <f aca="false">G125*I125</f>
        <v>141.05</v>
      </c>
      <c r="K125" s="24" t="s">
        <v>146</v>
      </c>
    </row>
    <row r="126" customFormat="false" ht="15" hidden="false" customHeight="false" outlineLevel="0" collapsed="false">
      <c r="A126" s="5" t="n">
        <v>97</v>
      </c>
      <c r="B126" s="6" t="s">
        <v>253</v>
      </c>
      <c r="C126" s="6" t="s">
        <v>13</v>
      </c>
      <c r="D126" s="6" t="s">
        <v>409</v>
      </c>
      <c r="E126" s="73"/>
      <c r="F126" s="74"/>
      <c r="G126" s="75" t="n">
        <v>1</v>
      </c>
      <c r="H126" s="5" t="s">
        <v>396</v>
      </c>
      <c r="I126" s="7" t="n">
        <f aca="false">Narxlar!$C$12</f>
        <v>168</v>
      </c>
      <c r="J126" s="76" t="n">
        <f aca="false">G126*I126</f>
        <v>168</v>
      </c>
      <c r="K126" s="24" t="s">
        <v>161</v>
      </c>
    </row>
    <row r="127" customFormat="false" ht="15" hidden="false" customHeight="false" outlineLevel="0" collapsed="false">
      <c r="A127" s="5" t="n">
        <v>98</v>
      </c>
      <c r="B127" s="6" t="s">
        <v>253</v>
      </c>
      <c r="C127" s="6" t="s">
        <v>21</v>
      </c>
      <c r="D127" s="6" t="s">
        <v>154</v>
      </c>
      <c r="E127" s="73"/>
      <c r="F127" s="74"/>
      <c r="G127" s="75" t="n">
        <v>1</v>
      </c>
      <c r="H127" s="5" t="s">
        <v>291</v>
      </c>
      <c r="I127" s="7" t="n">
        <f aca="false">Narxlar!$C$57</f>
        <v>380</v>
      </c>
      <c r="J127" s="76" t="n">
        <f aca="false">G127*I127</f>
        <v>380</v>
      </c>
      <c r="K127" s="24" t="s">
        <v>153</v>
      </c>
    </row>
    <row r="128" customFormat="false" ht="15" hidden="false" customHeight="false" outlineLevel="0" collapsed="false">
      <c r="A128" s="5" t="n">
        <v>99</v>
      </c>
      <c r="B128" s="6" t="s">
        <v>253</v>
      </c>
      <c r="C128" s="6" t="s">
        <v>22</v>
      </c>
      <c r="D128" s="6" t="s">
        <v>438</v>
      </c>
      <c r="E128" s="73"/>
      <c r="F128" s="74"/>
      <c r="G128" s="75" t="n">
        <v>2</v>
      </c>
      <c r="H128" s="5" t="s">
        <v>291</v>
      </c>
      <c r="I128" s="7" t="n">
        <f aca="false">Narxlar!$C$59</f>
        <v>220</v>
      </c>
      <c r="J128" s="76" t="n">
        <f aca="false">G128*I128</f>
        <v>440</v>
      </c>
      <c r="K128" s="24" t="s">
        <v>111</v>
      </c>
    </row>
    <row r="129" customFormat="false" ht="15" hidden="false" customHeight="false" outlineLevel="0" collapsed="false">
      <c r="A129" s="5" t="n">
        <v>100</v>
      </c>
      <c r="B129" s="6" t="s">
        <v>253</v>
      </c>
      <c r="C129" s="6" t="s">
        <v>22</v>
      </c>
      <c r="D129" s="6" t="s">
        <v>439</v>
      </c>
      <c r="E129" s="73"/>
      <c r="F129" s="74"/>
      <c r="G129" s="75" t="n">
        <v>2</v>
      </c>
      <c r="H129" s="5" t="s">
        <v>291</v>
      </c>
      <c r="I129" s="7" t="n">
        <f aca="false">Narxlar!$C$60</f>
        <v>130</v>
      </c>
      <c r="J129" s="76" t="n">
        <f aca="false">G129*I129</f>
        <v>260</v>
      </c>
      <c r="K129" s="24" t="s">
        <v>105</v>
      </c>
    </row>
    <row r="130" customFormat="false" ht="15" hidden="false" customHeight="false" outlineLevel="0" collapsed="false">
      <c r="A130" s="5" t="n">
        <v>101</v>
      </c>
      <c r="B130" s="6" t="s">
        <v>253</v>
      </c>
      <c r="C130" s="6" t="s">
        <v>22</v>
      </c>
      <c r="D130" s="6" t="s">
        <v>440</v>
      </c>
      <c r="E130" s="73"/>
      <c r="F130" s="74"/>
      <c r="G130" s="75" t="n">
        <v>4</v>
      </c>
      <c r="H130" s="5" t="s">
        <v>291</v>
      </c>
      <c r="I130" s="7" t="n">
        <f aca="false">Narxlar!$C$61</f>
        <v>60</v>
      </c>
      <c r="J130" s="76" t="n">
        <f aca="false">G130*I130</f>
        <v>240</v>
      </c>
      <c r="K130" s="24" t="s">
        <v>113</v>
      </c>
    </row>
    <row r="131" customFormat="false" ht="15" hidden="false" customHeight="false" outlineLevel="0" collapsed="false">
      <c r="A131" s="5" t="n">
        <v>102</v>
      </c>
      <c r="B131" s="6" t="s">
        <v>253</v>
      </c>
      <c r="C131" s="6" t="s">
        <v>22</v>
      </c>
      <c r="D131" s="6" t="s">
        <v>441</v>
      </c>
      <c r="E131" s="73"/>
      <c r="F131" s="74"/>
      <c r="G131" s="75" t="n">
        <v>1</v>
      </c>
      <c r="H131" s="5" t="s">
        <v>291</v>
      </c>
      <c r="I131" s="7" t="n">
        <f aca="false">Narxlar!$C$62</f>
        <v>450</v>
      </c>
      <c r="J131" s="76" t="n">
        <f aca="false">G131*I131</f>
        <v>450</v>
      </c>
      <c r="K131" s="24" t="s">
        <v>107</v>
      </c>
    </row>
    <row r="132" customFormat="false" ht="15" hidden="false" customHeight="false" outlineLevel="0" collapsed="false">
      <c r="A132" s="5" t="n">
        <v>103</v>
      </c>
      <c r="B132" s="6" t="s">
        <v>253</v>
      </c>
      <c r="C132" s="6" t="s">
        <v>22</v>
      </c>
      <c r="D132" s="6" t="s">
        <v>442</v>
      </c>
      <c r="E132" s="73"/>
      <c r="F132" s="74"/>
      <c r="G132" s="75" t="n">
        <v>1</v>
      </c>
      <c r="H132" s="5" t="s">
        <v>291</v>
      </c>
      <c r="I132" s="7" t="n">
        <f aca="false">Narxlar!$C$63</f>
        <v>350</v>
      </c>
      <c r="J132" s="76" t="n">
        <f aca="false">G132*I132</f>
        <v>350</v>
      </c>
      <c r="K132" s="24" t="s">
        <v>115</v>
      </c>
    </row>
    <row r="133" customFormat="false" ht="15" hidden="false" customHeight="false" outlineLevel="0" collapsed="false">
      <c r="A133" s="5" t="n">
        <v>104</v>
      </c>
      <c r="B133" s="6" t="s">
        <v>253</v>
      </c>
      <c r="C133" s="6" t="s">
        <v>22</v>
      </c>
      <c r="D133" s="6" t="s">
        <v>443</v>
      </c>
      <c r="E133" s="73"/>
      <c r="F133" s="74"/>
      <c r="G133" s="75" t="n">
        <v>1</v>
      </c>
      <c r="H133" s="5" t="s">
        <v>396</v>
      </c>
      <c r="I133" s="7" t="n">
        <f aca="false">Narxlar!$C$65</f>
        <v>600</v>
      </c>
      <c r="J133" s="76" t="n">
        <f aca="false">G133*I133</f>
        <v>600</v>
      </c>
      <c r="K133" s="24" t="s">
        <v>195</v>
      </c>
    </row>
    <row r="134" customFormat="false" ht="15" hidden="false" customHeight="false" outlineLevel="0" collapsed="false">
      <c r="A134" s="77"/>
      <c r="B134" s="77"/>
      <c r="C134" s="77"/>
      <c r="D134" s="11" t="s">
        <v>444</v>
      </c>
      <c r="E134" s="77"/>
      <c r="F134" s="77"/>
      <c r="G134" s="77"/>
      <c r="H134" s="77"/>
      <c r="I134" s="77"/>
      <c r="J134" s="12" t="n">
        <f aca="false">SUM(J118:J133)</f>
        <v>4022.25</v>
      </c>
    </row>
    <row r="136" customFormat="false" ht="15" hidden="false" customHeight="false" outlineLevel="0" collapsed="false">
      <c r="A136" s="54" t="s">
        <v>254</v>
      </c>
      <c r="B136" s="55"/>
      <c r="C136" s="55"/>
      <c r="D136" s="55"/>
      <c r="E136" s="55"/>
      <c r="F136" s="55"/>
      <c r="G136" s="55"/>
      <c r="H136" s="55"/>
      <c r="I136" s="55"/>
      <c r="J136" s="55"/>
    </row>
    <row r="137" customFormat="false" ht="15" hidden="false" customHeight="false" outlineLevel="0" collapsed="false">
      <c r="A137" s="5" t="n">
        <v>105</v>
      </c>
      <c r="B137" s="6" t="s">
        <v>254</v>
      </c>
      <c r="C137" s="6" t="s">
        <v>8</v>
      </c>
      <c r="D137" s="6" t="s">
        <v>429</v>
      </c>
      <c r="E137" s="73" t="n">
        <v>2.45</v>
      </c>
      <c r="F137" s="56" t="n">
        <f aca="false">Narxlar!$C$89</f>
        <v>2.5</v>
      </c>
      <c r="G137" s="74" t="n">
        <f aca="false">E137*F137</f>
        <v>6.125</v>
      </c>
      <c r="H137" s="5" t="s">
        <v>318</v>
      </c>
      <c r="I137" s="7" t="n">
        <f aca="false">Narxlar!$C$5</f>
        <v>55</v>
      </c>
      <c r="J137" s="76" t="n">
        <f aca="false">G137*I137</f>
        <v>336.875</v>
      </c>
      <c r="K137" s="24" t="s">
        <v>145</v>
      </c>
    </row>
    <row r="138" customFormat="false" ht="15" hidden="false" customHeight="false" outlineLevel="0" collapsed="false">
      <c r="A138" s="5" t="n">
        <v>106</v>
      </c>
      <c r="B138" s="6" t="s">
        <v>254</v>
      </c>
      <c r="C138" s="6" t="s">
        <v>8</v>
      </c>
      <c r="D138" s="6" t="s">
        <v>429</v>
      </c>
      <c r="E138" s="73" t="n">
        <v>2.45</v>
      </c>
      <c r="F138" s="56" t="n">
        <f aca="false">Narxlar!$C$89</f>
        <v>2.5</v>
      </c>
      <c r="G138" s="74" t="n">
        <f aca="false">E138*F138</f>
        <v>6.125</v>
      </c>
      <c r="H138" s="5" t="s">
        <v>318</v>
      </c>
      <c r="I138" s="7" t="n">
        <f aca="false">Narxlar!$C$5</f>
        <v>55</v>
      </c>
      <c r="J138" s="76" t="n">
        <f aca="false">G138*I138</f>
        <v>336.875</v>
      </c>
      <c r="K138" s="24" t="s">
        <v>145</v>
      </c>
    </row>
    <row r="139" customFormat="false" ht="15" hidden="false" customHeight="false" outlineLevel="0" collapsed="false">
      <c r="A139" s="5" t="n">
        <v>107</v>
      </c>
      <c r="B139" s="6" t="s">
        <v>254</v>
      </c>
      <c r="C139" s="6" t="s">
        <v>8</v>
      </c>
      <c r="D139" s="6" t="s">
        <v>414</v>
      </c>
      <c r="E139" s="56" t="n">
        <f aca="false">Narxlar!$C$93</f>
        <v>0.9</v>
      </c>
      <c r="F139" s="56" t="n">
        <f aca="false">Narxlar!$C$89</f>
        <v>2.5</v>
      </c>
      <c r="G139" s="74" t="n">
        <f aca="false">E139*F139</f>
        <v>2.25</v>
      </c>
      <c r="H139" s="5" t="s">
        <v>318</v>
      </c>
      <c r="I139" s="7" t="n">
        <f aca="false">Narxlar!$C$5</f>
        <v>55</v>
      </c>
      <c r="J139" s="76" t="n">
        <f aca="false">G139*I139</f>
        <v>123.75</v>
      </c>
      <c r="K139" s="24" t="s">
        <v>145</v>
      </c>
    </row>
    <row r="140" customFormat="false" ht="15" hidden="false" customHeight="false" outlineLevel="0" collapsed="false">
      <c r="A140" s="5" t="n">
        <v>108</v>
      </c>
      <c r="B140" s="6" t="s">
        <v>254</v>
      </c>
      <c r="C140" s="6" t="s">
        <v>9</v>
      </c>
      <c r="D140" s="6" t="s">
        <v>432</v>
      </c>
      <c r="E140" s="73" t="n">
        <v>2.45</v>
      </c>
      <c r="F140" s="56" t="n">
        <f aca="false">Narxlar!$C$90</f>
        <v>1</v>
      </c>
      <c r="G140" s="74" t="n">
        <f aca="false">E140*F140</f>
        <v>2.45</v>
      </c>
      <c r="H140" s="5" t="s">
        <v>318</v>
      </c>
      <c r="I140" s="7" t="n">
        <f aca="false">Narxlar!$C$6</f>
        <v>12</v>
      </c>
      <c r="J140" s="76" t="n">
        <f aca="false">G140*I140</f>
        <v>29.4</v>
      </c>
      <c r="K140" s="24" t="s">
        <v>125</v>
      </c>
    </row>
    <row r="141" customFormat="false" ht="15" hidden="false" customHeight="false" outlineLevel="0" collapsed="false">
      <c r="A141" s="5" t="n">
        <v>109</v>
      </c>
      <c r="B141" s="6" t="s">
        <v>254</v>
      </c>
      <c r="C141" s="6" t="s">
        <v>9</v>
      </c>
      <c r="D141" s="6" t="s">
        <v>432</v>
      </c>
      <c r="E141" s="73" t="n">
        <v>2.45</v>
      </c>
      <c r="F141" s="56" t="n">
        <f aca="false">Narxlar!$C$90</f>
        <v>1</v>
      </c>
      <c r="G141" s="74" t="n">
        <f aca="false">E141*F141</f>
        <v>2.45</v>
      </c>
      <c r="H141" s="5" t="s">
        <v>318</v>
      </c>
      <c r="I141" s="7" t="n">
        <f aca="false">Narxlar!$C$6</f>
        <v>12</v>
      </c>
      <c r="J141" s="76" t="n">
        <f aca="false">G141*I141</f>
        <v>29.4</v>
      </c>
      <c r="K141" s="24" t="s">
        <v>125</v>
      </c>
    </row>
    <row r="142" customFormat="false" ht="15" hidden="false" customHeight="false" outlineLevel="0" collapsed="false">
      <c r="A142" s="5" t="n">
        <v>110</v>
      </c>
      <c r="B142" s="6" t="s">
        <v>254</v>
      </c>
      <c r="C142" s="6" t="s">
        <v>9</v>
      </c>
      <c r="D142" s="6" t="s">
        <v>423</v>
      </c>
      <c r="E142" s="56" t="n">
        <f aca="false">Narxlar!$C$93</f>
        <v>0.9</v>
      </c>
      <c r="F142" s="56" t="n">
        <f aca="false">Narxlar!$C$90</f>
        <v>1</v>
      </c>
      <c r="G142" s="74" t="n">
        <f aca="false">E142*F142</f>
        <v>0.9</v>
      </c>
      <c r="H142" s="5" t="s">
        <v>318</v>
      </c>
      <c r="I142" s="7" t="n">
        <f aca="false">Narxlar!$C$6</f>
        <v>12</v>
      </c>
      <c r="J142" s="76" t="n">
        <f aca="false">G142*I142</f>
        <v>10.8</v>
      </c>
      <c r="K142" s="24" t="s">
        <v>125</v>
      </c>
    </row>
    <row r="143" customFormat="false" ht="15" hidden="false" customHeight="false" outlineLevel="0" collapsed="false">
      <c r="A143" s="5" t="n">
        <v>111</v>
      </c>
      <c r="B143" s="6" t="s">
        <v>254</v>
      </c>
      <c r="C143" s="6" t="s">
        <v>10</v>
      </c>
      <c r="D143" s="6" t="s">
        <v>445</v>
      </c>
      <c r="E143" s="73" t="n">
        <v>2.6</v>
      </c>
      <c r="F143" s="56" t="n">
        <f aca="false">Narxlar!$C$94</f>
        <v>3.5</v>
      </c>
      <c r="G143" s="74" t="n">
        <f aca="false">E143*F143</f>
        <v>9.1</v>
      </c>
      <c r="H143" s="5" t="s">
        <v>318</v>
      </c>
      <c r="I143" s="7" t="n">
        <f aca="false">Narxlar!$C$7</f>
        <v>15.5</v>
      </c>
      <c r="J143" s="76" t="n">
        <f aca="false">G143*I143</f>
        <v>141.05</v>
      </c>
      <c r="K143" s="24" t="s">
        <v>146</v>
      </c>
    </row>
    <row r="144" customFormat="false" ht="15" hidden="false" customHeight="false" outlineLevel="0" collapsed="false">
      <c r="A144" s="5" t="n">
        <v>112</v>
      </c>
      <c r="B144" s="6" t="s">
        <v>254</v>
      </c>
      <c r="C144" s="6" t="s">
        <v>10</v>
      </c>
      <c r="D144" s="6" t="s">
        <v>446</v>
      </c>
      <c r="E144" s="73" t="n">
        <v>2.6</v>
      </c>
      <c r="F144" s="56" t="n">
        <f aca="false">Narxlar!$C$94</f>
        <v>3.5</v>
      </c>
      <c r="G144" s="74" t="n">
        <f aca="false">E144*F144</f>
        <v>9.1</v>
      </c>
      <c r="H144" s="5" t="s">
        <v>318</v>
      </c>
      <c r="I144" s="7" t="n">
        <f aca="false">Narxlar!$C$7</f>
        <v>15.5</v>
      </c>
      <c r="J144" s="76" t="n">
        <f aca="false">G144*I144</f>
        <v>141.05</v>
      </c>
      <c r="K144" s="24" t="s">
        <v>146</v>
      </c>
    </row>
    <row r="145" customFormat="false" ht="15" hidden="false" customHeight="false" outlineLevel="0" collapsed="false">
      <c r="A145" s="5" t="n">
        <v>113</v>
      </c>
      <c r="B145" s="6" t="s">
        <v>254</v>
      </c>
      <c r="C145" s="6" t="s">
        <v>13</v>
      </c>
      <c r="D145" s="6" t="s">
        <v>409</v>
      </c>
      <c r="E145" s="73"/>
      <c r="F145" s="74"/>
      <c r="G145" s="75" t="n">
        <v>1</v>
      </c>
      <c r="H145" s="5" t="s">
        <v>396</v>
      </c>
      <c r="I145" s="7" t="n">
        <f aca="false">Narxlar!$C$12</f>
        <v>168</v>
      </c>
      <c r="J145" s="76" t="n">
        <f aca="false">G145*I145</f>
        <v>168</v>
      </c>
      <c r="K145" s="24" t="s">
        <v>161</v>
      </c>
    </row>
    <row r="146" customFormat="false" ht="15" hidden="false" customHeight="false" outlineLevel="0" collapsed="false">
      <c r="A146" s="5" t="n">
        <v>114</v>
      </c>
      <c r="B146" s="6" t="s">
        <v>254</v>
      </c>
      <c r="C146" s="6" t="s">
        <v>21</v>
      </c>
      <c r="D146" s="6" t="s">
        <v>154</v>
      </c>
      <c r="E146" s="73"/>
      <c r="F146" s="74"/>
      <c r="G146" s="75" t="n">
        <v>1</v>
      </c>
      <c r="H146" s="5" t="s">
        <v>291</v>
      </c>
      <c r="I146" s="7" t="n">
        <f aca="false">Narxlar!$C$57</f>
        <v>380</v>
      </c>
      <c r="J146" s="76" t="n">
        <f aca="false">G146*I146</f>
        <v>380</v>
      </c>
      <c r="K146" s="24" t="s">
        <v>153</v>
      </c>
    </row>
    <row r="147" customFormat="false" ht="15" hidden="false" customHeight="false" outlineLevel="0" collapsed="false">
      <c r="A147" s="5" t="n">
        <v>115</v>
      </c>
      <c r="B147" s="6" t="s">
        <v>254</v>
      </c>
      <c r="C147" s="6" t="s">
        <v>22</v>
      </c>
      <c r="D147" s="6" t="s">
        <v>447</v>
      </c>
      <c r="E147" s="73"/>
      <c r="F147" s="74"/>
      <c r="G147" s="75" t="n">
        <v>2</v>
      </c>
      <c r="H147" s="5" t="s">
        <v>291</v>
      </c>
      <c r="I147" s="7" t="n">
        <f aca="false">Narxlar!$C$59</f>
        <v>220</v>
      </c>
      <c r="J147" s="76" t="n">
        <f aca="false">G147*I147</f>
        <v>440</v>
      </c>
      <c r="K147" s="24" t="s">
        <v>111</v>
      </c>
    </row>
    <row r="148" customFormat="false" ht="15" hidden="false" customHeight="false" outlineLevel="0" collapsed="false">
      <c r="A148" s="5" t="n">
        <v>116</v>
      </c>
      <c r="B148" s="6" t="s">
        <v>254</v>
      </c>
      <c r="C148" s="6" t="s">
        <v>22</v>
      </c>
      <c r="D148" s="6" t="s">
        <v>448</v>
      </c>
      <c r="E148" s="73"/>
      <c r="F148" s="74"/>
      <c r="G148" s="75" t="n">
        <v>2</v>
      </c>
      <c r="H148" s="5" t="s">
        <v>291</v>
      </c>
      <c r="I148" s="7" t="n">
        <f aca="false">Narxlar!$C$60</f>
        <v>130</v>
      </c>
      <c r="J148" s="76" t="n">
        <f aca="false">G148*I148</f>
        <v>260</v>
      </c>
      <c r="K148" s="24" t="s">
        <v>105</v>
      </c>
    </row>
    <row r="149" customFormat="false" ht="15" hidden="false" customHeight="false" outlineLevel="0" collapsed="false">
      <c r="A149" s="5" t="n">
        <v>117</v>
      </c>
      <c r="B149" s="6" t="s">
        <v>254</v>
      </c>
      <c r="C149" s="6" t="s">
        <v>22</v>
      </c>
      <c r="D149" s="6" t="s">
        <v>449</v>
      </c>
      <c r="E149" s="73"/>
      <c r="F149" s="74"/>
      <c r="G149" s="75" t="n">
        <v>2</v>
      </c>
      <c r="H149" s="5" t="s">
        <v>291</v>
      </c>
      <c r="I149" s="7" t="n">
        <f aca="false">Narxlar!$C$61</f>
        <v>60</v>
      </c>
      <c r="J149" s="76" t="n">
        <f aca="false">G149*I149</f>
        <v>120</v>
      </c>
      <c r="K149" s="24" t="s">
        <v>113</v>
      </c>
    </row>
    <row r="150" customFormat="false" ht="15" hidden="false" customHeight="false" outlineLevel="0" collapsed="false">
      <c r="A150" s="5" t="n">
        <v>118</v>
      </c>
      <c r="B150" s="6" t="s">
        <v>254</v>
      </c>
      <c r="C150" s="6" t="s">
        <v>22</v>
      </c>
      <c r="D150" s="6" t="s">
        <v>442</v>
      </c>
      <c r="E150" s="73"/>
      <c r="F150" s="74"/>
      <c r="G150" s="75" t="n">
        <v>1</v>
      </c>
      <c r="H150" s="5" t="s">
        <v>291</v>
      </c>
      <c r="I150" s="7" t="n">
        <f aca="false">Narxlar!$C$63</f>
        <v>350</v>
      </c>
      <c r="J150" s="76" t="n">
        <f aca="false">G150*I150</f>
        <v>350</v>
      </c>
      <c r="K150" s="24" t="s">
        <v>115</v>
      </c>
    </row>
    <row r="151" customFormat="false" ht="15" hidden="false" customHeight="false" outlineLevel="0" collapsed="false">
      <c r="A151" s="5" t="n">
        <v>119</v>
      </c>
      <c r="B151" s="6" t="s">
        <v>254</v>
      </c>
      <c r="C151" s="6" t="s">
        <v>22</v>
      </c>
      <c r="D151" s="6" t="s">
        <v>450</v>
      </c>
      <c r="E151" s="73"/>
      <c r="F151" s="74"/>
      <c r="G151" s="75" t="n">
        <v>1</v>
      </c>
      <c r="H151" s="5" t="s">
        <v>396</v>
      </c>
      <c r="I151" s="7" t="n">
        <f aca="false">Narxlar!$C$66</f>
        <v>300</v>
      </c>
      <c r="J151" s="76" t="n">
        <f aca="false">G151*I151</f>
        <v>300</v>
      </c>
      <c r="K151" s="24" t="s">
        <v>197</v>
      </c>
    </row>
    <row r="152" customFormat="false" ht="15" hidden="false" customHeight="false" outlineLevel="0" collapsed="false">
      <c r="A152" s="77"/>
      <c r="B152" s="77"/>
      <c r="C152" s="77"/>
      <c r="D152" s="11" t="s">
        <v>451</v>
      </c>
      <c r="E152" s="77"/>
      <c r="F152" s="77"/>
      <c r="G152" s="77"/>
      <c r="H152" s="77"/>
      <c r="I152" s="77"/>
      <c r="J152" s="12" t="n">
        <f aca="false">SUM(J137:J151)</f>
        <v>3167.2</v>
      </c>
    </row>
    <row r="154" customFormat="false" ht="15" hidden="false" customHeight="false" outlineLevel="0" collapsed="false">
      <c r="A154" s="54" t="s">
        <v>255</v>
      </c>
      <c r="B154" s="55"/>
      <c r="C154" s="55"/>
      <c r="D154" s="55"/>
      <c r="E154" s="55"/>
      <c r="F154" s="55"/>
      <c r="G154" s="55"/>
      <c r="H154" s="55"/>
      <c r="I154" s="55"/>
      <c r="J154" s="55"/>
    </row>
    <row r="155" customFormat="false" ht="15" hidden="false" customHeight="false" outlineLevel="0" collapsed="false">
      <c r="A155" s="5" t="n">
        <v>120</v>
      </c>
      <c r="B155" s="6" t="s">
        <v>255</v>
      </c>
      <c r="C155" s="6" t="s">
        <v>8</v>
      </c>
      <c r="D155" s="6" t="s">
        <v>400</v>
      </c>
      <c r="E155" s="73" t="n">
        <v>0.15</v>
      </c>
      <c r="F155" s="56" t="n">
        <f aca="false">Narxlar!$C$89</f>
        <v>2.5</v>
      </c>
      <c r="G155" s="74" t="n">
        <f aca="false">E155*F155</f>
        <v>0.375</v>
      </c>
      <c r="H155" s="5" t="s">
        <v>318</v>
      </c>
      <c r="I155" s="7" t="n">
        <f aca="false">Narxlar!$C$5</f>
        <v>55</v>
      </c>
      <c r="J155" s="76" t="n">
        <f aca="false">G155*I155</f>
        <v>20.625</v>
      </c>
      <c r="K155" s="24" t="s">
        <v>145</v>
      </c>
    </row>
    <row r="156" customFormat="false" ht="15" hidden="false" customHeight="false" outlineLevel="0" collapsed="false">
      <c r="A156" s="5" t="n">
        <v>121</v>
      </c>
      <c r="B156" s="6" t="s">
        <v>255</v>
      </c>
      <c r="C156" s="6" t="s">
        <v>8</v>
      </c>
      <c r="D156" s="6" t="s">
        <v>400</v>
      </c>
      <c r="E156" s="73" t="n">
        <v>4.75</v>
      </c>
      <c r="F156" s="56" t="n">
        <f aca="false">Narxlar!$C$89</f>
        <v>2.5</v>
      </c>
      <c r="G156" s="74" t="n">
        <f aca="false">E156*F156</f>
        <v>11.875</v>
      </c>
      <c r="H156" s="5" t="s">
        <v>318</v>
      </c>
      <c r="I156" s="7" t="n">
        <f aca="false">Narxlar!$C$5</f>
        <v>55</v>
      </c>
      <c r="J156" s="76" t="n">
        <f aca="false">G156*I156</f>
        <v>653.125</v>
      </c>
      <c r="K156" s="24" t="s">
        <v>145</v>
      </c>
    </row>
    <row r="157" customFormat="false" ht="15" hidden="false" customHeight="false" outlineLevel="0" collapsed="false">
      <c r="A157" s="5" t="n">
        <v>122</v>
      </c>
      <c r="B157" s="6" t="s">
        <v>255</v>
      </c>
      <c r="C157" s="6" t="s">
        <v>8</v>
      </c>
      <c r="D157" s="6" t="s">
        <v>401</v>
      </c>
      <c r="E157" s="56" t="n">
        <f aca="false">Narxlar!$C$93</f>
        <v>0.9</v>
      </c>
      <c r="F157" s="56" t="n">
        <f aca="false">Narxlar!$C$89</f>
        <v>2.5</v>
      </c>
      <c r="G157" s="74" t="n">
        <f aca="false">E157*F157</f>
        <v>2.25</v>
      </c>
      <c r="H157" s="5" t="s">
        <v>318</v>
      </c>
      <c r="I157" s="7" t="n">
        <f aca="false">Narxlar!$C$5</f>
        <v>55</v>
      </c>
      <c r="J157" s="76" t="n">
        <f aca="false">G157*I157</f>
        <v>123.75</v>
      </c>
      <c r="K157" s="24" t="s">
        <v>145</v>
      </c>
    </row>
    <row r="158" customFormat="false" ht="15" hidden="false" customHeight="false" outlineLevel="0" collapsed="false">
      <c r="A158" s="5" t="n">
        <v>123</v>
      </c>
      <c r="B158" s="6" t="s">
        <v>255</v>
      </c>
      <c r="C158" s="6" t="s">
        <v>9</v>
      </c>
      <c r="D158" s="6" t="s">
        <v>452</v>
      </c>
      <c r="E158" s="73" t="n">
        <v>0.9</v>
      </c>
      <c r="F158" s="56" t="n">
        <f aca="false">Narxlar!$C$88</f>
        <v>3.5</v>
      </c>
      <c r="G158" s="74" t="n">
        <f aca="false">E158*F158</f>
        <v>3.15</v>
      </c>
      <c r="H158" s="5" t="s">
        <v>318</v>
      </c>
      <c r="I158" s="7" t="n">
        <f aca="false">Narxlar!$C$6</f>
        <v>12</v>
      </c>
      <c r="J158" s="76" t="n">
        <f aca="false">G158*I158</f>
        <v>37.8</v>
      </c>
      <c r="K158" s="24" t="s">
        <v>125</v>
      </c>
    </row>
    <row r="159" customFormat="false" ht="15" hidden="false" customHeight="false" outlineLevel="0" collapsed="false">
      <c r="A159" s="5" t="n">
        <v>124</v>
      </c>
      <c r="B159" s="6" t="s">
        <v>255</v>
      </c>
      <c r="C159" s="6" t="s">
        <v>9</v>
      </c>
      <c r="D159" s="6" t="s">
        <v>453</v>
      </c>
      <c r="E159" s="73" t="n">
        <v>1</v>
      </c>
      <c r="F159" s="56" t="n">
        <f aca="false">Narxlar!$C$88</f>
        <v>3.5</v>
      </c>
      <c r="G159" s="74" t="n">
        <f aca="false">E159*F159</f>
        <v>3.5</v>
      </c>
      <c r="H159" s="5" t="s">
        <v>318</v>
      </c>
      <c r="I159" s="7" t="n">
        <f aca="false">Narxlar!$C$6</f>
        <v>12</v>
      </c>
      <c r="J159" s="76" t="n">
        <f aca="false">G159*I159</f>
        <v>42</v>
      </c>
      <c r="K159" s="24" t="s">
        <v>125</v>
      </c>
    </row>
    <row r="160" customFormat="false" ht="15" hidden="false" customHeight="false" outlineLevel="0" collapsed="false">
      <c r="A160" s="5" t="n">
        <v>125</v>
      </c>
      <c r="B160" s="6" t="s">
        <v>255</v>
      </c>
      <c r="C160" s="6" t="s">
        <v>9</v>
      </c>
      <c r="D160" s="6" t="s">
        <v>403</v>
      </c>
      <c r="E160" s="73" t="n">
        <v>0.15</v>
      </c>
      <c r="F160" s="56" t="n">
        <f aca="false">Narxlar!$C$90</f>
        <v>1</v>
      </c>
      <c r="G160" s="74" t="n">
        <f aca="false">E160*F160</f>
        <v>0.15</v>
      </c>
      <c r="H160" s="5" t="s">
        <v>318</v>
      </c>
      <c r="I160" s="7" t="n">
        <f aca="false">Narxlar!$C$6</f>
        <v>12</v>
      </c>
      <c r="J160" s="76" t="n">
        <f aca="false">G160*I160</f>
        <v>1.8</v>
      </c>
      <c r="K160" s="24" t="s">
        <v>125</v>
      </c>
    </row>
    <row r="161" customFormat="false" ht="15" hidden="false" customHeight="false" outlineLevel="0" collapsed="false">
      <c r="A161" s="5" t="n">
        <v>126</v>
      </c>
      <c r="B161" s="6" t="s">
        <v>255</v>
      </c>
      <c r="C161" s="6" t="s">
        <v>9</v>
      </c>
      <c r="D161" s="6" t="s">
        <v>403</v>
      </c>
      <c r="E161" s="73" t="n">
        <v>4.75</v>
      </c>
      <c r="F161" s="56" t="n">
        <f aca="false">Narxlar!$C$90</f>
        <v>1</v>
      </c>
      <c r="G161" s="74" t="n">
        <f aca="false">E161*F161</f>
        <v>4.75</v>
      </c>
      <c r="H161" s="5" t="s">
        <v>318</v>
      </c>
      <c r="I161" s="7" t="n">
        <f aca="false">Narxlar!$C$6</f>
        <v>12</v>
      </c>
      <c r="J161" s="76" t="n">
        <f aca="false">G161*I161</f>
        <v>57</v>
      </c>
      <c r="K161" s="24" t="s">
        <v>125</v>
      </c>
    </row>
    <row r="162" customFormat="false" ht="15" hidden="false" customHeight="false" outlineLevel="0" collapsed="false">
      <c r="A162" s="5" t="n">
        <v>127</v>
      </c>
      <c r="B162" s="6" t="s">
        <v>255</v>
      </c>
      <c r="C162" s="6" t="s">
        <v>9</v>
      </c>
      <c r="D162" s="6" t="s">
        <v>405</v>
      </c>
      <c r="E162" s="56" t="n">
        <f aca="false">Narxlar!$C$93</f>
        <v>0.9</v>
      </c>
      <c r="F162" s="56" t="n">
        <f aca="false">Narxlar!$C$90</f>
        <v>1</v>
      </c>
      <c r="G162" s="74" t="n">
        <f aca="false">E162*F162</f>
        <v>0.9</v>
      </c>
      <c r="H162" s="5" t="s">
        <v>318</v>
      </c>
      <c r="I162" s="7" t="n">
        <f aca="false">Narxlar!$C$6</f>
        <v>12</v>
      </c>
      <c r="J162" s="76" t="n">
        <f aca="false">G162*I162</f>
        <v>10.8</v>
      </c>
      <c r="K162" s="24" t="s">
        <v>125</v>
      </c>
    </row>
    <row r="163" customFormat="false" ht="15" hidden="false" customHeight="false" outlineLevel="0" collapsed="false">
      <c r="A163" s="5" t="n">
        <v>128</v>
      </c>
      <c r="B163" s="6" t="s">
        <v>255</v>
      </c>
      <c r="C163" s="6" t="s">
        <v>10</v>
      </c>
      <c r="D163" s="6" t="s">
        <v>454</v>
      </c>
      <c r="E163" s="73" t="n">
        <v>5.8</v>
      </c>
      <c r="F163" s="56" t="n">
        <f aca="false">Narxlar!$C$94</f>
        <v>3.5</v>
      </c>
      <c r="G163" s="74" t="n">
        <f aca="false">E163*F163</f>
        <v>20.3</v>
      </c>
      <c r="H163" s="5" t="s">
        <v>318</v>
      </c>
      <c r="I163" s="7" t="n">
        <f aca="false">Narxlar!$C$7</f>
        <v>15.5</v>
      </c>
      <c r="J163" s="76" t="n">
        <f aca="false">G163*I163</f>
        <v>314.65</v>
      </c>
      <c r="K163" s="24" t="s">
        <v>146</v>
      </c>
    </row>
    <row r="164" customFormat="false" ht="15" hidden="false" customHeight="false" outlineLevel="0" collapsed="false">
      <c r="A164" s="5" t="n">
        <v>129</v>
      </c>
      <c r="B164" s="6" t="s">
        <v>255</v>
      </c>
      <c r="C164" s="6" t="s">
        <v>10</v>
      </c>
      <c r="D164" s="6" t="s">
        <v>455</v>
      </c>
      <c r="E164" s="73" t="n">
        <v>2.8</v>
      </c>
      <c r="F164" s="56" t="n">
        <f aca="false">Narxlar!$C$94</f>
        <v>3.5</v>
      </c>
      <c r="G164" s="74" t="n">
        <f aca="false">E164*F164</f>
        <v>9.8</v>
      </c>
      <c r="H164" s="5" t="s">
        <v>318</v>
      </c>
      <c r="I164" s="7" t="n">
        <f aca="false">Narxlar!$C$7</f>
        <v>15.5</v>
      </c>
      <c r="J164" s="76" t="n">
        <f aca="false">G164*I164</f>
        <v>151.9</v>
      </c>
      <c r="K164" s="24" t="s">
        <v>146</v>
      </c>
    </row>
    <row r="165" customFormat="false" ht="15" hidden="false" customHeight="false" outlineLevel="0" collapsed="false">
      <c r="A165" s="5" t="n">
        <v>130</v>
      </c>
      <c r="B165" s="6" t="s">
        <v>255</v>
      </c>
      <c r="C165" s="6" t="s">
        <v>13</v>
      </c>
      <c r="D165" s="6" t="s">
        <v>409</v>
      </c>
      <c r="E165" s="73"/>
      <c r="F165" s="74"/>
      <c r="G165" s="75" t="n">
        <v>1</v>
      </c>
      <c r="H165" s="5" t="s">
        <v>396</v>
      </c>
      <c r="I165" s="7" t="n">
        <f aca="false">Narxlar!$C$12</f>
        <v>168</v>
      </c>
      <c r="J165" s="76" t="n">
        <f aca="false">G165*I165</f>
        <v>168</v>
      </c>
      <c r="K165" s="24" t="s">
        <v>161</v>
      </c>
    </row>
    <row r="166" customFormat="false" ht="15" hidden="false" customHeight="false" outlineLevel="0" collapsed="false">
      <c r="A166" s="5" t="n">
        <v>131</v>
      </c>
      <c r="B166" s="6" t="s">
        <v>255</v>
      </c>
      <c r="C166" s="6" t="s">
        <v>21</v>
      </c>
      <c r="D166" s="6" t="s">
        <v>154</v>
      </c>
      <c r="E166" s="73"/>
      <c r="F166" s="74"/>
      <c r="G166" s="75" t="n">
        <v>1</v>
      </c>
      <c r="H166" s="5" t="s">
        <v>291</v>
      </c>
      <c r="I166" s="7" t="n">
        <f aca="false">Narxlar!$C$57</f>
        <v>380</v>
      </c>
      <c r="J166" s="76" t="n">
        <f aca="false">G166*I166</f>
        <v>380</v>
      </c>
      <c r="K166" s="24" t="s">
        <v>153</v>
      </c>
    </row>
    <row r="167" customFormat="false" ht="15" hidden="false" customHeight="false" outlineLevel="0" collapsed="false">
      <c r="A167" s="77"/>
      <c r="B167" s="77"/>
      <c r="C167" s="77"/>
      <c r="D167" s="11" t="s">
        <v>456</v>
      </c>
      <c r="E167" s="77"/>
      <c r="F167" s="77"/>
      <c r="G167" s="77"/>
      <c r="H167" s="77"/>
      <c r="I167" s="77"/>
      <c r="J167" s="12" t="n">
        <f aca="false">SUM(J155:J166)</f>
        <v>1961.45</v>
      </c>
    </row>
    <row r="169" customFormat="false" ht="15" hidden="false" customHeight="false" outlineLevel="0" collapsed="false">
      <c r="A169" s="54" t="s">
        <v>256</v>
      </c>
      <c r="B169" s="55"/>
      <c r="C169" s="55"/>
      <c r="D169" s="55"/>
      <c r="E169" s="55"/>
      <c r="F169" s="55"/>
      <c r="G169" s="55"/>
      <c r="H169" s="55"/>
      <c r="I169" s="55"/>
      <c r="J169" s="55"/>
    </row>
    <row r="170" customFormat="false" ht="15" hidden="false" customHeight="false" outlineLevel="0" collapsed="false">
      <c r="A170" s="5" t="n">
        <v>132</v>
      </c>
      <c r="B170" s="6" t="s">
        <v>256</v>
      </c>
      <c r="C170" s="6" t="s">
        <v>8</v>
      </c>
      <c r="D170" s="6" t="s">
        <v>400</v>
      </c>
      <c r="E170" s="73" t="n">
        <v>2.4</v>
      </c>
      <c r="F170" s="56" t="n">
        <f aca="false">Narxlar!$C$89</f>
        <v>2.5</v>
      </c>
      <c r="G170" s="74" t="n">
        <f aca="false">E170*F170</f>
        <v>6</v>
      </c>
      <c r="H170" s="5" t="s">
        <v>318</v>
      </c>
      <c r="I170" s="7" t="n">
        <f aca="false">Narxlar!$C$5</f>
        <v>55</v>
      </c>
      <c r="J170" s="76" t="n">
        <f aca="false">G170*I170</f>
        <v>330</v>
      </c>
      <c r="K170" s="24" t="s">
        <v>145</v>
      </c>
    </row>
    <row r="171" customFormat="false" ht="15" hidden="false" customHeight="false" outlineLevel="0" collapsed="false">
      <c r="A171" s="5" t="n">
        <v>133</v>
      </c>
      <c r="B171" s="6" t="s">
        <v>256</v>
      </c>
      <c r="C171" s="6" t="s">
        <v>8</v>
      </c>
      <c r="D171" s="6" t="s">
        <v>400</v>
      </c>
      <c r="E171" s="73" t="n">
        <v>2.4</v>
      </c>
      <c r="F171" s="56" t="n">
        <f aca="false">Narxlar!$C$89</f>
        <v>2.5</v>
      </c>
      <c r="G171" s="74" t="n">
        <f aca="false">E171*F171</f>
        <v>6</v>
      </c>
      <c r="H171" s="5" t="s">
        <v>318</v>
      </c>
      <c r="I171" s="7" t="n">
        <f aca="false">Narxlar!$C$5</f>
        <v>55</v>
      </c>
      <c r="J171" s="76" t="n">
        <f aca="false">G171*I171</f>
        <v>330</v>
      </c>
      <c r="K171" s="24" t="s">
        <v>145</v>
      </c>
    </row>
    <row r="172" customFormat="false" ht="15" hidden="false" customHeight="false" outlineLevel="0" collapsed="false">
      <c r="A172" s="5" t="n">
        <v>134</v>
      </c>
      <c r="B172" s="6" t="s">
        <v>256</v>
      </c>
      <c r="C172" s="6" t="s">
        <v>8</v>
      </c>
      <c r="D172" s="6" t="s">
        <v>401</v>
      </c>
      <c r="E172" s="56" t="n">
        <f aca="false">Narxlar!$C$93</f>
        <v>0.9</v>
      </c>
      <c r="F172" s="56" t="n">
        <f aca="false">Narxlar!$C$89</f>
        <v>2.5</v>
      </c>
      <c r="G172" s="74" t="n">
        <f aca="false">E172*F172</f>
        <v>2.25</v>
      </c>
      <c r="H172" s="5" t="s">
        <v>318</v>
      </c>
      <c r="I172" s="7" t="n">
        <f aca="false">Narxlar!$C$5</f>
        <v>55</v>
      </c>
      <c r="J172" s="76" t="n">
        <f aca="false">G172*I172</f>
        <v>123.75</v>
      </c>
      <c r="K172" s="24" t="s">
        <v>145</v>
      </c>
    </row>
    <row r="173" customFormat="false" ht="15" hidden="false" customHeight="false" outlineLevel="0" collapsed="false">
      <c r="A173" s="5" t="n">
        <v>135</v>
      </c>
      <c r="B173" s="6" t="s">
        <v>256</v>
      </c>
      <c r="C173" s="6" t="s">
        <v>9</v>
      </c>
      <c r="D173" s="6" t="s">
        <v>402</v>
      </c>
      <c r="E173" s="73" t="n">
        <v>0.6</v>
      </c>
      <c r="F173" s="56" t="n">
        <f aca="false">Narxlar!$C$88</f>
        <v>3.5</v>
      </c>
      <c r="G173" s="74" t="n">
        <f aca="false">E173*F173</f>
        <v>2.1</v>
      </c>
      <c r="H173" s="5" t="s">
        <v>318</v>
      </c>
      <c r="I173" s="7" t="n">
        <f aca="false">Narxlar!$C$6</f>
        <v>12</v>
      </c>
      <c r="J173" s="76" t="n">
        <f aca="false">G173*I173</f>
        <v>25.2</v>
      </c>
      <c r="K173" s="24" t="s">
        <v>125</v>
      </c>
    </row>
    <row r="174" customFormat="false" ht="15" hidden="false" customHeight="false" outlineLevel="0" collapsed="false">
      <c r="A174" s="5" t="n">
        <v>136</v>
      </c>
      <c r="B174" s="6" t="s">
        <v>256</v>
      </c>
      <c r="C174" s="6" t="s">
        <v>9</v>
      </c>
      <c r="D174" s="6" t="s">
        <v>415</v>
      </c>
      <c r="E174" s="73" t="n">
        <v>0.9</v>
      </c>
      <c r="F174" s="56" t="n">
        <f aca="false">Narxlar!$C$88</f>
        <v>3.5</v>
      </c>
      <c r="G174" s="74" t="n">
        <f aca="false">E174*F174</f>
        <v>3.15</v>
      </c>
      <c r="H174" s="5" t="s">
        <v>318</v>
      </c>
      <c r="I174" s="7" t="n">
        <f aca="false">Narxlar!$C$6</f>
        <v>12</v>
      </c>
      <c r="J174" s="76" t="n">
        <f aca="false">G174*I174</f>
        <v>37.8</v>
      </c>
      <c r="K174" s="24" t="s">
        <v>125</v>
      </c>
    </row>
    <row r="175" customFormat="false" ht="15" hidden="false" customHeight="false" outlineLevel="0" collapsed="false">
      <c r="A175" s="5" t="n">
        <v>137</v>
      </c>
      <c r="B175" s="6" t="s">
        <v>256</v>
      </c>
      <c r="C175" s="6" t="s">
        <v>9</v>
      </c>
      <c r="D175" s="6" t="s">
        <v>403</v>
      </c>
      <c r="E175" s="73" t="n">
        <v>2.4</v>
      </c>
      <c r="F175" s="56" t="n">
        <f aca="false">Narxlar!$C$90</f>
        <v>1</v>
      </c>
      <c r="G175" s="74" t="n">
        <f aca="false">E175*F175</f>
        <v>2.4</v>
      </c>
      <c r="H175" s="5" t="s">
        <v>318</v>
      </c>
      <c r="I175" s="7" t="n">
        <f aca="false">Narxlar!$C$6</f>
        <v>12</v>
      </c>
      <c r="J175" s="76" t="n">
        <f aca="false">G175*I175</f>
        <v>28.8</v>
      </c>
      <c r="K175" s="24" t="s">
        <v>125</v>
      </c>
    </row>
    <row r="176" customFormat="false" ht="15" hidden="false" customHeight="false" outlineLevel="0" collapsed="false">
      <c r="A176" s="5" t="n">
        <v>138</v>
      </c>
      <c r="B176" s="6" t="s">
        <v>256</v>
      </c>
      <c r="C176" s="6" t="s">
        <v>9</v>
      </c>
      <c r="D176" s="6" t="s">
        <v>403</v>
      </c>
      <c r="E176" s="73" t="n">
        <v>2.4</v>
      </c>
      <c r="F176" s="56" t="n">
        <f aca="false">Narxlar!$C$90</f>
        <v>1</v>
      </c>
      <c r="G176" s="74" t="n">
        <f aca="false">E176*F176</f>
        <v>2.4</v>
      </c>
      <c r="H176" s="5" t="s">
        <v>318</v>
      </c>
      <c r="I176" s="7" t="n">
        <f aca="false">Narxlar!$C$6</f>
        <v>12</v>
      </c>
      <c r="J176" s="76" t="n">
        <f aca="false">G176*I176</f>
        <v>28.8</v>
      </c>
      <c r="K176" s="24" t="s">
        <v>125</v>
      </c>
    </row>
    <row r="177" customFormat="false" ht="15" hidden="false" customHeight="false" outlineLevel="0" collapsed="false">
      <c r="A177" s="5" t="n">
        <v>139</v>
      </c>
      <c r="B177" s="6" t="s">
        <v>256</v>
      </c>
      <c r="C177" s="6" t="s">
        <v>9</v>
      </c>
      <c r="D177" s="6" t="s">
        <v>405</v>
      </c>
      <c r="E177" s="56" t="n">
        <f aca="false">Narxlar!$C$93</f>
        <v>0.9</v>
      </c>
      <c r="F177" s="56" t="n">
        <f aca="false">Narxlar!$C$90</f>
        <v>1</v>
      </c>
      <c r="G177" s="74" t="n">
        <f aca="false">E177*F177</f>
        <v>0.9</v>
      </c>
      <c r="H177" s="5" t="s">
        <v>318</v>
      </c>
      <c r="I177" s="7" t="n">
        <f aca="false">Narxlar!$C$6</f>
        <v>12</v>
      </c>
      <c r="J177" s="76" t="n">
        <f aca="false">G177*I177</f>
        <v>10.8</v>
      </c>
      <c r="K177" s="24" t="s">
        <v>125</v>
      </c>
    </row>
    <row r="178" customFormat="false" ht="15" hidden="false" customHeight="false" outlineLevel="0" collapsed="false">
      <c r="A178" s="5" t="n">
        <v>140</v>
      </c>
      <c r="B178" s="6" t="s">
        <v>256</v>
      </c>
      <c r="C178" s="6" t="s">
        <v>10</v>
      </c>
      <c r="D178" s="6" t="s">
        <v>457</v>
      </c>
      <c r="E178" s="73" t="n">
        <v>5.7</v>
      </c>
      <c r="F178" s="56" t="n">
        <f aca="false">Narxlar!$C$94</f>
        <v>3.5</v>
      </c>
      <c r="G178" s="74" t="n">
        <f aca="false">E178*F178</f>
        <v>19.95</v>
      </c>
      <c r="H178" s="5" t="s">
        <v>318</v>
      </c>
      <c r="I178" s="7" t="n">
        <f aca="false">Narxlar!$C$7</f>
        <v>15.5</v>
      </c>
      <c r="J178" s="76" t="n">
        <f aca="false">G178*I178</f>
        <v>309.225</v>
      </c>
      <c r="K178" s="24" t="s">
        <v>146</v>
      </c>
    </row>
    <row r="179" customFormat="false" ht="15" hidden="false" customHeight="false" outlineLevel="0" collapsed="false">
      <c r="A179" s="5" t="n">
        <v>141</v>
      </c>
      <c r="B179" s="6" t="s">
        <v>256</v>
      </c>
      <c r="C179" s="6" t="s">
        <v>10</v>
      </c>
      <c r="D179" s="6" t="s">
        <v>436</v>
      </c>
      <c r="E179" s="73" t="n">
        <v>2.8</v>
      </c>
      <c r="F179" s="56" t="n">
        <f aca="false">Narxlar!$C$94</f>
        <v>3.5</v>
      </c>
      <c r="G179" s="74" t="n">
        <f aca="false">E179*F179</f>
        <v>9.8</v>
      </c>
      <c r="H179" s="5" t="s">
        <v>318</v>
      </c>
      <c r="I179" s="7" t="n">
        <f aca="false">Narxlar!$C$7</f>
        <v>15.5</v>
      </c>
      <c r="J179" s="76" t="n">
        <f aca="false">G179*I179</f>
        <v>151.9</v>
      </c>
      <c r="K179" s="24" t="s">
        <v>146</v>
      </c>
    </row>
    <row r="180" customFormat="false" ht="15" hidden="false" customHeight="false" outlineLevel="0" collapsed="false">
      <c r="A180" s="5" t="n">
        <v>142</v>
      </c>
      <c r="B180" s="6" t="s">
        <v>256</v>
      </c>
      <c r="C180" s="6" t="s">
        <v>13</v>
      </c>
      <c r="D180" s="6" t="s">
        <v>409</v>
      </c>
      <c r="E180" s="73"/>
      <c r="F180" s="74"/>
      <c r="G180" s="75" t="n">
        <v>1</v>
      </c>
      <c r="H180" s="5" t="s">
        <v>396</v>
      </c>
      <c r="I180" s="7" t="n">
        <f aca="false">Narxlar!$C$12</f>
        <v>168</v>
      </c>
      <c r="J180" s="76" t="n">
        <f aca="false">G180*I180</f>
        <v>168</v>
      </c>
      <c r="K180" s="24" t="s">
        <v>161</v>
      </c>
    </row>
    <row r="181" customFormat="false" ht="15" hidden="false" customHeight="false" outlineLevel="0" collapsed="false">
      <c r="A181" s="5" t="n">
        <v>143</v>
      </c>
      <c r="B181" s="6" t="s">
        <v>256</v>
      </c>
      <c r="C181" s="6" t="s">
        <v>21</v>
      </c>
      <c r="D181" s="6" t="s">
        <v>154</v>
      </c>
      <c r="E181" s="73"/>
      <c r="F181" s="74"/>
      <c r="G181" s="75" t="n">
        <v>1</v>
      </c>
      <c r="H181" s="5" t="s">
        <v>291</v>
      </c>
      <c r="I181" s="7" t="n">
        <f aca="false">Narxlar!$C$57</f>
        <v>380</v>
      </c>
      <c r="J181" s="76" t="n">
        <f aca="false">G181*I181</f>
        <v>380</v>
      </c>
      <c r="K181" s="24" t="s">
        <v>153</v>
      </c>
    </row>
    <row r="182" customFormat="false" ht="15" hidden="false" customHeight="false" outlineLevel="0" collapsed="false">
      <c r="A182" s="77"/>
      <c r="B182" s="77"/>
      <c r="C182" s="77"/>
      <c r="D182" s="11" t="s">
        <v>458</v>
      </c>
      <c r="E182" s="77"/>
      <c r="F182" s="77"/>
      <c r="G182" s="77"/>
      <c r="H182" s="77"/>
      <c r="I182" s="77"/>
      <c r="J182" s="12" t="n">
        <f aca="false">SUM(J170:J181)</f>
        <v>1924.275</v>
      </c>
    </row>
    <row r="184" customFormat="false" ht="15" hidden="false" customHeight="false" outlineLevel="0" collapsed="false">
      <c r="A184" s="54" t="s">
        <v>257</v>
      </c>
      <c r="B184" s="55"/>
      <c r="C184" s="55"/>
      <c r="D184" s="55"/>
      <c r="E184" s="55"/>
      <c r="F184" s="55"/>
      <c r="G184" s="55"/>
      <c r="H184" s="55"/>
      <c r="I184" s="55"/>
      <c r="J184" s="55"/>
    </row>
    <row r="185" customFormat="false" ht="15" hidden="false" customHeight="false" outlineLevel="0" collapsed="false">
      <c r="A185" s="5" t="n">
        <v>144</v>
      </c>
      <c r="B185" s="6" t="s">
        <v>257</v>
      </c>
      <c r="C185" s="6" t="s">
        <v>10</v>
      </c>
      <c r="D185" s="6" t="s">
        <v>459</v>
      </c>
      <c r="E185" s="73" t="n">
        <v>5.95</v>
      </c>
      <c r="F185" s="56" t="n">
        <f aca="false">Narxlar!$C$94</f>
        <v>3.5</v>
      </c>
      <c r="G185" s="74" t="n">
        <f aca="false">E185*F185</f>
        <v>20.825</v>
      </c>
      <c r="H185" s="5" t="s">
        <v>318</v>
      </c>
      <c r="I185" s="7" t="n">
        <f aca="false">Narxlar!$C$7</f>
        <v>15.5</v>
      </c>
      <c r="J185" s="76" t="n">
        <f aca="false">G185*I185</f>
        <v>322.7875</v>
      </c>
      <c r="K185" s="24" t="s">
        <v>146</v>
      </c>
    </row>
    <row r="186" customFormat="false" ht="15" hidden="false" customHeight="false" outlineLevel="0" collapsed="false">
      <c r="A186" s="5" t="n">
        <v>145</v>
      </c>
      <c r="B186" s="6" t="s">
        <v>257</v>
      </c>
      <c r="C186" s="6" t="s">
        <v>10</v>
      </c>
      <c r="D186" s="6" t="s">
        <v>460</v>
      </c>
      <c r="E186" s="56" t="n">
        <f aca="false">Narxlar!$C$93</f>
        <v>0.9</v>
      </c>
      <c r="F186" s="56" t="n">
        <f aca="false">Narxlar!$C$91</f>
        <v>2.1</v>
      </c>
      <c r="G186" s="74" t="n">
        <f aca="false">-E186*F186</f>
        <v>-1.89</v>
      </c>
      <c r="H186" s="5" t="s">
        <v>318</v>
      </c>
      <c r="I186" s="7" t="n">
        <f aca="false">Narxlar!$C$7</f>
        <v>15.5</v>
      </c>
      <c r="J186" s="76" t="n">
        <f aca="false">G186*I186</f>
        <v>-29.295</v>
      </c>
      <c r="K186" s="24" t="s">
        <v>146</v>
      </c>
    </row>
    <row r="187" customFormat="false" ht="15" hidden="false" customHeight="false" outlineLevel="0" collapsed="false">
      <c r="A187" s="5" t="n">
        <v>146</v>
      </c>
      <c r="B187" s="6" t="s">
        <v>257</v>
      </c>
      <c r="C187" s="6" t="s">
        <v>10</v>
      </c>
      <c r="D187" s="6" t="s">
        <v>461</v>
      </c>
      <c r="E187" s="73" t="n">
        <v>2.95</v>
      </c>
      <c r="F187" s="56" t="n">
        <f aca="false">Narxlar!$C$94</f>
        <v>3.5</v>
      </c>
      <c r="G187" s="74" t="n">
        <f aca="false">E187*F187</f>
        <v>10.325</v>
      </c>
      <c r="H187" s="5" t="s">
        <v>318</v>
      </c>
      <c r="I187" s="7" t="n">
        <f aca="false">Narxlar!$C$7</f>
        <v>15.5</v>
      </c>
      <c r="J187" s="76" t="n">
        <f aca="false">G187*I187</f>
        <v>160.0375</v>
      </c>
      <c r="K187" s="24" t="s">
        <v>146</v>
      </c>
    </row>
    <row r="188" customFormat="false" ht="15" hidden="false" customHeight="false" outlineLevel="0" collapsed="false">
      <c r="A188" s="5" t="n">
        <v>147</v>
      </c>
      <c r="B188" s="6" t="s">
        <v>257</v>
      </c>
      <c r="C188" s="6" t="s">
        <v>13</v>
      </c>
      <c r="D188" s="6" t="s">
        <v>409</v>
      </c>
      <c r="E188" s="73"/>
      <c r="F188" s="74"/>
      <c r="G188" s="75" t="n">
        <v>1</v>
      </c>
      <c r="H188" s="5" t="s">
        <v>396</v>
      </c>
      <c r="I188" s="7" t="n">
        <f aca="false">Narxlar!$C$12</f>
        <v>168</v>
      </c>
      <c r="J188" s="76" t="n">
        <f aca="false">G188*I188</f>
        <v>168</v>
      </c>
      <c r="K188" s="24" t="s">
        <v>161</v>
      </c>
    </row>
    <row r="189" customFormat="false" ht="15" hidden="false" customHeight="false" outlineLevel="0" collapsed="false">
      <c r="A189" s="77"/>
      <c r="B189" s="77"/>
      <c r="C189" s="77"/>
      <c r="D189" s="11" t="s">
        <v>462</v>
      </c>
      <c r="E189" s="77"/>
      <c r="F189" s="77"/>
      <c r="G189" s="77"/>
      <c r="H189" s="77"/>
      <c r="I189" s="77"/>
      <c r="J189" s="12" t="n">
        <f aca="false">SUM(J185:J188)</f>
        <v>621.53</v>
      </c>
    </row>
    <row r="191" customFormat="false" ht="15" hidden="false" customHeight="false" outlineLevel="0" collapsed="false">
      <c r="A191" s="54" t="s">
        <v>259</v>
      </c>
      <c r="B191" s="55"/>
      <c r="C191" s="55"/>
      <c r="D191" s="55"/>
      <c r="E191" s="55"/>
      <c r="F191" s="55"/>
      <c r="G191" s="55"/>
      <c r="H191" s="55"/>
      <c r="I191" s="55"/>
      <c r="J191" s="55"/>
    </row>
    <row r="192" customFormat="false" ht="15" hidden="false" customHeight="false" outlineLevel="0" collapsed="false">
      <c r="A192" s="5" t="n">
        <v>148</v>
      </c>
      <c r="B192" s="6" t="s">
        <v>259</v>
      </c>
      <c r="C192" s="6" t="s">
        <v>9</v>
      </c>
      <c r="D192" s="6" t="s">
        <v>463</v>
      </c>
      <c r="E192" s="73" t="n">
        <v>4.6</v>
      </c>
      <c r="F192" s="56" t="n">
        <f aca="false">Narxlar!$C$90</f>
        <v>1</v>
      </c>
      <c r="G192" s="74" t="n">
        <f aca="false">E192*F192</f>
        <v>4.6</v>
      </c>
      <c r="H192" s="5" t="s">
        <v>318</v>
      </c>
      <c r="I192" s="7" t="n">
        <f aca="false">Narxlar!$C$6</f>
        <v>12</v>
      </c>
      <c r="J192" s="76" t="n">
        <f aca="false">G192*I192</f>
        <v>55.2</v>
      </c>
      <c r="K192" s="24" t="s">
        <v>125</v>
      </c>
    </row>
    <row r="193" customFormat="false" ht="15" hidden="false" customHeight="false" outlineLevel="0" collapsed="false">
      <c r="A193" s="5" t="n">
        <v>149</v>
      </c>
      <c r="B193" s="6" t="s">
        <v>259</v>
      </c>
      <c r="C193" s="6" t="s">
        <v>9</v>
      </c>
      <c r="D193" s="6" t="s">
        <v>464</v>
      </c>
      <c r="E193" s="73" t="n">
        <v>0.4</v>
      </c>
      <c r="F193" s="56" t="n">
        <f aca="false">Narxlar!$C$88</f>
        <v>3.5</v>
      </c>
      <c r="G193" s="74" t="n">
        <f aca="false">E193*F193</f>
        <v>1.4</v>
      </c>
      <c r="H193" s="5" t="s">
        <v>318</v>
      </c>
      <c r="I193" s="7" t="n">
        <f aca="false">Narxlar!$C$6</f>
        <v>12</v>
      </c>
      <c r="J193" s="76" t="n">
        <f aca="false">G193*I193</f>
        <v>16.8</v>
      </c>
      <c r="K193" s="24" t="s">
        <v>125</v>
      </c>
    </row>
    <row r="194" customFormat="false" ht="15" hidden="false" customHeight="false" outlineLevel="0" collapsed="false">
      <c r="A194" s="5" t="n">
        <v>150</v>
      </c>
      <c r="B194" s="6" t="s">
        <v>259</v>
      </c>
      <c r="C194" s="6" t="s">
        <v>9</v>
      </c>
      <c r="D194" s="6" t="s">
        <v>465</v>
      </c>
      <c r="E194" s="73" t="n">
        <v>4.7</v>
      </c>
      <c r="F194" s="56" t="n">
        <f aca="false">Narxlar!$C$90</f>
        <v>1</v>
      </c>
      <c r="G194" s="74" t="n">
        <f aca="false">E194*F194</f>
        <v>4.7</v>
      </c>
      <c r="H194" s="5" t="s">
        <v>318</v>
      </c>
      <c r="I194" s="7" t="n">
        <f aca="false">Narxlar!$C$6</f>
        <v>12</v>
      </c>
      <c r="J194" s="76" t="n">
        <f aca="false">G194*I194</f>
        <v>56.4</v>
      </c>
      <c r="K194" s="24" t="s">
        <v>125</v>
      </c>
    </row>
    <row r="195" customFormat="false" ht="15" hidden="false" customHeight="false" outlineLevel="0" collapsed="false">
      <c r="A195" s="5" t="n">
        <v>151</v>
      </c>
      <c r="B195" s="6" t="s">
        <v>259</v>
      </c>
      <c r="C195" s="6" t="s">
        <v>9</v>
      </c>
      <c r="D195" s="6" t="s">
        <v>466</v>
      </c>
      <c r="E195" s="73" t="n">
        <v>0.55</v>
      </c>
      <c r="F195" s="56" t="n">
        <f aca="false">Narxlar!$C$88</f>
        <v>3.5</v>
      </c>
      <c r="G195" s="74" t="n">
        <f aca="false">E195*F195</f>
        <v>1.925</v>
      </c>
      <c r="H195" s="5" t="s">
        <v>318</v>
      </c>
      <c r="I195" s="7" t="n">
        <f aca="false">Narxlar!$C$6</f>
        <v>12</v>
      </c>
      <c r="J195" s="76" t="n">
        <f aca="false">G195*I195</f>
        <v>23.1</v>
      </c>
      <c r="K195" s="24" t="s">
        <v>125</v>
      </c>
    </row>
    <row r="196" customFormat="false" ht="15" hidden="false" customHeight="false" outlineLevel="0" collapsed="false">
      <c r="A196" s="5" t="n">
        <v>152</v>
      </c>
      <c r="B196" s="6" t="s">
        <v>259</v>
      </c>
      <c r="C196" s="6" t="s">
        <v>9</v>
      </c>
      <c r="D196" s="6" t="s">
        <v>467</v>
      </c>
      <c r="E196" s="73" t="n">
        <v>0.1</v>
      </c>
      <c r="F196" s="56" t="n">
        <f aca="false">Narxlar!$C$88</f>
        <v>3.5</v>
      </c>
      <c r="G196" s="74" t="n">
        <f aca="false">E196*F196</f>
        <v>0.35</v>
      </c>
      <c r="H196" s="5" t="s">
        <v>318</v>
      </c>
      <c r="I196" s="7" t="n">
        <f aca="false">Narxlar!$C$6</f>
        <v>12</v>
      </c>
      <c r="J196" s="76" t="n">
        <f aca="false">G196*I196</f>
        <v>4.2</v>
      </c>
      <c r="K196" s="24" t="s">
        <v>125</v>
      </c>
    </row>
    <row r="197" customFormat="false" ht="15" hidden="false" customHeight="false" outlineLevel="0" collapsed="false">
      <c r="A197" s="5" t="n">
        <v>153</v>
      </c>
      <c r="B197" s="6" t="s">
        <v>259</v>
      </c>
      <c r="C197" s="6" t="s">
        <v>9</v>
      </c>
      <c r="D197" s="6" t="s">
        <v>468</v>
      </c>
      <c r="E197" s="73" t="n">
        <v>1.5</v>
      </c>
      <c r="F197" s="56" t="n">
        <f aca="false">Narxlar!$C$88</f>
        <v>3.5</v>
      </c>
      <c r="G197" s="74" t="n">
        <f aca="false">E197*F197</f>
        <v>5.25</v>
      </c>
      <c r="H197" s="5" t="s">
        <v>318</v>
      </c>
      <c r="I197" s="7" t="n">
        <f aca="false">Narxlar!$C$6</f>
        <v>12</v>
      </c>
      <c r="J197" s="76" t="n">
        <f aca="false">G197*I197</f>
        <v>63</v>
      </c>
      <c r="K197" s="24" t="s">
        <v>125</v>
      </c>
    </row>
    <row r="198" customFormat="false" ht="15" hidden="false" customHeight="false" outlineLevel="0" collapsed="false">
      <c r="A198" s="5" t="n">
        <v>154</v>
      </c>
      <c r="B198" s="6" t="s">
        <v>259</v>
      </c>
      <c r="C198" s="6" t="s">
        <v>9</v>
      </c>
      <c r="D198" s="6" t="s">
        <v>469</v>
      </c>
      <c r="E198" s="73" t="n">
        <v>2.4</v>
      </c>
      <c r="F198" s="56" t="n">
        <f aca="false">Narxlar!$C$90</f>
        <v>1</v>
      </c>
      <c r="G198" s="74" t="n">
        <f aca="false">E198*F198</f>
        <v>2.4</v>
      </c>
      <c r="H198" s="5" t="s">
        <v>318</v>
      </c>
      <c r="I198" s="7" t="n">
        <f aca="false">Narxlar!$C$6</f>
        <v>12</v>
      </c>
      <c r="J198" s="76" t="n">
        <f aca="false">G198*I198</f>
        <v>28.8</v>
      </c>
      <c r="K198" s="24" t="s">
        <v>125</v>
      </c>
    </row>
    <row r="199" customFormat="false" ht="15" hidden="false" customHeight="false" outlineLevel="0" collapsed="false">
      <c r="A199" s="5" t="n">
        <v>155</v>
      </c>
      <c r="B199" s="6" t="s">
        <v>259</v>
      </c>
      <c r="C199" s="6" t="s">
        <v>9</v>
      </c>
      <c r="D199" s="6" t="s">
        <v>469</v>
      </c>
      <c r="E199" s="73" t="n">
        <v>2.4</v>
      </c>
      <c r="F199" s="56" t="n">
        <f aca="false">Narxlar!$C$90</f>
        <v>1</v>
      </c>
      <c r="G199" s="74" t="n">
        <f aca="false">E199*F199</f>
        <v>2.4</v>
      </c>
      <c r="H199" s="5" t="s">
        <v>318</v>
      </c>
      <c r="I199" s="7" t="n">
        <f aca="false">Narxlar!$C$6</f>
        <v>12</v>
      </c>
      <c r="J199" s="76" t="n">
        <f aca="false">G199*I199</f>
        <v>28.8</v>
      </c>
      <c r="K199" s="24" t="s">
        <v>125</v>
      </c>
    </row>
    <row r="200" customFormat="false" ht="15" hidden="false" customHeight="false" outlineLevel="0" collapsed="false">
      <c r="A200" s="5" t="n">
        <v>156</v>
      </c>
      <c r="B200" s="6" t="s">
        <v>259</v>
      </c>
      <c r="C200" s="6" t="s">
        <v>9</v>
      </c>
      <c r="D200" s="6" t="s">
        <v>419</v>
      </c>
      <c r="E200" s="73" t="n">
        <v>0.2</v>
      </c>
      <c r="F200" s="56" t="n">
        <f aca="false">Narxlar!$C$88</f>
        <v>3.5</v>
      </c>
      <c r="G200" s="74" t="n">
        <f aca="false">E200*F200</f>
        <v>0.7</v>
      </c>
      <c r="H200" s="5" t="s">
        <v>318</v>
      </c>
      <c r="I200" s="7" t="n">
        <f aca="false">Narxlar!$C$6</f>
        <v>12</v>
      </c>
      <c r="J200" s="76" t="n">
        <f aca="false">G200*I200</f>
        <v>8.4</v>
      </c>
      <c r="K200" s="24" t="s">
        <v>125</v>
      </c>
    </row>
    <row r="201" customFormat="false" ht="15" hidden="false" customHeight="false" outlineLevel="0" collapsed="false">
      <c r="A201" s="5" t="n">
        <v>157</v>
      </c>
      <c r="B201" s="6" t="s">
        <v>259</v>
      </c>
      <c r="C201" s="6" t="s">
        <v>9</v>
      </c>
      <c r="D201" s="6" t="s">
        <v>470</v>
      </c>
      <c r="E201" s="73" t="n">
        <v>0.15</v>
      </c>
      <c r="F201" s="56" t="n">
        <f aca="false">Narxlar!$C$90</f>
        <v>1</v>
      </c>
      <c r="G201" s="74" t="n">
        <f aca="false">E201*F201</f>
        <v>0.15</v>
      </c>
      <c r="H201" s="5" t="s">
        <v>318</v>
      </c>
      <c r="I201" s="7" t="n">
        <f aca="false">Narxlar!$C$6</f>
        <v>12</v>
      </c>
      <c r="J201" s="76" t="n">
        <f aca="false">G201*I201</f>
        <v>1.8</v>
      </c>
      <c r="K201" s="24" t="s">
        <v>125</v>
      </c>
    </row>
    <row r="202" customFormat="false" ht="15" hidden="false" customHeight="false" outlineLevel="0" collapsed="false">
      <c r="A202" s="5" t="n">
        <v>158</v>
      </c>
      <c r="B202" s="6" t="s">
        <v>259</v>
      </c>
      <c r="C202" s="6" t="s">
        <v>9</v>
      </c>
      <c r="D202" s="6" t="s">
        <v>470</v>
      </c>
      <c r="E202" s="73" t="n">
        <v>4.75</v>
      </c>
      <c r="F202" s="56" t="n">
        <f aca="false">Narxlar!$C$90</f>
        <v>1</v>
      </c>
      <c r="G202" s="74" t="n">
        <f aca="false">E202*F202</f>
        <v>4.75</v>
      </c>
      <c r="H202" s="5" t="s">
        <v>318</v>
      </c>
      <c r="I202" s="7" t="n">
        <f aca="false">Narxlar!$C$6</f>
        <v>12</v>
      </c>
      <c r="J202" s="76" t="n">
        <f aca="false">G202*I202</f>
        <v>57</v>
      </c>
      <c r="K202" s="24" t="s">
        <v>125</v>
      </c>
    </row>
    <row r="203" customFormat="false" ht="15" hidden="false" customHeight="false" outlineLevel="0" collapsed="false">
      <c r="A203" s="5" t="n">
        <v>159</v>
      </c>
      <c r="B203" s="6" t="s">
        <v>259</v>
      </c>
      <c r="C203" s="6" t="s">
        <v>9</v>
      </c>
      <c r="D203" s="6" t="s">
        <v>419</v>
      </c>
      <c r="E203" s="73" t="n">
        <v>0.2</v>
      </c>
      <c r="F203" s="56" t="n">
        <f aca="false">Narxlar!$C$88</f>
        <v>3.5</v>
      </c>
      <c r="G203" s="74" t="n">
        <f aca="false">E203*F203</f>
        <v>0.7</v>
      </c>
      <c r="H203" s="5" t="s">
        <v>318</v>
      </c>
      <c r="I203" s="7" t="n">
        <f aca="false">Narxlar!$C$6</f>
        <v>12</v>
      </c>
      <c r="J203" s="76" t="n">
        <f aca="false">G203*I203</f>
        <v>8.4</v>
      </c>
      <c r="K203" s="24" t="s">
        <v>125</v>
      </c>
    </row>
    <row r="204" customFormat="false" ht="15" hidden="false" customHeight="false" outlineLevel="0" collapsed="false">
      <c r="A204" s="5" t="n">
        <v>160</v>
      </c>
      <c r="B204" s="6" t="s">
        <v>259</v>
      </c>
      <c r="C204" s="6" t="s">
        <v>9</v>
      </c>
      <c r="D204" s="6" t="s">
        <v>446</v>
      </c>
      <c r="E204" s="73" t="n">
        <v>1.15</v>
      </c>
      <c r="F204" s="56" t="n">
        <f aca="false">Narxlar!$C$88</f>
        <v>3.5</v>
      </c>
      <c r="G204" s="74" t="n">
        <f aca="false">E204*F204</f>
        <v>4.025</v>
      </c>
      <c r="H204" s="5" t="s">
        <v>318</v>
      </c>
      <c r="I204" s="7" t="n">
        <f aca="false">Narxlar!$C$6</f>
        <v>12</v>
      </c>
      <c r="J204" s="76" t="n">
        <f aca="false">G204*I204</f>
        <v>48.3</v>
      </c>
      <c r="K204" s="24" t="s">
        <v>125</v>
      </c>
    </row>
    <row r="205" customFormat="false" ht="15" hidden="false" customHeight="false" outlineLevel="0" collapsed="false">
      <c r="A205" s="5" t="n">
        <v>161</v>
      </c>
      <c r="B205" s="6" t="s">
        <v>259</v>
      </c>
      <c r="C205" s="6" t="s">
        <v>9</v>
      </c>
      <c r="D205" s="6" t="s">
        <v>471</v>
      </c>
      <c r="E205" s="56" t="n">
        <f aca="false">Narxlar!$C$93</f>
        <v>0.9</v>
      </c>
      <c r="F205" s="56" t="n">
        <f aca="false">Narxlar!$C$90</f>
        <v>1</v>
      </c>
      <c r="G205" s="74" t="n">
        <f aca="false">E205*F205</f>
        <v>0.9</v>
      </c>
      <c r="H205" s="5" t="s">
        <v>318</v>
      </c>
      <c r="I205" s="7" t="n">
        <f aca="false">Narxlar!$C$6</f>
        <v>12</v>
      </c>
      <c r="J205" s="76" t="n">
        <f aca="false">G205*I205</f>
        <v>10.8</v>
      </c>
      <c r="K205" s="24" t="s">
        <v>125</v>
      </c>
    </row>
    <row r="206" customFormat="false" ht="15" hidden="false" customHeight="false" outlineLevel="0" collapsed="false">
      <c r="A206" s="5" t="n">
        <v>162</v>
      </c>
      <c r="B206" s="6" t="s">
        <v>259</v>
      </c>
      <c r="C206" s="6" t="s">
        <v>9</v>
      </c>
      <c r="D206" s="6" t="s">
        <v>472</v>
      </c>
      <c r="E206" s="56" t="n">
        <f aca="false">Narxlar!$C$93</f>
        <v>0.9</v>
      </c>
      <c r="F206" s="56" t="n">
        <f aca="false">Narxlar!$C$90</f>
        <v>1</v>
      </c>
      <c r="G206" s="74" t="n">
        <f aca="false">E206*F206</f>
        <v>0.9</v>
      </c>
      <c r="H206" s="5" t="s">
        <v>318</v>
      </c>
      <c r="I206" s="7" t="n">
        <f aca="false">Narxlar!$C$6</f>
        <v>12</v>
      </c>
      <c r="J206" s="76" t="n">
        <f aca="false">G206*I206</f>
        <v>10.8</v>
      </c>
      <c r="K206" s="24" t="s">
        <v>125</v>
      </c>
    </row>
    <row r="207" customFormat="false" ht="15" hidden="false" customHeight="false" outlineLevel="0" collapsed="false">
      <c r="A207" s="5" t="n">
        <v>163</v>
      </c>
      <c r="B207" s="6" t="s">
        <v>259</v>
      </c>
      <c r="C207" s="6" t="s">
        <v>9</v>
      </c>
      <c r="D207" s="6" t="s">
        <v>473</v>
      </c>
      <c r="E207" s="56" t="n">
        <f aca="false">Narxlar!$C$93</f>
        <v>0.9</v>
      </c>
      <c r="F207" s="56" t="n">
        <f aca="false">Narxlar!$C$90</f>
        <v>1</v>
      </c>
      <c r="G207" s="74" t="n">
        <f aca="false">E207*F207</f>
        <v>0.9</v>
      </c>
      <c r="H207" s="5" t="s">
        <v>318</v>
      </c>
      <c r="I207" s="7" t="n">
        <f aca="false">Narxlar!$C$6</f>
        <v>12</v>
      </c>
      <c r="J207" s="76" t="n">
        <f aca="false">G207*I207</f>
        <v>10.8</v>
      </c>
      <c r="K207" s="24" t="s">
        <v>125</v>
      </c>
    </row>
    <row r="208" customFormat="false" ht="15" hidden="false" customHeight="false" outlineLevel="0" collapsed="false">
      <c r="A208" s="5" t="n">
        <v>164</v>
      </c>
      <c r="B208" s="6" t="s">
        <v>259</v>
      </c>
      <c r="C208" s="6" t="s">
        <v>9</v>
      </c>
      <c r="D208" s="6" t="s">
        <v>474</v>
      </c>
      <c r="E208" s="56" t="n">
        <f aca="false">Narxlar!$C$93</f>
        <v>0.9</v>
      </c>
      <c r="F208" s="56" t="n">
        <f aca="false">Narxlar!$C$90</f>
        <v>1</v>
      </c>
      <c r="G208" s="74" t="n">
        <f aca="false">E208*F208</f>
        <v>0.9</v>
      </c>
      <c r="H208" s="5" t="s">
        <v>318</v>
      </c>
      <c r="I208" s="7" t="n">
        <f aca="false">Narxlar!$C$6</f>
        <v>12</v>
      </c>
      <c r="J208" s="76" t="n">
        <f aca="false">G208*I208</f>
        <v>10.8</v>
      </c>
      <c r="K208" s="24" t="s">
        <v>125</v>
      </c>
    </row>
    <row r="209" customFormat="false" ht="15" hidden="false" customHeight="false" outlineLevel="0" collapsed="false">
      <c r="A209" s="5" t="n">
        <v>165</v>
      </c>
      <c r="B209" s="6" t="s">
        <v>259</v>
      </c>
      <c r="C209" s="6" t="s">
        <v>9</v>
      </c>
      <c r="D209" s="6" t="s">
        <v>475</v>
      </c>
      <c r="E209" s="56" t="n">
        <f aca="false">Narxlar!$C$93</f>
        <v>0.9</v>
      </c>
      <c r="F209" s="56" t="n">
        <f aca="false">Narxlar!$C$90</f>
        <v>1</v>
      </c>
      <c r="G209" s="74" t="n">
        <f aca="false">E209*F209</f>
        <v>0.9</v>
      </c>
      <c r="H209" s="5" t="s">
        <v>318</v>
      </c>
      <c r="I209" s="7" t="n">
        <f aca="false">Narxlar!$C$6</f>
        <v>12</v>
      </c>
      <c r="J209" s="76" t="n">
        <f aca="false">G209*I209</f>
        <v>10.8</v>
      </c>
      <c r="K209" s="24" t="s">
        <v>125</v>
      </c>
    </row>
    <row r="210" customFormat="false" ht="15" hidden="false" customHeight="false" outlineLevel="0" collapsed="false">
      <c r="A210" s="5" t="n">
        <v>166</v>
      </c>
      <c r="B210" s="6" t="s">
        <v>259</v>
      </c>
      <c r="C210" s="6" t="s">
        <v>13</v>
      </c>
      <c r="D210" s="6" t="s">
        <v>476</v>
      </c>
      <c r="E210" s="73"/>
      <c r="F210" s="74"/>
      <c r="G210" s="75" t="n">
        <v>1</v>
      </c>
      <c r="H210" s="5" t="s">
        <v>396</v>
      </c>
      <c r="I210" s="7" t="n">
        <f aca="false">Narxlar!$C$11</f>
        <v>336</v>
      </c>
      <c r="J210" s="76" t="n">
        <f aca="false">G210*I210</f>
        <v>336</v>
      </c>
      <c r="K210" s="24" t="s">
        <v>163</v>
      </c>
    </row>
    <row r="211" customFormat="false" ht="15" hidden="false" customHeight="false" outlineLevel="0" collapsed="false">
      <c r="A211" s="5" t="n">
        <v>167</v>
      </c>
      <c r="B211" s="6" t="s">
        <v>259</v>
      </c>
      <c r="C211" s="6" t="s">
        <v>22</v>
      </c>
      <c r="D211" s="6" t="s">
        <v>477</v>
      </c>
      <c r="E211" s="73"/>
      <c r="F211" s="74"/>
      <c r="G211" s="75" t="n">
        <v>1</v>
      </c>
      <c r="H211" s="5" t="s">
        <v>291</v>
      </c>
      <c r="I211" s="7" t="n">
        <f aca="false">Narxlar!$C$82</f>
        <v>250</v>
      </c>
      <c r="J211" s="76" t="n">
        <f aca="false">G211*I211</f>
        <v>250</v>
      </c>
      <c r="K211" s="24" t="s">
        <v>187</v>
      </c>
    </row>
    <row r="212" customFormat="false" ht="15" hidden="false" customHeight="false" outlineLevel="0" collapsed="false">
      <c r="A212" s="5" t="n">
        <v>168</v>
      </c>
      <c r="B212" s="6" t="s">
        <v>259</v>
      </c>
      <c r="C212" s="6" t="s">
        <v>22</v>
      </c>
      <c r="D212" s="6" t="s">
        <v>478</v>
      </c>
      <c r="E212" s="73"/>
      <c r="F212" s="74"/>
      <c r="G212" s="75" t="n">
        <v>1</v>
      </c>
      <c r="H212" s="5" t="s">
        <v>396</v>
      </c>
      <c r="I212" s="7" t="n">
        <f aca="false">Narxlar!$C$83</f>
        <v>300</v>
      </c>
      <c r="J212" s="76" t="n">
        <f aca="false">G212*I212</f>
        <v>300</v>
      </c>
      <c r="K212" s="24" t="s">
        <v>199</v>
      </c>
    </row>
    <row r="213" customFormat="false" ht="15" hidden="false" customHeight="false" outlineLevel="0" collapsed="false">
      <c r="A213" s="5" t="n">
        <v>169</v>
      </c>
      <c r="B213" s="6" t="s">
        <v>259</v>
      </c>
      <c r="C213" s="6" t="s">
        <v>22</v>
      </c>
      <c r="D213" s="6" t="s">
        <v>479</v>
      </c>
      <c r="E213" s="73"/>
      <c r="F213" s="74"/>
      <c r="G213" s="75" t="n">
        <v>1</v>
      </c>
      <c r="H213" s="5" t="s">
        <v>396</v>
      </c>
      <c r="I213" s="7" t="n">
        <f aca="false">Narxlar!$C$84</f>
        <v>800</v>
      </c>
      <c r="J213" s="76" t="n">
        <f aca="false">G213*I213</f>
        <v>800</v>
      </c>
      <c r="K213" s="24" t="s">
        <v>117</v>
      </c>
    </row>
    <row r="214" customFormat="false" ht="15" hidden="false" customHeight="false" outlineLevel="0" collapsed="false">
      <c r="A214" s="5" t="n">
        <v>170</v>
      </c>
      <c r="B214" s="6" t="s">
        <v>259</v>
      </c>
      <c r="C214" s="6" t="s">
        <v>22</v>
      </c>
      <c r="D214" s="6" t="s">
        <v>480</v>
      </c>
      <c r="E214" s="73"/>
      <c r="F214" s="74"/>
      <c r="G214" s="75" t="n">
        <v>1</v>
      </c>
      <c r="H214" s="5" t="s">
        <v>396</v>
      </c>
      <c r="I214" s="7" t="n">
        <f aca="false">Narxlar!$C$85</f>
        <v>250</v>
      </c>
      <c r="J214" s="76" t="n">
        <f aca="false">G214*I214</f>
        <v>250</v>
      </c>
      <c r="K214" s="24" t="s">
        <v>189</v>
      </c>
    </row>
    <row r="215" customFormat="false" ht="15" hidden="false" customHeight="false" outlineLevel="0" collapsed="false">
      <c r="A215" s="77"/>
      <c r="B215" s="77"/>
      <c r="C215" s="77"/>
      <c r="D215" s="11" t="s">
        <v>481</v>
      </c>
      <c r="E215" s="77"/>
      <c r="F215" s="77"/>
      <c r="G215" s="77"/>
      <c r="H215" s="77"/>
      <c r="I215" s="77"/>
      <c r="J215" s="12" t="n">
        <f aca="false">SUM(J192:J214)</f>
        <v>2390.2</v>
      </c>
    </row>
    <row r="217" customFormat="false" ht="15" hidden="false" customHeight="false" outlineLevel="0" collapsed="false">
      <c r="A217" s="54" t="s">
        <v>260</v>
      </c>
      <c r="B217" s="55"/>
      <c r="C217" s="55"/>
      <c r="D217" s="55"/>
      <c r="E217" s="55"/>
      <c r="F217" s="55"/>
      <c r="G217" s="55"/>
      <c r="H217" s="55"/>
      <c r="I217" s="55"/>
      <c r="J217" s="55"/>
    </row>
    <row r="218" customFormat="false" ht="15" hidden="false" customHeight="false" outlineLevel="0" collapsed="false">
      <c r="A218" s="5" t="n">
        <v>171</v>
      </c>
      <c r="B218" s="6" t="s">
        <v>260</v>
      </c>
      <c r="C218" s="6" t="s">
        <v>9</v>
      </c>
      <c r="D218" s="6" t="s">
        <v>482</v>
      </c>
      <c r="E218" s="73" t="n">
        <v>2.4</v>
      </c>
      <c r="F218" s="56" t="n">
        <f aca="false">Narxlar!$C$90</f>
        <v>1</v>
      </c>
      <c r="G218" s="74" t="n">
        <f aca="false">E218*F218</f>
        <v>2.4</v>
      </c>
      <c r="H218" s="5" t="s">
        <v>318</v>
      </c>
      <c r="I218" s="7" t="n">
        <f aca="false">Narxlar!$C$6</f>
        <v>12</v>
      </c>
      <c r="J218" s="76" t="n">
        <f aca="false">G218*I218</f>
        <v>28.8</v>
      </c>
      <c r="K218" s="24" t="s">
        <v>125</v>
      </c>
    </row>
    <row r="219" customFormat="false" ht="15" hidden="false" customHeight="false" outlineLevel="0" collapsed="false">
      <c r="A219" s="5" t="n">
        <v>172</v>
      </c>
      <c r="B219" s="6" t="s">
        <v>260</v>
      </c>
      <c r="C219" s="6" t="s">
        <v>9</v>
      </c>
      <c r="D219" s="6" t="s">
        <v>482</v>
      </c>
      <c r="E219" s="73" t="n">
        <v>2.4</v>
      </c>
      <c r="F219" s="56" t="n">
        <f aca="false">Narxlar!$C$90</f>
        <v>1</v>
      </c>
      <c r="G219" s="74" t="n">
        <f aca="false">E219*F219</f>
        <v>2.4</v>
      </c>
      <c r="H219" s="5" t="s">
        <v>318</v>
      </c>
      <c r="I219" s="7" t="n">
        <f aca="false">Narxlar!$C$6</f>
        <v>12</v>
      </c>
      <c r="J219" s="76" t="n">
        <f aca="false">G219*I219</f>
        <v>28.8</v>
      </c>
      <c r="K219" s="24" t="s">
        <v>125</v>
      </c>
    </row>
    <row r="220" customFormat="false" ht="15" hidden="false" customHeight="false" outlineLevel="0" collapsed="false">
      <c r="A220" s="5" t="n">
        <v>173</v>
      </c>
      <c r="B220" s="6" t="s">
        <v>260</v>
      </c>
      <c r="C220" s="6" t="s">
        <v>9</v>
      </c>
      <c r="D220" s="6" t="s">
        <v>419</v>
      </c>
      <c r="E220" s="73" t="n">
        <v>0.2</v>
      </c>
      <c r="F220" s="56" t="n">
        <f aca="false">Narxlar!$C$88</f>
        <v>3.5</v>
      </c>
      <c r="G220" s="74" t="n">
        <f aca="false">E220*F220</f>
        <v>0.7</v>
      </c>
      <c r="H220" s="5" t="s">
        <v>318</v>
      </c>
      <c r="I220" s="7" t="n">
        <f aca="false">Narxlar!$C$6</f>
        <v>12</v>
      </c>
      <c r="J220" s="76" t="n">
        <f aca="false">G220*I220</f>
        <v>8.4</v>
      </c>
      <c r="K220" s="24" t="s">
        <v>125</v>
      </c>
    </row>
    <row r="221" customFormat="false" ht="15" hidden="false" customHeight="false" outlineLevel="0" collapsed="false">
      <c r="A221" s="5" t="n">
        <v>174</v>
      </c>
      <c r="B221" s="6" t="s">
        <v>260</v>
      </c>
      <c r="C221" s="6" t="s">
        <v>9</v>
      </c>
      <c r="D221" s="6" t="s">
        <v>483</v>
      </c>
      <c r="E221" s="73" t="n">
        <v>2.45</v>
      </c>
      <c r="F221" s="56" t="n">
        <f aca="false">Narxlar!$C$90</f>
        <v>1</v>
      </c>
      <c r="G221" s="74" t="n">
        <f aca="false">E221*F221</f>
        <v>2.45</v>
      </c>
      <c r="H221" s="5" t="s">
        <v>318</v>
      </c>
      <c r="I221" s="7" t="n">
        <f aca="false">Narxlar!$C$6</f>
        <v>12</v>
      </c>
      <c r="J221" s="76" t="n">
        <f aca="false">G221*I221</f>
        <v>29.4</v>
      </c>
      <c r="K221" s="24" t="s">
        <v>125</v>
      </c>
    </row>
    <row r="222" customFormat="false" ht="15" hidden="false" customHeight="false" outlineLevel="0" collapsed="false">
      <c r="A222" s="5" t="n">
        <v>175</v>
      </c>
      <c r="B222" s="6" t="s">
        <v>260</v>
      </c>
      <c r="C222" s="6" t="s">
        <v>9</v>
      </c>
      <c r="D222" s="6" t="s">
        <v>483</v>
      </c>
      <c r="E222" s="73" t="n">
        <v>2.45</v>
      </c>
      <c r="F222" s="56" t="n">
        <f aca="false">Narxlar!$C$90</f>
        <v>1</v>
      </c>
      <c r="G222" s="74" t="n">
        <f aca="false">E222*F222</f>
        <v>2.45</v>
      </c>
      <c r="H222" s="5" t="s">
        <v>318</v>
      </c>
      <c r="I222" s="7" t="n">
        <f aca="false">Narxlar!$C$6</f>
        <v>12</v>
      </c>
      <c r="J222" s="76" t="n">
        <f aca="false">G222*I222</f>
        <v>29.4</v>
      </c>
      <c r="K222" s="24" t="s">
        <v>125</v>
      </c>
    </row>
    <row r="223" customFormat="false" ht="15" hidden="false" customHeight="false" outlineLevel="0" collapsed="false">
      <c r="A223" s="5" t="n">
        <v>176</v>
      </c>
      <c r="B223" s="6" t="s">
        <v>260</v>
      </c>
      <c r="C223" s="6" t="s">
        <v>9</v>
      </c>
      <c r="D223" s="6" t="s">
        <v>484</v>
      </c>
      <c r="E223" s="73" t="n">
        <v>0.3</v>
      </c>
      <c r="F223" s="56" t="n">
        <f aca="false">Narxlar!$C$88</f>
        <v>3.5</v>
      </c>
      <c r="G223" s="74" t="n">
        <f aca="false">E223*F223</f>
        <v>1.05</v>
      </c>
      <c r="H223" s="5" t="s">
        <v>318</v>
      </c>
      <c r="I223" s="7" t="n">
        <f aca="false">Narxlar!$C$6</f>
        <v>12</v>
      </c>
      <c r="J223" s="76" t="n">
        <f aca="false">G223*I223</f>
        <v>12.6</v>
      </c>
      <c r="K223" s="24" t="s">
        <v>125</v>
      </c>
    </row>
    <row r="224" customFormat="false" ht="15" hidden="false" customHeight="false" outlineLevel="0" collapsed="false">
      <c r="A224" s="5" t="n">
        <v>177</v>
      </c>
      <c r="B224" s="6" t="s">
        <v>260</v>
      </c>
      <c r="C224" s="6" t="s">
        <v>9</v>
      </c>
      <c r="D224" s="6" t="s">
        <v>484</v>
      </c>
      <c r="E224" s="73" t="n">
        <v>0.15</v>
      </c>
      <c r="F224" s="56" t="n">
        <f aca="false">Narxlar!$C$88</f>
        <v>3.5</v>
      </c>
      <c r="G224" s="74" t="n">
        <f aca="false">E224*F224</f>
        <v>0.525</v>
      </c>
      <c r="H224" s="5" t="s">
        <v>318</v>
      </c>
      <c r="I224" s="7" t="n">
        <f aca="false">Narxlar!$C$6</f>
        <v>12</v>
      </c>
      <c r="J224" s="76" t="n">
        <f aca="false">G224*I224</f>
        <v>6.3</v>
      </c>
      <c r="K224" s="24" t="s">
        <v>125</v>
      </c>
    </row>
    <row r="225" customFormat="false" ht="15" hidden="false" customHeight="false" outlineLevel="0" collapsed="false">
      <c r="A225" s="5" t="n">
        <v>178</v>
      </c>
      <c r="B225" s="6" t="s">
        <v>260</v>
      </c>
      <c r="C225" s="6" t="s">
        <v>9</v>
      </c>
      <c r="D225" s="6" t="s">
        <v>468</v>
      </c>
      <c r="E225" s="73" t="n">
        <v>1.5</v>
      </c>
      <c r="F225" s="56" t="n">
        <f aca="false">Narxlar!$C$88</f>
        <v>3.5</v>
      </c>
      <c r="G225" s="74" t="n">
        <f aca="false">E225*F225</f>
        <v>5.25</v>
      </c>
      <c r="H225" s="5" t="s">
        <v>318</v>
      </c>
      <c r="I225" s="7" t="n">
        <f aca="false">Narxlar!$C$6</f>
        <v>12</v>
      </c>
      <c r="J225" s="76" t="n">
        <f aca="false">G225*I225</f>
        <v>63</v>
      </c>
      <c r="K225" s="24" t="s">
        <v>125</v>
      </c>
    </row>
    <row r="226" customFormat="false" ht="15" hidden="false" customHeight="false" outlineLevel="0" collapsed="false">
      <c r="A226" s="5" t="n">
        <v>179</v>
      </c>
      <c r="B226" s="6" t="s">
        <v>260</v>
      </c>
      <c r="C226" s="6" t="s">
        <v>9</v>
      </c>
      <c r="D226" s="6" t="s">
        <v>485</v>
      </c>
      <c r="E226" s="73" t="n">
        <v>0.2</v>
      </c>
      <c r="F226" s="56" t="n">
        <f aca="false">Narxlar!$C$88</f>
        <v>3.5</v>
      </c>
      <c r="G226" s="74" t="n">
        <f aca="false">E226*F226</f>
        <v>0.7</v>
      </c>
      <c r="H226" s="5" t="s">
        <v>318</v>
      </c>
      <c r="I226" s="7" t="n">
        <f aca="false">Narxlar!$C$6</f>
        <v>12</v>
      </c>
      <c r="J226" s="76" t="n">
        <f aca="false">G226*I226</f>
        <v>8.4</v>
      </c>
      <c r="K226" s="24" t="s">
        <v>125</v>
      </c>
    </row>
    <row r="227" customFormat="false" ht="15" hidden="false" customHeight="false" outlineLevel="0" collapsed="false">
      <c r="A227" s="5" t="n">
        <v>180</v>
      </c>
      <c r="B227" s="6" t="s">
        <v>260</v>
      </c>
      <c r="C227" s="6" t="s">
        <v>9</v>
      </c>
      <c r="D227" s="6" t="s">
        <v>486</v>
      </c>
      <c r="E227" s="73" t="n">
        <v>4.7</v>
      </c>
      <c r="F227" s="56" t="n">
        <f aca="false">Narxlar!$C$90</f>
        <v>1</v>
      </c>
      <c r="G227" s="74" t="n">
        <f aca="false">E227*F227</f>
        <v>4.7</v>
      </c>
      <c r="H227" s="5" t="s">
        <v>318</v>
      </c>
      <c r="I227" s="7" t="n">
        <f aca="false">Narxlar!$C$6</f>
        <v>12</v>
      </c>
      <c r="J227" s="76" t="n">
        <f aca="false">G227*I227</f>
        <v>56.4</v>
      </c>
      <c r="K227" s="24" t="s">
        <v>125</v>
      </c>
    </row>
    <row r="228" customFormat="false" ht="15" hidden="false" customHeight="false" outlineLevel="0" collapsed="false">
      <c r="A228" s="5" t="n">
        <v>181</v>
      </c>
      <c r="B228" s="6" t="s">
        <v>260</v>
      </c>
      <c r="C228" s="6" t="s">
        <v>9</v>
      </c>
      <c r="D228" s="6" t="s">
        <v>487</v>
      </c>
      <c r="E228" s="73" t="n">
        <v>0.4</v>
      </c>
      <c r="F228" s="56" t="n">
        <f aca="false">Narxlar!$C$88</f>
        <v>3.5</v>
      </c>
      <c r="G228" s="74" t="n">
        <f aca="false">E228*F228</f>
        <v>1.4</v>
      </c>
      <c r="H228" s="5" t="s">
        <v>318</v>
      </c>
      <c r="I228" s="7" t="n">
        <f aca="false">Narxlar!$C$6</f>
        <v>12</v>
      </c>
      <c r="J228" s="76" t="n">
        <f aca="false">G228*I228</f>
        <v>16.8</v>
      </c>
      <c r="K228" s="24" t="s">
        <v>125</v>
      </c>
    </row>
    <row r="229" customFormat="false" ht="15" hidden="false" customHeight="false" outlineLevel="0" collapsed="false">
      <c r="A229" s="5" t="n">
        <v>182</v>
      </c>
      <c r="B229" s="6" t="s">
        <v>260</v>
      </c>
      <c r="C229" s="6" t="s">
        <v>9</v>
      </c>
      <c r="D229" s="6" t="s">
        <v>488</v>
      </c>
      <c r="E229" s="73" t="n">
        <v>4.7</v>
      </c>
      <c r="F229" s="56" t="n">
        <f aca="false">Narxlar!$C$90</f>
        <v>1</v>
      </c>
      <c r="G229" s="74" t="n">
        <f aca="false">E229*F229</f>
        <v>4.7</v>
      </c>
      <c r="H229" s="5" t="s">
        <v>318</v>
      </c>
      <c r="I229" s="7" t="n">
        <f aca="false">Narxlar!$C$6</f>
        <v>12</v>
      </c>
      <c r="J229" s="76" t="n">
        <f aca="false">G229*I229</f>
        <v>56.4</v>
      </c>
      <c r="K229" s="24" t="s">
        <v>125</v>
      </c>
    </row>
    <row r="230" customFormat="false" ht="15" hidden="false" customHeight="false" outlineLevel="0" collapsed="false">
      <c r="A230" s="5" t="n">
        <v>183</v>
      </c>
      <c r="B230" s="6" t="s">
        <v>260</v>
      </c>
      <c r="C230" s="6" t="s">
        <v>9</v>
      </c>
      <c r="D230" s="6" t="s">
        <v>489</v>
      </c>
      <c r="E230" s="73" t="n">
        <v>0.35</v>
      </c>
      <c r="F230" s="56" t="n">
        <f aca="false">Narxlar!$C$88</f>
        <v>3.5</v>
      </c>
      <c r="G230" s="74" t="n">
        <f aca="false">E230*F230</f>
        <v>1.225</v>
      </c>
      <c r="H230" s="5" t="s">
        <v>318</v>
      </c>
      <c r="I230" s="7" t="n">
        <f aca="false">Narxlar!$C$6</f>
        <v>12</v>
      </c>
      <c r="J230" s="76" t="n">
        <f aca="false">G230*I230</f>
        <v>14.7</v>
      </c>
      <c r="K230" s="24" t="s">
        <v>125</v>
      </c>
    </row>
    <row r="231" customFormat="false" ht="15" hidden="false" customHeight="false" outlineLevel="0" collapsed="false">
      <c r="A231" s="5" t="n">
        <v>184</v>
      </c>
      <c r="B231" s="6" t="s">
        <v>260</v>
      </c>
      <c r="C231" s="6" t="s">
        <v>9</v>
      </c>
      <c r="D231" s="6" t="s">
        <v>489</v>
      </c>
      <c r="E231" s="73" t="n">
        <v>0.1</v>
      </c>
      <c r="F231" s="56" t="n">
        <f aca="false">Narxlar!$C$88</f>
        <v>3.5</v>
      </c>
      <c r="G231" s="74" t="n">
        <f aca="false">E231*F231</f>
        <v>0.35</v>
      </c>
      <c r="H231" s="5" t="s">
        <v>318</v>
      </c>
      <c r="I231" s="7" t="n">
        <f aca="false">Narxlar!$C$6</f>
        <v>12</v>
      </c>
      <c r="J231" s="76" t="n">
        <f aca="false">G231*I231</f>
        <v>4.2</v>
      </c>
      <c r="K231" s="24" t="s">
        <v>125</v>
      </c>
    </row>
    <row r="232" customFormat="false" ht="15" hidden="false" customHeight="false" outlineLevel="0" collapsed="false">
      <c r="A232" s="5" t="n">
        <v>185</v>
      </c>
      <c r="B232" s="6" t="s">
        <v>260</v>
      </c>
      <c r="C232" s="6" t="s">
        <v>9</v>
      </c>
      <c r="D232" s="6" t="s">
        <v>490</v>
      </c>
      <c r="E232" s="56" t="n">
        <f aca="false">Narxlar!$C$93</f>
        <v>0.9</v>
      </c>
      <c r="F232" s="56" t="n">
        <f aca="false">Narxlar!$C$90</f>
        <v>1</v>
      </c>
      <c r="G232" s="74" t="n">
        <f aca="false">E232*F232</f>
        <v>0.9</v>
      </c>
      <c r="H232" s="5" t="s">
        <v>318</v>
      </c>
      <c r="I232" s="7" t="n">
        <f aca="false">Narxlar!$C$6</f>
        <v>12</v>
      </c>
      <c r="J232" s="76" t="n">
        <f aca="false">G232*I232</f>
        <v>10.8</v>
      </c>
      <c r="K232" s="24" t="s">
        <v>125</v>
      </c>
    </row>
    <row r="233" customFormat="false" ht="15" hidden="false" customHeight="false" outlineLevel="0" collapsed="false">
      <c r="A233" s="5" t="n">
        <v>186</v>
      </c>
      <c r="B233" s="6" t="s">
        <v>260</v>
      </c>
      <c r="C233" s="6" t="s">
        <v>9</v>
      </c>
      <c r="D233" s="6" t="s">
        <v>491</v>
      </c>
      <c r="E233" s="56" t="n">
        <f aca="false">Narxlar!$C$93</f>
        <v>0.9</v>
      </c>
      <c r="F233" s="56" t="n">
        <f aca="false">Narxlar!$C$90</f>
        <v>1</v>
      </c>
      <c r="G233" s="74" t="n">
        <f aca="false">E233*F233</f>
        <v>0.9</v>
      </c>
      <c r="H233" s="5" t="s">
        <v>318</v>
      </c>
      <c r="I233" s="7" t="n">
        <f aca="false">Narxlar!$C$6</f>
        <v>12</v>
      </c>
      <c r="J233" s="76" t="n">
        <f aca="false">G233*I233</f>
        <v>10.8</v>
      </c>
      <c r="K233" s="24" t="s">
        <v>125</v>
      </c>
    </row>
    <row r="234" customFormat="false" ht="15" hidden="false" customHeight="false" outlineLevel="0" collapsed="false">
      <c r="A234" s="5" t="n">
        <v>187</v>
      </c>
      <c r="B234" s="6" t="s">
        <v>260</v>
      </c>
      <c r="C234" s="6" t="s">
        <v>9</v>
      </c>
      <c r="D234" s="6" t="s">
        <v>492</v>
      </c>
      <c r="E234" s="56" t="n">
        <f aca="false">Narxlar!$C$93</f>
        <v>0.9</v>
      </c>
      <c r="F234" s="56" t="n">
        <f aca="false">Narxlar!$C$90</f>
        <v>1</v>
      </c>
      <c r="G234" s="74" t="n">
        <f aca="false">E234*F234</f>
        <v>0.9</v>
      </c>
      <c r="H234" s="5" t="s">
        <v>318</v>
      </c>
      <c r="I234" s="7" t="n">
        <f aca="false">Narxlar!$C$6</f>
        <v>12</v>
      </c>
      <c r="J234" s="76" t="n">
        <f aca="false">G234*I234</f>
        <v>10.8</v>
      </c>
      <c r="K234" s="24" t="s">
        <v>125</v>
      </c>
    </row>
    <row r="235" customFormat="false" ht="15" hidden="false" customHeight="false" outlineLevel="0" collapsed="false">
      <c r="A235" s="5" t="n">
        <v>188</v>
      </c>
      <c r="B235" s="6" t="s">
        <v>260</v>
      </c>
      <c r="C235" s="6" t="s">
        <v>9</v>
      </c>
      <c r="D235" s="6" t="s">
        <v>493</v>
      </c>
      <c r="E235" s="56" t="n">
        <f aca="false">Narxlar!$C$93</f>
        <v>0.9</v>
      </c>
      <c r="F235" s="56" t="n">
        <f aca="false">Narxlar!$C$90</f>
        <v>1</v>
      </c>
      <c r="G235" s="74" t="n">
        <f aca="false">E235*F235</f>
        <v>0.9</v>
      </c>
      <c r="H235" s="5" t="s">
        <v>318</v>
      </c>
      <c r="I235" s="7" t="n">
        <f aca="false">Narxlar!$C$6</f>
        <v>12</v>
      </c>
      <c r="J235" s="76" t="n">
        <f aca="false">G235*I235</f>
        <v>10.8</v>
      </c>
      <c r="K235" s="24" t="s">
        <v>125</v>
      </c>
    </row>
    <row r="236" customFormat="false" ht="15" hidden="false" customHeight="false" outlineLevel="0" collapsed="false">
      <c r="A236" s="5" t="n">
        <v>189</v>
      </c>
      <c r="B236" s="6" t="s">
        <v>260</v>
      </c>
      <c r="C236" s="6" t="s">
        <v>9</v>
      </c>
      <c r="D236" s="6" t="s">
        <v>494</v>
      </c>
      <c r="E236" s="56" t="n">
        <f aca="false">Narxlar!$C$93</f>
        <v>0.9</v>
      </c>
      <c r="F236" s="56" t="n">
        <f aca="false">Narxlar!$C$90</f>
        <v>1</v>
      </c>
      <c r="G236" s="74" t="n">
        <f aca="false">E236*F236</f>
        <v>0.9</v>
      </c>
      <c r="H236" s="5" t="s">
        <v>318</v>
      </c>
      <c r="I236" s="7" t="n">
        <f aca="false">Narxlar!$C$6</f>
        <v>12</v>
      </c>
      <c r="J236" s="76" t="n">
        <f aca="false">G236*I236</f>
        <v>10.8</v>
      </c>
      <c r="K236" s="24" t="s">
        <v>125</v>
      </c>
    </row>
    <row r="237" customFormat="false" ht="15" hidden="false" customHeight="false" outlineLevel="0" collapsed="false">
      <c r="A237" s="5" t="n">
        <v>190</v>
      </c>
      <c r="B237" s="6" t="s">
        <v>260</v>
      </c>
      <c r="C237" s="6" t="s">
        <v>9</v>
      </c>
      <c r="D237" s="6" t="s">
        <v>495</v>
      </c>
      <c r="E237" s="56" t="n">
        <f aca="false">Narxlar!$C$93</f>
        <v>0.9</v>
      </c>
      <c r="F237" s="56" t="n">
        <f aca="false">Narxlar!$C$90</f>
        <v>1</v>
      </c>
      <c r="G237" s="74" t="n">
        <f aca="false">E237*F237</f>
        <v>0.9</v>
      </c>
      <c r="H237" s="5" t="s">
        <v>318</v>
      </c>
      <c r="I237" s="7" t="n">
        <f aca="false">Narxlar!$C$6</f>
        <v>12</v>
      </c>
      <c r="J237" s="76" t="n">
        <f aca="false">G237*I237</f>
        <v>10.8</v>
      </c>
      <c r="K237" s="24" t="s">
        <v>125</v>
      </c>
    </row>
    <row r="238" customFormat="false" ht="15" hidden="false" customHeight="false" outlineLevel="0" collapsed="false">
      <c r="A238" s="5" t="n">
        <v>191</v>
      </c>
      <c r="B238" s="6" t="s">
        <v>260</v>
      </c>
      <c r="C238" s="6" t="s">
        <v>13</v>
      </c>
      <c r="D238" s="6" t="s">
        <v>476</v>
      </c>
      <c r="E238" s="73"/>
      <c r="F238" s="74"/>
      <c r="G238" s="75" t="n">
        <v>1</v>
      </c>
      <c r="H238" s="5" t="s">
        <v>396</v>
      </c>
      <c r="I238" s="7" t="n">
        <f aca="false">Narxlar!$C$11</f>
        <v>336</v>
      </c>
      <c r="J238" s="76" t="n">
        <f aca="false">G238*I238</f>
        <v>336</v>
      </c>
      <c r="K238" s="24" t="s">
        <v>163</v>
      </c>
    </row>
    <row r="239" customFormat="false" ht="15" hidden="false" customHeight="false" outlineLevel="0" collapsed="false">
      <c r="A239" s="5" t="n">
        <v>192</v>
      </c>
      <c r="B239" s="6" t="s">
        <v>260</v>
      </c>
      <c r="C239" s="6" t="s">
        <v>22</v>
      </c>
      <c r="D239" s="6" t="s">
        <v>477</v>
      </c>
      <c r="E239" s="73"/>
      <c r="F239" s="74"/>
      <c r="G239" s="75" t="n">
        <v>1</v>
      </c>
      <c r="H239" s="5" t="s">
        <v>291</v>
      </c>
      <c r="I239" s="7" t="n">
        <f aca="false">Narxlar!$C$82</f>
        <v>250</v>
      </c>
      <c r="J239" s="76" t="n">
        <f aca="false">G239*I239</f>
        <v>250</v>
      </c>
      <c r="K239" s="24" t="s">
        <v>187</v>
      </c>
    </row>
    <row r="240" customFormat="false" ht="15" hidden="false" customHeight="false" outlineLevel="0" collapsed="false">
      <c r="A240" s="5" t="n">
        <v>193</v>
      </c>
      <c r="B240" s="6" t="s">
        <v>260</v>
      </c>
      <c r="C240" s="6" t="s">
        <v>22</v>
      </c>
      <c r="D240" s="6" t="s">
        <v>478</v>
      </c>
      <c r="E240" s="73"/>
      <c r="F240" s="74"/>
      <c r="G240" s="75" t="n">
        <v>1</v>
      </c>
      <c r="H240" s="5" t="s">
        <v>396</v>
      </c>
      <c r="I240" s="7" t="n">
        <f aca="false">Narxlar!$C$83</f>
        <v>300</v>
      </c>
      <c r="J240" s="76" t="n">
        <f aca="false">G240*I240</f>
        <v>300</v>
      </c>
      <c r="K240" s="24" t="s">
        <v>199</v>
      </c>
    </row>
    <row r="241" customFormat="false" ht="15" hidden="false" customHeight="false" outlineLevel="0" collapsed="false">
      <c r="A241" s="5" t="n">
        <v>194</v>
      </c>
      <c r="B241" s="6" t="s">
        <v>260</v>
      </c>
      <c r="C241" s="6" t="s">
        <v>22</v>
      </c>
      <c r="D241" s="6" t="s">
        <v>479</v>
      </c>
      <c r="E241" s="73"/>
      <c r="F241" s="74"/>
      <c r="G241" s="75" t="n">
        <v>1</v>
      </c>
      <c r="H241" s="5" t="s">
        <v>396</v>
      </c>
      <c r="I241" s="7" t="n">
        <f aca="false">Narxlar!$C$84</f>
        <v>800</v>
      </c>
      <c r="J241" s="76" t="n">
        <f aca="false">G241*I241</f>
        <v>800</v>
      </c>
      <c r="K241" s="24" t="s">
        <v>117</v>
      </c>
    </row>
    <row r="242" customFormat="false" ht="15" hidden="false" customHeight="false" outlineLevel="0" collapsed="false">
      <c r="A242" s="5" t="n">
        <v>195</v>
      </c>
      <c r="B242" s="6" t="s">
        <v>260</v>
      </c>
      <c r="C242" s="6" t="s">
        <v>22</v>
      </c>
      <c r="D242" s="6" t="s">
        <v>480</v>
      </c>
      <c r="E242" s="73"/>
      <c r="F242" s="74"/>
      <c r="G242" s="75" t="n">
        <v>1</v>
      </c>
      <c r="H242" s="5" t="s">
        <v>396</v>
      </c>
      <c r="I242" s="7" t="n">
        <f aca="false">Narxlar!$C$85</f>
        <v>250</v>
      </c>
      <c r="J242" s="76" t="n">
        <f aca="false">G242*I242</f>
        <v>250</v>
      </c>
      <c r="K242" s="24" t="s">
        <v>189</v>
      </c>
    </row>
    <row r="243" customFormat="false" ht="15" hidden="false" customHeight="false" outlineLevel="0" collapsed="false">
      <c r="A243" s="77"/>
      <c r="B243" s="77"/>
      <c r="C243" s="77"/>
      <c r="D243" s="11" t="s">
        <v>496</v>
      </c>
      <c r="E243" s="77"/>
      <c r="F243" s="77"/>
      <c r="G243" s="77"/>
      <c r="H243" s="77"/>
      <c r="I243" s="77"/>
      <c r="J243" s="12" t="n">
        <f aca="false">SUM(J218:J242)</f>
        <v>2364.4</v>
      </c>
    </row>
    <row r="245" customFormat="false" ht="15" hidden="false" customHeight="false" outlineLevel="0" collapsed="false">
      <c r="A245" s="54" t="s">
        <v>261</v>
      </c>
      <c r="B245" s="55"/>
      <c r="C245" s="55"/>
      <c r="D245" s="55"/>
      <c r="E245" s="55"/>
      <c r="F245" s="55"/>
      <c r="G245" s="55"/>
      <c r="H245" s="55"/>
      <c r="I245" s="55"/>
      <c r="J245" s="55"/>
    </row>
    <row r="246" customFormat="false" ht="15" hidden="false" customHeight="false" outlineLevel="0" collapsed="false">
      <c r="A246" s="5" t="n">
        <v>196</v>
      </c>
      <c r="B246" s="6" t="s">
        <v>261</v>
      </c>
      <c r="C246" s="6" t="s">
        <v>9</v>
      </c>
      <c r="D246" s="6" t="s">
        <v>497</v>
      </c>
      <c r="E246" s="73" t="n">
        <v>0.4</v>
      </c>
      <c r="F246" s="56" t="n">
        <f aca="false">Narxlar!$C$88</f>
        <v>3.5</v>
      </c>
      <c r="G246" s="74" t="n">
        <f aca="false">E246*F246</f>
        <v>1.4</v>
      </c>
      <c r="H246" s="5" t="s">
        <v>318</v>
      </c>
      <c r="I246" s="7" t="n">
        <f aca="false">Narxlar!$C$6</f>
        <v>12</v>
      </c>
      <c r="J246" s="76" t="n">
        <f aca="false">G246*I246</f>
        <v>16.8</v>
      </c>
      <c r="K246" s="24" t="s">
        <v>125</v>
      </c>
    </row>
    <row r="247" customFormat="false" ht="15" hidden="false" customHeight="false" outlineLevel="0" collapsed="false">
      <c r="A247" s="5" t="n">
        <v>197</v>
      </c>
      <c r="B247" s="6" t="s">
        <v>261</v>
      </c>
      <c r="C247" s="6" t="s">
        <v>9</v>
      </c>
      <c r="D247" s="6" t="s">
        <v>452</v>
      </c>
      <c r="E247" s="73" t="n">
        <v>0.7</v>
      </c>
      <c r="F247" s="56" t="n">
        <f aca="false">Narxlar!$C$88</f>
        <v>3.5</v>
      </c>
      <c r="G247" s="74" t="n">
        <f aca="false">E247*F247</f>
        <v>2.45</v>
      </c>
      <c r="H247" s="5" t="s">
        <v>318</v>
      </c>
      <c r="I247" s="7" t="n">
        <f aca="false">Narxlar!$C$6</f>
        <v>12</v>
      </c>
      <c r="J247" s="76" t="n">
        <f aca="false">G247*I247</f>
        <v>29.4</v>
      </c>
      <c r="K247" s="24" t="s">
        <v>125</v>
      </c>
    </row>
    <row r="248" customFormat="false" ht="15" hidden="false" customHeight="false" outlineLevel="0" collapsed="false">
      <c r="A248" s="5" t="n">
        <v>198</v>
      </c>
      <c r="B248" s="6" t="s">
        <v>261</v>
      </c>
      <c r="C248" s="6" t="s">
        <v>9</v>
      </c>
      <c r="D248" s="6" t="s">
        <v>430</v>
      </c>
      <c r="E248" s="73" t="n">
        <v>1.65</v>
      </c>
      <c r="F248" s="56" t="n">
        <f aca="false">Narxlar!$C$88</f>
        <v>3.5</v>
      </c>
      <c r="G248" s="74" t="n">
        <f aca="false">E248*F248</f>
        <v>5.775</v>
      </c>
      <c r="H248" s="5" t="s">
        <v>318</v>
      </c>
      <c r="I248" s="7" t="n">
        <f aca="false">Narxlar!$C$6</f>
        <v>12</v>
      </c>
      <c r="J248" s="76" t="n">
        <f aca="false">G248*I248</f>
        <v>69.3</v>
      </c>
      <c r="K248" s="24" t="s">
        <v>125</v>
      </c>
    </row>
    <row r="249" customFormat="false" ht="15" hidden="false" customHeight="false" outlineLevel="0" collapsed="false">
      <c r="A249" s="5" t="n">
        <v>199</v>
      </c>
      <c r="B249" s="6" t="s">
        <v>261</v>
      </c>
      <c r="C249" s="6" t="s">
        <v>13</v>
      </c>
      <c r="D249" s="6" t="s">
        <v>476</v>
      </c>
      <c r="E249" s="73"/>
      <c r="F249" s="74"/>
      <c r="G249" s="75" t="n">
        <v>1</v>
      </c>
      <c r="H249" s="5" t="s">
        <v>396</v>
      </c>
      <c r="I249" s="7" t="n">
        <f aca="false">Narxlar!$C$11</f>
        <v>336</v>
      </c>
      <c r="J249" s="76" t="n">
        <f aca="false">G249*I249</f>
        <v>336</v>
      </c>
      <c r="K249" s="24" t="s">
        <v>163</v>
      </c>
    </row>
    <row r="250" customFormat="false" ht="15" hidden="false" customHeight="false" outlineLevel="0" collapsed="false">
      <c r="A250" s="5" t="n">
        <v>200</v>
      </c>
      <c r="B250" s="6" t="s">
        <v>261</v>
      </c>
      <c r="C250" s="6" t="s">
        <v>22</v>
      </c>
      <c r="D250" s="6" t="s">
        <v>498</v>
      </c>
      <c r="E250" s="73"/>
      <c r="F250" s="74"/>
      <c r="G250" s="75" t="n">
        <v>1</v>
      </c>
      <c r="H250" s="5" t="s">
        <v>396</v>
      </c>
      <c r="I250" s="7" t="n">
        <f aca="false">Narxlar!$C$73</f>
        <v>700</v>
      </c>
      <c r="J250" s="76" t="n">
        <f aca="false">G250*I250</f>
        <v>700</v>
      </c>
      <c r="K250" s="24" t="s">
        <v>143</v>
      </c>
    </row>
    <row r="251" customFormat="false" ht="15" hidden="false" customHeight="false" outlineLevel="0" collapsed="false">
      <c r="A251" s="5" t="n">
        <v>201</v>
      </c>
      <c r="B251" s="6" t="s">
        <v>261</v>
      </c>
      <c r="C251" s="6" t="s">
        <v>22</v>
      </c>
      <c r="D251" s="6" t="s">
        <v>499</v>
      </c>
      <c r="E251" s="73"/>
      <c r="F251" s="74"/>
      <c r="G251" s="75" t="n">
        <v>1</v>
      </c>
      <c r="H251" s="5" t="s">
        <v>396</v>
      </c>
      <c r="I251" s="7" t="n">
        <f aca="false">Narxlar!$C$74</f>
        <v>450</v>
      </c>
      <c r="J251" s="76" t="n">
        <f aca="false">G251*I251</f>
        <v>450</v>
      </c>
      <c r="K251" s="24" t="s">
        <v>201</v>
      </c>
    </row>
    <row r="252" customFormat="false" ht="15" hidden="false" customHeight="false" outlineLevel="0" collapsed="false">
      <c r="A252" s="5" t="n">
        <v>202</v>
      </c>
      <c r="B252" s="6" t="s">
        <v>261</v>
      </c>
      <c r="C252" s="6" t="s">
        <v>22</v>
      </c>
      <c r="D252" s="6" t="s">
        <v>500</v>
      </c>
      <c r="E252" s="73"/>
      <c r="F252" s="74"/>
      <c r="G252" s="75" t="n">
        <v>1</v>
      </c>
      <c r="H252" s="5" t="s">
        <v>291</v>
      </c>
      <c r="I252" s="7" t="n">
        <f aca="false">Narxlar!$C$75</f>
        <v>600</v>
      </c>
      <c r="J252" s="76" t="n">
        <f aca="false">G252*I252</f>
        <v>600</v>
      </c>
      <c r="K252" s="24" t="s">
        <v>119</v>
      </c>
    </row>
    <row r="253" customFormat="false" ht="15" hidden="false" customHeight="false" outlineLevel="0" collapsed="false">
      <c r="A253" s="5" t="n">
        <v>203</v>
      </c>
      <c r="B253" s="6" t="s">
        <v>261</v>
      </c>
      <c r="C253" s="6" t="s">
        <v>22</v>
      </c>
      <c r="D253" s="6" t="s">
        <v>501</v>
      </c>
      <c r="E253" s="73"/>
      <c r="F253" s="74"/>
      <c r="G253" s="75" t="n">
        <v>1</v>
      </c>
      <c r="H253" s="5" t="s">
        <v>396</v>
      </c>
      <c r="I253" s="7" t="n">
        <f aca="false">Narxlar!$C$76</f>
        <v>450</v>
      </c>
      <c r="J253" s="76" t="n">
        <f aca="false">G253*I253</f>
        <v>450</v>
      </c>
      <c r="K253" s="24" t="s">
        <v>191</v>
      </c>
    </row>
    <row r="254" customFormat="false" ht="15" hidden="false" customHeight="false" outlineLevel="0" collapsed="false">
      <c r="A254" s="5" t="n">
        <v>204</v>
      </c>
      <c r="B254" s="6" t="s">
        <v>261</v>
      </c>
      <c r="C254" s="6" t="s">
        <v>22</v>
      </c>
      <c r="D254" s="6" t="s">
        <v>502</v>
      </c>
      <c r="E254" s="73"/>
      <c r="F254" s="74"/>
      <c r="G254" s="75" t="n">
        <v>1</v>
      </c>
      <c r="H254" s="5" t="s">
        <v>396</v>
      </c>
      <c r="I254" s="7" t="n">
        <f aca="false">Narxlar!$C$77</f>
        <v>60</v>
      </c>
      <c r="J254" s="76" t="n">
        <f aca="false">G254*I254</f>
        <v>60</v>
      </c>
      <c r="K254" s="24" t="s">
        <v>193</v>
      </c>
    </row>
    <row r="255" customFormat="false" ht="15" hidden="false" customHeight="false" outlineLevel="0" collapsed="false">
      <c r="A255" s="5" t="n">
        <v>205</v>
      </c>
      <c r="B255" s="6" t="s">
        <v>261</v>
      </c>
      <c r="C255" s="6" t="s">
        <v>22</v>
      </c>
      <c r="D255" s="6" t="s">
        <v>503</v>
      </c>
      <c r="E255" s="73"/>
      <c r="F255" s="74"/>
      <c r="G255" s="75" t="n">
        <v>1</v>
      </c>
      <c r="H255" s="5" t="s">
        <v>396</v>
      </c>
      <c r="I255" s="7" t="n">
        <f aca="false">Narxlar!$C$78</f>
        <v>500</v>
      </c>
      <c r="J255" s="76" t="n">
        <f aca="false">G255*I255</f>
        <v>500</v>
      </c>
      <c r="K255" s="24" t="s">
        <v>203</v>
      </c>
    </row>
    <row r="256" customFormat="false" ht="15" hidden="false" customHeight="false" outlineLevel="0" collapsed="false">
      <c r="A256" s="5" t="n">
        <v>206</v>
      </c>
      <c r="B256" s="6" t="s">
        <v>261</v>
      </c>
      <c r="C256" s="6" t="s">
        <v>22</v>
      </c>
      <c r="D256" s="6" t="s">
        <v>504</v>
      </c>
      <c r="E256" s="73"/>
      <c r="F256" s="74"/>
      <c r="G256" s="75" t="n">
        <v>1</v>
      </c>
      <c r="H256" s="5" t="s">
        <v>396</v>
      </c>
      <c r="I256" s="7" t="n">
        <f aca="false">Narxlar!$C$79</f>
        <v>250</v>
      </c>
      <c r="J256" s="76" t="n">
        <f aca="false">G256*I256</f>
        <v>250</v>
      </c>
      <c r="K256" s="24" t="s">
        <v>157</v>
      </c>
    </row>
    <row r="257" customFormat="false" ht="15" hidden="false" customHeight="false" outlineLevel="0" collapsed="false">
      <c r="A257" s="5" t="n">
        <v>207</v>
      </c>
      <c r="B257" s="6" t="s">
        <v>261</v>
      </c>
      <c r="C257" s="6" t="s">
        <v>22</v>
      </c>
      <c r="D257" s="6" t="s">
        <v>505</v>
      </c>
      <c r="E257" s="73"/>
      <c r="F257" s="74"/>
      <c r="G257" s="75" t="n">
        <v>1</v>
      </c>
      <c r="H257" s="5" t="s">
        <v>291</v>
      </c>
      <c r="I257" s="7" t="n">
        <f aca="false">Narxlar!$C$80</f>
        <v>300</v>
      </c>
      <c r="J257" s="76" t="n">
        <f aca="false">G257*I257</f>
        <v>300</v>
      </c>
      <c r="K257" s="24" t="s">
        <v>205</v>
      </c>
    </row>
    <row r="258" customFormat="false" ht="15" hidden="false" customHeight="false" outlineLevel="0" collapsed="false">
      <c r="A258" s="5" t="n">
        <v>208</v>
      </c>
      <c r="B258" s="6" t="s">
        <v>261</v>
      </c>
      <c r="C258" s="6" t="s">
        <v>22</v>
      </c>
      <c r="D258" s="6" t="s">
        <v>506</v>
      </c>
      <c r="E258" s="73"/>
      <c r="F258" s="74"/>
      <c r="G258" s="75" t="n">
        <v>1</v>
      </c>
      <c r="H258" s="5" t="s">
        <v>291</v>
      </c>
      <c r="I258" s="7" t="n">
        <f aca="false">Narxlar!$C$81</f>
        <v>100</v>
      </c>
      <c r="J258" s="76" t="n">
        <f aca="false">G258*I258</f>
        <v>100</v>
      </c>
      <c r="K258" s="24" t="s">
        <v>207</v>
      </c>
    </row>
    <row r="259" customFormat="false" ht="15" hidden="false" customHeight="false" outlineLevel="0" collapsed="false">
      <c r="A259" s="5" t="n">
        <v>209</v>
      </c>
      <c r="B259" s="6" t="s">
        <v>261</v>
      </c>
      <c r="C259" s="6" t="s">
        <v>23</v>
      </c>
      <c r="D259" s="6" t="s">
        <v>507</v>
      </c>
      <c r="E259" s="73"/>
      <c r="F259" s="74"/>
      <c r="G259" s="75" t="n">
        <v>1</v>
      </c>
      <c r="H259" s="5" t="s">
        <v>291</v>
      </c>
      <c r="I259" s="7" t="n">
        <f aca="false">Narxlar!$C$67</f>
        <v>120</v>
      </c>
      <c r="J259" s="76" t="n">
        <f aca="false">G259*I259</f>
        <v>120</v>
      </c>
      <c r="K259" s="24" t="s">
        <v>209</v>
      </c>
    </row>
    <row r="260" customFormat="false" ht="15" hidden="false" customHeight="false" outlineLevel="0" collapsed="false">
      <c r="A260" s="5" t="n">
        <v>210</v>
      </c>
      <c r="B260" s="6" t="s">
        <v>261</v>
      </c>
      <c r="C260" s="6" t="s">
        <v>23</v>
      </c>
      <c r="D260" s="6" t="s">
        <v>508</v>
      </c>
      <c r="E260" s="73"/>
      <c r="F260" s="74"/>
      <c r="G260" s="75" t="n">
        <v>1</v>
      </c>
      <c r="H260" s="5" t="s">
        <v>291</v>
      </c>
      <c r="I260" s="7" t="n">
        <f aca="false">Narxlar!$C$68</f>
        <v>250</v>
      </c>
      <c r="J260" s="76" t="n">
        <f aca="false">G260*I260</f>
        <v>250</v>
      </c>
      <c r="K260" s="24" t="s">
        <v>211</v>
      </c>
    </row>
    <row r="261" customFormat="false" ht="15" hidden="false" customHeight="false" outlineLevel="0" collapsed="false">
      <c r="A261" s="77"/>
      <c r="B261" s="77"/>
      <c r="C261" s="77"/>
      <c r="D261" s="11" t="s">
        <v>509</v>
      </c>
      <c r="E261" s="77"/>
      <c r="F261" s="77"/>
      <c r="G261" s="77"/>
      <c r="H261" s="77"/>
      <c r="I261" s="77"/>
      <c r="J261" s="12" t="n">
        <f aca="false">SUM(J246:J260)</f>
        <v>4231.5</v>
      </c>
    </row>
    <row r="263" customFormat="false" ht="15" hidden="false" customHeight="false" outlineLevel="0" collapsed="false">
      <c r="A263" s="54" t="s">
        <v>262</v>
      </c>
      <c r="B263" s="55"/>
      <c r="C263" s="55"/>
      <c r="D263" s="55"/>
      <c r="E263" s="55"/>
      <c r="F263" s="55"/>
      <c r="G263" s="55"/>
      <c r="H263" s="55"/>
      <c r="I263" s="55"/>
      <c r="J263" s="55"/>
    </row>
    <row r="264" customFormat="false" ht="15" hidden="false" customHeight="false" outlineLevel="0" collapsed="false">
      <c r="A264" s="5" t="n">
        <v>211</v>
      </c>
      <c r="B264" s="6" t="s">
        <v>262</v>
      </c>
      <c r="C264" s="6" t="s">
        <v>9</v>
      </c>
      <c r="D264" s="6" t="s">
        <v>430</v>
      </c>
      <c r="E264" s="73" t="n">
        <v>2.6</v>
      </c>
      <c r="F264" s="56" t="n">
        <f aca="false">Narxlar!$C$88</f>
        <v>3.5</v>
      </c>
      <c r="G264" s="74" t="n">
        <f aca="false">E264*F264</f>
        <v>9.1</v>
      </c>
      <c r="H264" s="5" t="s">
        <v>318</v>
      </c>
      <c r="I264" s="7" t="n">
        <f aca="false">Narxlar!$C$6</f>
        <v>12</v>
      </c>
      <c r="J264" s="76" t="n">
        <f aca="false">G264*I264</f>
        <v>109.2</v>
      </c>
      <c r="K264" s="24" t="s">
        <v>125</v>
      </c>
    </row>
    <row r="265" customFormat="false" ht="15" hidden="false" customHeight="false" outlineLevel="0" collapsed="false">
      <c r="A265" s="77"/>
      <c r="B265" s="77"/>
      <c r="C265" s="77"/>
      <c r="D265" s="11" t="s">
        <v>510</v>
      </c>
      <c r="E265" s="77"/>
      <c r="F265" s="77"/>
      <c r="G265" s="77"/>
      <c r="H265" s="77"/>
      <c r="I265" s="77"/>
      <c r="J265" s="12" t="n">
        <f aca="false">SUM(J264:J264)</f>
        <v>109.2</v>
      </c>
    </row>
    <row r="267" customFormat="false" ht="15" hidden="false" customHeight="false" outlineLevel="0" collapsed="false">
      <c r="A267" s="54" t="s">
        <v>263</v>
      </c>
      <c r="B267" s="55"/>
      <c r="C267" s="55"/>
      <c r="D267" s="55"/>
      <c r="E267" s="55"/>
      <c r="F267" s="55"/>
      <c r="G267" s="55"/>
      <c r="H267" s="55"/>
      <c r="I267" s="55"/>
      <c r="J267" s="55"/>
    </row>
    <row r="268" customFormat="false" ht="15" hidden="false" customHeight="false" outlineLevel="0" collapsed="false">
      <c r="A268" s="5" t="n">
        <v>212</v>
      </c>
      <c r="B268" s="6" t="s">
        <v>263</v>
      </c>
      <c r="C268" s="6" t="s">
        <v>12</v>
      </c>
      <c r="D268" s="6" t="s">
        <v>511</v>
      </c>
      <c r="E268" s="56" t="n">
        <f aca="false">Narxlar!$C$10</f>
        <v>24</v>
      </c>
      <c r="F268" s="74"/>
      <c r="G268" s="74" t="n">
        <f aca="false">E268</f>
        <v>24</v>
      </c>
      <c r="H268" s="5" t="s">
        <v>285</v>
      </c>
      <c r="I268" s="7" t="n">
        <f aca="false">Narxlar!$C$9</f>
        <v>84</v>
      </c>
      <c r="J268" s="76" t="n">
        <f aca="false">G268*I268</f>
        <v>2016</v>
      </c>
      <c r="K268" s="24" t="s">
        <v>160</v>
      </c>
    </row>
    <row r="269" customFormat="false" ht="15" hidden="false" customHeight="false" outlineLevel="0" collapsed="false">
      <c r="A269" s="5" t="n">
        <v>213</v>
      </c>
      <c r="B269" s="6" t="s">
        <v>263</v>
      </c>
      <c r="C269" s="6" t="s">
        <v>12</v>
      </c>
      <c r="D269" s="6" t="s">
        <v>512</v>
      </c>
      <c r="E269" s="73" t="n">
        <v>3.65</v>
      </c>
      <c r="F269" s="74"/>
      <c r="G269" s="74" t="n">
        <f aca="false">E269</f>
        <v>3.65</v>
      </c>
      <c r="H269" s="5" t="s">
        <v>285</v>
      </c>
      <c r="I269" s="7" t="n">
        <f aca="false">Narxlar!$C$9</f>
        <v>84</v>
      </c>
      <c r="J269" s="76" t="n">
        <f aca="false">G269*I269</f>
        <v>306.6</v>
      </c>
      <c r="K269" s="24" t="s">
        <v>160</v>
      </c>
    </row>
    <row r="270" customFormat="false" ht="15" hidden="false" customHeight="false" outlineLevel="0" collapsed="false">
      <c r="A270" s="77"/>
      <c r="B270" s="77"/>
      <c r="C270" s="77"/>
      <c r="D270" s="11" t="s">
        <v>513</v>
      </c>
      <c r="E270" s="77"/>
      <c r="F270" s="77"/>
      <c r="G270" s="77"/>
      <c r="H270" s="77"/>
      <c r="I270" s="77"/>
      <c r="J270" s="12" t="n">
        <f aca="false">SUM(J268:J269)</f>
        <v>2322.6</v>
      </c>
    </row>
    <row r="272" customFormat="false" ht="15" hidden="false" customHeight="false" outlineLevel="0" collapsed="false">
      <c r="A272" s="54" t="s">
        <v>264</v>
      </c>
      <c r="B272" s="55"/>
      <c r="C272" s="55"/>
      <c r="D272" s="55"/>
      <c r="E272" s="55"/>
      <c r="F272" s="55"/>
      <c r="G272" s="55"/>
      <c r="H272" s="55"/>
      <c r="I272" s="55"/>
      <c r="J272" s="55"/>
    </row>
    <row r="273" customFormat="false" ht="15" hidden="false" customHeight="false" outlineLevel="0" collapsed="false">
      <c r="A273" s="5" t="n">
        <v>214</v>
      </c>
      <c r="B273" s="6" t="s">
        <v>264</v>
      </c>
      <c r="C273" s="6" t="s">
        <v>14</v>
      </c>
      <c r="D273" s="6" t="s">
        <v>166</v>
      </c>
      <c r="E273" s="73"/>
      <c r="F273" s="74"/>
      <c r="G273" s="57" t="n">
        <f aca="false">Narxlar!$C$14</f>
        <v>16</v>
      </c>
      <c r="H273" s="5" t="s">
        <v>291</v>
      </c>
      <c r="I273" s="7" t="n">
        <f aca="false">Narxlar!$C$13</f>
        <v>40</v>
      </c>
      <c r="J273" s="76" t="n">
        <f aca="false">G273*I273</f>
        <v>640</v>
      </c>
      <c r="K273" s="24" t="s">
        <v>165</v>
      </c>
    </row>
    <row r="274" customFormat="false" ht="15" hidden="false" customHeight="false" outlineLevel="0" collapsed="false">
      <c r="A274" s="5" t="n">
        <v>215</v>
      </c>
      <c r="B274" s="6" t="s">
        <v>264</v>
      </c>
      <c r="C274" s="6" t="s">
        <v>14</v>
      </c>
      <c r="D274" s="6" t="s">
        <v>514</v>
      </c>
      <c r="E274" s="73"/>
      <c r="F274" s="74"/>
      <c r="G274" s="57" t="n">
        <f aca="false">Narxlar!$C$14</f>
        <v>16</v>
      </c>
      <c r="H274" s="5" t="s">
        <v>291</v>
      </c>
      <c r="I274" s="7" t="n">
        <f aca="false">Narxlar!$C$15</f>
        <v>21</v>
      </c>
      <c r="J274" s="76" t="n">
        <f aca="false">G274*I274</f>
        <v>336</v>
      </c>
      <c r="K274" s="24" t="s">
        <v>167</v>
      </c>
    </row>
    <row r="275" customFormat="false" ht="15" hidden="false" customHeight="false" outlineLevel="0" collapsed="false">
      <c r="A275" s="5" t="n">
        <v>216</v>
      </c>
      <c r="B275" s="6" t="s">
        <v>264</v>
      </c>
      <c r="C275" s="6" t="s">
        <v>14</v>
      </c>
      <c r="D275" s="6" t="s">
        <v>170</v>
      </c>
      <c r="E275" s="73"/>
      <c r="F275" s="74"/>
      <c r="G275" s="75" t="n">
        <v>1</v>
      </c>
      <c r="H275" s="5" t="s">
        <v>291</v>
      </c>
      <c r="I275" s="7" t="n">
        <f aca="false">Narxlar!$C$16</f>
        <v>840</v>
      </c>
      <c r="J275" s="76" t="n">
        <f aca="false">G275*I275</f>
        <v>840</v>
      </c>
      <c r="K275" s="24" t="s">
        <v>169</v>
      </c>
    </row>
    <row r="276" customFormat="false" ht="15" hidden="false" customHeight="false" outlineLevel="0" collapsed="false">
      <c r="A276" s="5" t="n">
        <v>217</v>
      </c>
      <c r="B276" s="6" t="s">
        <v>264</v>
      </c>
      <c r="C276" s="6" t="s">
        <v>14</v>
      </c>
      <c r="D276" s="6" t="s">
        <v>515</v>
      </c>
      <c r="E276" s="73"/>
      <c r="F276" s="74"/>
      <c r="G276" s="75" t="n">
        <v>1</v>
      </c>
      <c r="H276" s="5" t="s">
        <v>396</v>
      </c>
      <c r="I276" s="7" t="n">
        <f aca="false">Narxlar!$C$17</f>
        <v>303</v>
      </c>
      <c r="J276" s="76" t="n">
        <f aca="false">G276*I276</f>
        <v>303</v>
      </c>
      <c r="K276" s="24" t="s">
        <v>127</v>
      </c>
    </row>
    <row r="277" customFormat="false" ht="15" hidden="false" customHeight="false" outlineLevel="0" collapsed="false">
      <c r="A277" s="5" t="n">
        <v>218</v>
      </c>
      <c r="B277" s="6" t="s">
        <v>264</v>
      </c>
      <c r="C277" s="6" t="s">
        <v>15</v>
      </c>
      <c r="D277" s="6" t="s">
        <v>516</v>
      </c>
      <c r="E277" s="73"/>
      <c r="F277" s="74"/>
      <c r="G277" s="75" t="n">
        <v>1</v>
      </c>
      <c r="H277" s="5" t="s">
        <v>396</v>
      </c>
      <c r="I277" s="7" t="n">
        <f aca="false">Narxlar!$C$18</f>
        <v>2500</v>
      </c>
      <c r="J277" s="76" t="n">
        <f aca="false">G277*I277</f>
        <v>2500</v>
      </c>
      <c r="K277" s="24" t="s">
        <v>97</v>
      </c>
    </row>
    <row r="278" customFormat="false" ht="15" hidden="false" customHeight="false" outlineLevel="0" collapsed="false">
      <c r="A278" s="5" t="n">
        <v>219</v>
      </c>
      <c r="B278" s="6" t="s">
        <v>264</v>
      </c>
      <c r="C278" s="6" t="s">
        <v>16</v>
      </c>
      <c r="D278" s="6" t="s">
        <v>517</v>
      </c>
      <c r="E278" s="73"/>
      <c r="F278" s="74"/>
      <c r="G278" s="57" t="n">
        <f aca="false">Narxlar!$C$21</f>
        <v>8</v>
      </c>
      <c r="H278" s="5" t="s">
        <v>291</v>
      </c>
      <c r="I278" s="7" t="n">
        <f aca="false">Narxlar!$C$20/Narxlar!$C$19</f>
        <v>67.2268907563025</v>
      </c>
      <c r="J278" s="76" t="n">
        <f aca="false">G278*I278</f>
        <v>537.81512605042</v>
      </c>
      <c r="K278" s="24" t="s">
        <v>171</v>
      </c>
    </row>
    <row r="279" customFormat="false" ht="15" hidden="false" customHeight="false" outlineLevel="0" collapsed="false">
      <c r="A279" s="5" t="n">
        <v>220</v>
      </c>
      <c r="B279" s="6" t="s">
        <v>264</v>
      </c>
      <c r="C279" s="6" t="s">
        <v>17</v>
      </c>
      <c r="D279" s="6" t="s">
        <v>518</v>
      </c>
      <c r="E279" s="73"/>
      <c r="F279" s="74"/>
      <c r="G279" s="75" t="n">
        <v>1</v>
      </c>
      <c r="H279" s="5" t="s">
        <v>396</v>
      </c>
      <c r="I279" s="7" t="n">
        <f aca="false">Narxlar!$C$22/Narxlar!$C$19</f>
        <v>1512.60504201681</v>
      </c>
      <c r="J279" s="76" t="n">
        <f aca="false">G279*I279</f>
        <v>1512.60504201681</v>
      </c>
      <c r="K279" s="24" t="s">
        <v>129</v>
      </c>
    </row>
    <row r="280" customFormat="false" ht="15" hidden="false" customHeight="false" outlineLevel="0" collapsed="false">
      <c r="A280" s="5" t="n">
        <v>221</v>
      </c>
      <c r="B280" s="6" t="s">
        <v>264</v>
      </c>
      <c r="C280" s="6" t="s">
        <v>18</v>
      </c>
      <c r="D280" s="6" t="s">
        <v>519</v>
      </c>
      <c r="E280" s="73" t="n">
        <v>3.65</v>
      </c>
      <c r="F280" s="56" t="n">
        <f aca="false">Narxlar!$C$88</f>
        <v>3.5</v>
      </c>
      <c r="G280" s="74" t="n">
        <f aca="false">E280*F280</f>
        <v>12.775</v>
      </c>
      <c r="H280" s="5" t="s">
        <v>318</v>
      </c>
      <c r="I280" s="7" t="n">
        <f aca="false">Narxlar!$C$23/Narxlar!$C$19</f>
        <v>4.20168067226891</v>
      </c>
      <c r="J280" s="76" t="n">
        <f aca="false">G280*I280</f>
        <v>53.6764705882353</v>
      </c>
      <c r="K280" s="24" t="s">
        <v>121</v>
      </c>
    </row>
    <row r="281" customFormat="false" ht="15" hidden="false" customHeight="false" outlineLevel="0" collapsed="false">
      <c r="A281" s="5" t="n">
        <v>222</v>
      </c>
      <c r="B281" s="6" t="s">
        <v>264</v>
      </c>
      <c r="C281" s="6" t="s">
        <v>18</v>
      </c>
      <c r="D281" s="6" t="s">
        <v>520</v>
      </c>
      <c r="E281" s="73" t="n">
        <v>1.1</v>
      </c>
      <c r="F281" s="56" t="n">
        <f aca="false">Narxlar!$C$88</f>
        <v>3.5</v>
      </c>
      <c r="G281" s="74" t="n">
        <f aca="false">E281*F281</f>
        <v>3.85</v>
      </c>
      <c r="H281" s="5" t="s">
        <v>318</v>
      </c>
      <c r="I281" s="7" t="n">
        <f aca="false">Narxlar!$C$23/Narxlar!$C$19</f>
        <v>4.20168067226891</v>
      </c>
      <c r="J281" s="76" t="n">
        <f aca="false">G281*I281</f>
        <v>16.1764705882353</v>
      </c>
      <c r="K281" s="24" t="s">
        <v>121</v>
      </c>
    </row>
    <row r="282" customFormat="false" ht="15" hidden="false" customHeight="false" outlineLevel="0" collapsed="false">
      <c r="A282" s="5" t="n">
        <v>223</v>
      </c>
      <c r="B282" s="6" t="s">
        <v>264</v>
      </c>
      <c r="C282" s="6" t="s">
        <v>18</v>
      </c>
      <c r="D282" s="6" t="s">
        <v>521</v>
      </c>
      <c r="E282" s="73" t="n">
        <v>0.75</v>
      </c>
      <c r="F282" s="56" t="n">
        <f aca="false">Narxlar!$C$88</f>
        <v>3.5</v>
      </c>
      <c r="G282" s="74" t="n">
        <f aca="false">E282*F282</f>
        <v>2.625</v>
      </c>
      <c r="H282" s="5" t="s">
        <v>318</v>
      </c>
      <c r="I282" s="7" t="n">
        <f aca="false">Narxlar!$C$23/Narxlar!$C$19</f>
        <v>4.20168067226891</v>
      </c>
      <c r="J282" s="76" t="n">
        <f aca="false">G282*I282</f>
        <v>11.0294117647059</v>
      </c>
      <c r="K282" s="24" t="s">
        <v>121</v>
      </c>
    </row>
    <row r="283" customFormat="false" ht="15" hidden="false" customHeight="false" outlineLevel="0" collapsed="false">
      <c r="A283" s="5" t="n">
        <v>224</v>
      </c>
      <c r="B283" s="6" t="s">
        <v>264</v>
      </c>
      <c r="C283" s="6" t="s">
        <v>18</v>
      </c>
      <c r="D283" s="6" t="s">
        <v>521</v>
      </c>
      <c r="E283" s="73" t="n">
        <v>3.4</v>
      </c>
      <c r="F283" s="56" t="n">
        <f aca="false">Narxlar!$C$88</f>
        <v>3.5</v>
      </c>
      <c r="G283" s="74" t="n">
        <f aca="false">E283*F283</f>
        <v>11.9</v>
      </c>
      <c r="H283" s="5" t="s">
        <v>318</v>
      </c>
      <c r="I283" s="7" t="n">
        <f aca="false">Narxlar!$C$23/Narxlar!$C$19</f>
        <v>4.20168067226891</v>
      </c>
      <c r="J283" s="76" t="n">
        <f aca="false">G283*I283</f>
        <v>50</v>
      </c>
      <c r="K283" s="24" t="s">
        <v>121</v>
      </c>
    </row>
    <row r="284" customFormat="false" ht="15" hidden="false" customHeight="false" outlineLevel="0" collapsed="false">
      <c r="A284" s="5" t="n">
        <v>225</v>
      </c>
      <c r="B284" s="6" t="s">
        <v>264</v>
      </c>
      <c r="C284" s="6" t="s">
        <v>18</v>
      </c>
      <c r="D284" s="6" t="s">
        <v>522</v>
      </c>
      <c r="E284" s="73" t="n">
        <v>4.2</v>
      </c>
      <c r="F284" s="56" t="n">
        <f aca="false">Narxlar!$C$88</f>
        <v>3.5</v>
      </c>
      <c r="G284" s="74" t="n">
        <f aca="false">E284*F284</f>
        <v>14.7</v>
      </c>
      <c r="H284" s="5" t="s">
        <v>318</v>
      </c>
      <c r="I284" s="7" t="n">
        <f aca="false">Narxlar!$C$23/Narxlar!$C$19</f>
        <v>4.20168067226891</v>
      </c>
      <c r="J284" s="76" t="n">
        <f aca="false">G284*I284</f>
        <v>61.764705882353</v>
      </c>
      <c r="K284" s="24" t="s">
        <v>121</v>
      </c>
    </row>
    <row r="285" customFormat="false" ht="15" hidden="false" customHeight="false" outlineLevel="0" collapsed="false">
      <c r="A285" s="5" t="n">
        <v>226</v>
      </c>
      <c r="B285" s="6" t="s">
        <v>264</v>
      </c>
      <c r="C285" s="6" t="s">
        <v>18</v>
      </c>
      <c r="D285" s="6" t="s">
        <v>520</v>
      </c>
      <c r="E285" s="73" t="n">
        <v>1.5</v>
      </c>
      <c r="F285" s="56" t="n">
        <f aca="false">Narxlar!$C$88</f>
        <v>3.5</v>
      </c>
      <c r="G285" s="74" t="n">
        <f aca="false">E285*F285</f>
        <v>5.25</v>
      </c>
      <c r="H285" s="5" t="s">
        <v>318</v>
      </c>
      <c r="I285" s="7" t="n">
        <f aca="false">Narxlar!$C$23/Narxlar!$C$19</f>
        <v>4.20168067226891</v>
      </c>
      <c r="J285" s="76" t="n">
        <f aca="false">G285*I285</f>
        <v>22.0588235294118</v>
      </c>
      <c r="K285" s="24" t="s">
        <v>121</v>
      </c>
    </row>
    <row r="286" customFormat="false" ht="15" hidden="false" customHeight="false" outlineLevel="0" collapsed="false">
      <c r="A286" s="5" t="n">
        <v>227</v>
      </c>
      <c r="B286" s="6" t="s">
        <v>264</v>
      </c>
      <c r="C286" s="6" t="s">
        <v>18</v>
      </c>
      <c r="D286" s="6" t="s">
        <v>523</v>
      </c>
      <c r="E286" s="73" t="n">
        <v>0.2</v>
      </c>
      <c r="F286" s="56" t="n">
        <f aca="false">Narxlar!$C$88</f>
        <v>3.5</v>
      </c>
      <c r="G286" s="74" t="n">
        <f aca="false">E286*F286</f>
        <v>0.7</v>
      </c>
      <c r="H286" s="5" t="s">
        <v>318</v>
      </c>
      <c r="I286" s="7" t="n">
        <f aca="false">Narxlar!$C$23/Narxlar!$C$19</f>
        <v>4.20168067226891</v>
      </c>
      <c r="J286" s="76" t="n">
        <f aca="false">G286*I286</f>
        <v>2.94117647058824</v>
      </c>
      <c r="K286" s="24" t="s">
        <v>121</v>
      </c>
    </row>
    <row r="287" customFormat="false" ht="15" hidden="false" customHeight="false" outlineLevel="0" collapsed="false">
      <c r="A287" s="5" t="n">
        <v>228</v>
      </c>
      <c r="B287" s="6" t="s">
        <v>264</v>
      </c>
      <c r="C287" s="6" t="s">
        <v>18</v>
      </c>
      <c r="D287" s="6" t="s">
        <v>520</v>
      </c>
      <c r="E287" s="73" t="n">
        <v>1.5</v>
      </c>
      <c r="F287" s="56" t="n">
        <f aca="false">Narxlar!$C$88</f>
        <v>3.5</v>
      </c>
      <c r="G287" s="74" t="n">
        <f aca="false">E287*F287</f>
        <v>5.25</v>
      </c>
      <c r="H287" s="5" t="s">
        <v>318</v>
      </c>
      <c r="I287" s="7" t="n">
        <f aca="false">Narxlar!$C$23/Narxlar!$C$19</f>
        <v>4.20168067226891</v>
      </c>
      <c r="J287" s="76" t="n">
        <f aca="false">G287*I287</f>
        <v>22.0588235294118</v>
      </c>
      <c r="K287" s="24" t="s">
        <v>121</v>
      </c>
    </row>
    <row r="288" customFormat="false" ht="15" hidden="false" customHeight="false" outlineLevel="0" collapsed="false">
      <c r="A288" s="5" t="n">
        <v>229</v>
      </c>
      <c r="B288" s="6" t="s">
        <v>264</v>
      </c>
      <c r="C288" s="6" t="s">
        <v>18</v>
      </c>
      <c r="D288" s="6" t="s">
        <v>524</v>
      </c>
      <c r="E288" s="73"/>
      <c r="F288" s="74"/>
      <c r="G288" s="75" t="n">
        <v>1</v>
      </c>
      <c r="H288" s="5" t="s">
        <v>396</v>
      </c>
      <c r="I288" s="7" t="n">
        <f aca="false">Narxlar!$C$24/Narxlar!$C$19</f>
        <v>100.840336134454</v>
      </c>
      <c r="J288" s="76" t="n">
        <f aca="false">G288*I288</f>
        <v>100.840336134454</v>
      </c>
      <c r="K288" s="24" t="s">
        <v>123</v>
      </c>
    </row>
    <row r="289" customFormat="false" ht="15" hidden="false" customHeight="false" outlineLevel="0" collapsed="false">
      <c r="A289" s="5" t="n">
        <v>230</v>
      </c>
      <c r="B289" s="6" t="s">
        <v>264</v>
      </c>
      <c r="C289" s="6" t="s">
        <v>21</v>
      </c>
      <c r="D289" s="6" t="s">
        <v>525</v>
      </c>
      <c r="E289" s="73"/>
      <c r="F289" s="74"/>
      <c r="G289" s="57" t="n">
        <f aca="false">Narxlar!$C$53</f>
        <v>2</v>
      </c>
      <c r="H289" s="5" t="s">
        <v>291</v>
      </c>
      <c r="I289" s="7" t="n">
        <f aca="false">Narxlar!$C$52/Narxlar!$C$19</f>
        <v>2352.94117647059</v>
      </c>
      <c r="J289" s="76" t="n">
        <f aca="false">G289*I289</f>
        <v>4705.88235294118</v>
      </c>
      <c r="K289" s="24" t="s">
        <v>99</v>
      </c>
    </row>
    <row r="290" customFormat="false" ht="15" hidden="false" customHeight="false" outlineLevel="0" collapsed="false">
      <c r="A290" s="5" t="n">
        <v>231</v>
      </c>
      <c r="B290" s="6" t="s">
        <v>264</v>
      </c>
      <c r="C290" s="6" t="s">
        <v>21</v>
      </c>
      <c r="D290" s="6" t="s">
        <v>526</v>
      </c>
      <c r="E290" s="73"/>
      <c r="F290" s="74"/>
      <c r="G290" s="56" t="n">
        <f aca="false">Narxlar!$C$55</f>
        <v>211</v>
      </c>
      <c r="H290" s="5" t="s">
        <v>285</v>
      </c>
      <c r="I290" s="7" t="n">
        <f aca="false">Narxlar!$C$54/Narxlar!$C$19</f>
        <v>25.2100840336134</v>
      </c>
      <c r="J290" s="76" t="n">
        <f aca="false">G290*I290</f>
        <v>5319.32773109244</v>
      </c>
      <c r="K290" s="24" t="s">
        <v>141</v>
      </c>
    </row>
    <row r="291" customFormat="false" ht="15" hidden="false" customHeight="false" outlineLevel="0" collapsed="false">
      <c r="A291" s="77"/>
      <c r="B291" s="77"/>
      <c r="C291" s="77"/>
      <c r="D291" s="11" t="s">
        <v>527</v>
      </c>
      <c r="E291" s="77"/>
      <c r="F291" s="77"/>
      <c r="G291" s="77"/>
      <c r="H291" s="77"/>
      <c r="I291" s="77"/>
      <c r="J291" s="12" t="n">
        <f aca="false">SUM(J273:J290)</f>
        <v>17035.1764705882</v>
      </c>
    </row>
    <row r="293" customFormat="false" ht="15" hidden="false" customHeight="false" outlineLevel="0" collapsed="false">
      <c r="A293" s="54" t="s">
        <v>266</v>
      </c>
      <c r="B293" s="55"/>
      <c r="C293" s="55"/>
      <c r="D293" s="55"/>
      <c r="E293" s="55"/>
      <c r="F293" s="55"/>
      <c r="G293" s="55"/>
      <c r="H293" s="55"/>
      <c r="I293" s="55"/>
      <c r="J293" s="55"/>
    </row>
    <row r="294" customFormat="false" ht="15" hidden="false" customHeight="false" outlineLevel="0" collapsed="false">
      <c r="A294" s="5" t="n">
        <v>232</v>
      </c>
      <c r="B294" s="6" t="s">
        <v>266</v>
      </c>
      <c r="C294" s="6" t="s">
        <v>10</v>
      </c>
      <c r="D294" s="6" t="s">
        <v>528</v>
      </c>
      <c r="E294" s="73" t="n">
        <v>5.45</v>
      </c>
      <c r="F294" s="56" t="n">
        <f aca="false">Narxlar!$C$95</f>
        <v>2.5</v>
      </c>
      <c r="G294" s="74" t="n">
        <f aca="false">E294*F294</f>
        <v>13.625</v>
      </c>
      <c r="H294" s="5" t="s">
        <v>318</v>
      </c>
      <c r="I294" s="7" t="n">
        <f aca="false">Narxlar!$C$7</f>
        <v>15.5</v>
      </c>
      <c r="J294" s="76" t="n">
        <f aca="false">G294*I294</f>
        <v>211.1875</v>
      </c>
      <c r="K294" s="24" t="s">
        <v>146</v>
      </c>
    </row>
    <row r="295" customFormat="false" ht="15" hidden="false" customHeight="false" outlineLevel="0" collapsed="false">
      <c r="A295" s="5" t="n">
        <v>233</v>
      </c>
      <c r="B295" s="6" t="s">
        <v>266</v>
      </c>
      <c r="C295" s="6" t="s">
        <v>10</v>
      </c>
      <c r="D295" s="6" t="s">
        <v>529</v>
      </c>
      <c r="E295" s="73" t="n">
        <v>5.45</v>
      </c>
      <c r="F295" s="56" t="n">
        <f aca="false">Narxlar!$C$95</f>
        <v>2.5</v>
      </c>
      <c r="G295" s="74" t="n">
        <f aca="false">E295*F295</f>
        <v>13.625</v>
      </c>
      <c r="H295" s="5" t="s">
        <v>318</v>
      </c>
      <c r="I295" s="7" t="n">
        <f aca="false">Narxlar!$C$7</f>
        <v>15.5</v>
      </c>
      <c r="J295" s="76" t="n">
        <f aca="false">G295*I295</f>
        <v>211.1875</v>
      </c>
      <c r="K295" s="24" t="s">
        <v>146</v>
      </c>
    </row>
    <row r="296" customFormat="false" ht="15" hidden="false" customHeight="false" outlineLevel="0" collapsed="false">
      <c r="A296" s="5" t="n">
        <v>234</v>
      </c>
      <c r="B296" s="6" t="s">
        <v>266</v>
      </c>
      <c r="C296" s="6" t="s">
        <v>10</v>
      </c>
      <c r="D296" s="6" t="s">
        <v>530</v>
      </c>
      <c r="E296" s="73" t="n">
        <v>8.6</v>
      </c>
      <c r="F296" s="56" t="n">
        <f aca="false">Narxlar!$C$95</f>
        <v>2.5</v>
      </c>
      <c r="G296" s="74" t="n">
        <f aca="false">E296*F296</f>
        <v>21.5</v>
      </c>
      <c r="H296" s="5" t="s">
        <v>318</v>
      </c>
      <c r="I296" s="7" t="n">
        <f aca="false">Narxlar!$C$7</f>
        <v>15.5</v>
      </c>
      <c r="J296" s="76" t="n">
        <f aca="false">G296*I296</f>
        <v>333.25</v>
      </c>
      <c r="K296" s="24" t="s">
        <v>146</v>
      </c>
    </row>
    <row r="297" customFormat="false" ht="15" hidden="false" customHeight="false" outlineLevel="0" collapsed="false">
      <c r="A297" s="5" t="n">
        <v>235</v>
      </c>
      <c r="B297" s="6" t="s">
        <v>266</v>
      </c>
      <c r="C297" s="6" t="s">
        <v>10</v>
      </c>
      <c r="D297" s="6" t="s">
        <v>460</v>
      </c>
      <c r="E297" s="56" t="n">
        <f aca="false">Narxlar!$C$93</f>
        <v>0.9</v>
      </c>
      <c r="F297" s="56" t="n">
        <f aca="false">Narxlar!$C$91</f>
        <v>2.1</v>
      </c>
      <c r="G297" s="74" t="n">
        <f aca="false">-E297*F297</f>
        <v>-1.89</v>
      </c>
      <c r="H297" s="5" t="s">
        <v>318</v>
      </c>
      <c r="I297" s="7" t="n">
        <f aca="false">Narxlar!$C$7</f>
        <v>15.5</v>
      </c>
      <c r="J297" s="76" t="n">
        <f aca="false">G297*I297</f>
        <v>-29.295</v>
      </c>
      <c r="K297" s="24" t="s">
        <v>146</v>
      </c>
    </row>
    <row r="298" customFormat="false" ht="15" hidden="false" customHeight="false" outlineLevel="0" collapsed="false">
      <c r="A298" s="5" t="n">
        <v>236</v>
      </c>
      <c r="B298" s="6" t="s">
        <v>266</v>
      </c>
      <c r="C298" s="6" t="s">
        <v>11</v>
      </c>
      <c r="D298" s="6" t="s">
        <v>531</v>
      </c>
      <c r="E298" s="73"/>
      <c r="F298" s="74"/>
      <c r="G298" s="75" t="n">
        <v>1</v>
      </c>
      <c r="H298" s="5" t="s">
        <v>291</v>
      </c>
      <c r="I298" s="7" t="n">
        <f aca="false">Narxlar!$C$8</f>
        <v>1032</v>
      </c>
      <c r="J298" s="76" t="n">
        <f aca="false">G298*I298</f>
        <v>1032</v>
      </c>
      <c r="K298" s="24" t="s">
        <v>159</v>
      </c>
    </row>
    <row r="299" customFormat="false" ht="15" hidden="false" customHeight="false" outlineLevel="0" collapsed="false">
      <c r="A299" s="5" t="n">
        <v>237</v>
      </c>
      <c r="B299" s="6" t="s">
        <v>266</v>
      </c>
      <c r="C299" s="6" t="s">
        <v>21</v>
      </c>
      <c r="D299" s="6" t="s">
        <v>532</v>
      </c>
      <c r="E299" s="73"/>
      <c r="F299" s="74"/>
      <c r="G299" s="75" t="n">
        <v>1</v>
      </c>
      <c r="H299" s="5" t="s">
        <v>291</v>
      </c>
      <c r="I299" s="7" t="n">
        <f aca="false">Narxlar!$C$58</f>
        <v>1000</v>
      </c>
      <c r="J299" s="76" t="n">
        <f aca="false">G299*I299</f>
        <v>1000</v>
      </c>
      <c r="K299" s="24" t="s">
        <v>155</v>
      </c>
    </row>
    <row r="300" customFormat="false" ht="15" hidden="false" customHeight="false" outlineLevel="0" collapsed="false">
      <c r="A300" s="77"/>
      <c r="B300" s="77"/>
      <c r="C300" s="77"/>
      <c r="D300" s="11" t="s">
        <v>533</v>
      </c>
      <c r="E300" s="77"/>
      <c r="F300" s="77"/>
      <c r="G300" s="77"/>
      <c r="H300" s="77"/>
      <c r="I300" s="77"/>
      <c r="J300" s="12" t="n">
        <f aca="false">SUM(J294:J299)</f>
        <v>2758.33</v>
      </c>
    </row>
    <row r="302" customFormat="false" ht="15" hidden="false" customHeight="false" outlineLevel="0" collapsed="false">
      <c r="A302" s="54" t="s">
        <v>267</v>
      </c>
      <c r="B302" s="55"/>
      <c r="C302" s="55"/>
      <c r="D302" s="55"/>
      <c r="E302" s="55"/>
      <c r="F302" s="55"/>
      <c r="G302" s="55"/>
      <c r="H302" s="55"/>
      <c r="I302" s="55"/>
      <c r="J302" s="55"/>
    </row>
    <row r="303" customFormat="false" ht="15" hidden="false" customHeight="false" outlineLevel="0" collapsed="false">
      <c r="A303" s="5" t="n">
        <v>238</v>
      </c>
      <c r="B303" s="6" t="s">
        <v>267</v>
      </c>
      <c r="C303" s="6" t="s">
        <v>19</v>
      </c>
      <c r="D303" s="6" t="s">
        <v>534</v>
      </c>
      <c r="E303" s="73"/>
      <c r="F303" s="74"/>
      <c r="G303" s="57" t="n">
        <f aca="false">Narxlar!$C$26</f>
        <v>3</v>
      </c>
      <c r="H303" s="5" t="s">
        <v>291</v>
      </c>
      <c r="I303" s="7" t="n">
        <f aca="false">Narxlar!$C$25/Narxlar!$C$19</f>
        <v>58.8235294117647</v>
      </c>
      <c r="J303" s="76" t="n">
        <f aca="false">G303*I303</f>
        <v>176.470588235294</v>
      </c>
      <c r="K303" s="24" t="s">
        <v>173</v>
      </c>
    </row>
    <row r="304" customFormat="false" ht="15" hidden="false" customHeight="false" outlineLevel="0" collapsed="false">
      <c r="A304" s="5" t="n">
        <v>239</v>
      </c>
      <c r="B304" s="6" t="s">
        <v>267</v>
      </c>
      <c r="C304" s="6" t="s">
        <v>19</v>
      </c>
      <c r="D304" s="6" t="s">
        <v>535</v>
      </c>
      <c r="E304" s="73"/>
      <c r="F304" s="74"/>
      <c r="G304" s="57" t="n">
        <f aca="false">Narxlar!$C$28</f>
        <v>3</v>
      </c>
      <c r="H304" s="5" t="s">
        <v>291</v>
      </c>
      <c r="I304" s="7" t="n">
        <f aca="false">Narxlar!$C$27/Narxlar!$C$19</f>
        <v>100.840336134454</v>
      </c>
      <c r="J304" s="76" t="n">
        <f aca="false">G304*I304</f>
        <v>302.521008403361</v>
      </c>
      <c r="K304" s="24" t="s">
        <v>175</v>
      </c>
    </row>
    <row r="305" customFormat="false" ht="15" hidden="false" customHeight="false" outlineLevel="0" collapsed="false">
      <c r="A305" s="5" t="n">
        <v>240</v>
      </c>
      <c r="B305" s="6" t="s">
        <v>267</v>
      </c>
      <c r="C305" s="6" t="s">
        <v>19</v>
      </c>
      <c r="D305" s="6" t="s">
        <v>536</v>
      </c>
      <c r="E305" s="73"/>
      <c r="F305" s="74"/>
      <c r="G305" s="57" t="n">
        <f aca="false">Narxlar!$C$30</f>
        <v>4</v>
      </c>
      <c r="H305" s="5" t="s">
        <v>291</v>
      </c>
      <c r="I305" s="7" t="n">
        <f aca="false">Narxlar!$C$29/Narxlar!$C$19</f>
        <v>54.6218487394958</v>
      </c>
      <c r="J305" s="76" t="n">
        <f aca="false">G305*I305</f>
        <v>218.487394957983</v>
      </c>
      <c r="K305" s="24" t="s">
        <v>177</v>
      </c>
    </row>
    <row r="306" customFormat="false" ht="15" hidden="false" customHeight="false" outlineLevel="0" collapsed="false">
      <c r="A306" s="5" t="n">
        <v>241</v>
      </c>
      <c r="B306" s="6" t="s">
        <v>267</v>
      </c>
      <c r="C306" s="6" t="s">
        <v>19</v>
      </c>
      <c r="D306" s="6" t="s">
        <v>537</v>
      </c>
      <c r="E306" s="73"/>
      <c r="F306" s="74"/>
      <c r="G306" s="57" t="n">
        <f aca="false">Narxlar!$C$32</f>
        <v>6</v>
      </c>
      <c r="H306" s="5" t="s">
        <v>291</v>
      </c>
      <c r="I306" s="7" t="n">
        <f aca="false">Narxlar!$C$31/Narxlar!$C$19</f>
        <v>16.8067226890756</v>
      </c>
      <c r="J306" s="76" t="n">
        <f aca="false">G306*I306</f>
        <v>100.840336134454</v>
      </c>
      <c r="K306" s="24" t="s">
        <v>179</v>
      </c>
    </row>
    <row r="307" customFormat="false" ht="15" hidden="false" customHeight="false" outlineLevel="0" collapsed="false">
      <c r="A307" s="5" t="n">
        <v>242</v>
      </c>
      <c r="B307" s="6" t="s">
        <v>267</v>
      </c>
      <c r="C307" s="6" t="s">
        <v>19</v>
      </c>
      <c r="D307" s="6" t="s">
        <v>538</v>
      </c>
      <c r="E307" s="73"/>
      <c r="F307" s="74"/>
      <c r="G307" s="57" t="n">
        <f aca="false">Narxlar!$C$34</f>
        <v>4</v>
      </c>
      <c r="H307" s="5" t="s">
        <v>291</v>
      </c>
      <c r="I307" s="7" t="n">
        <f aca="false">Narxlar!$C$33/Narxlar!$C$19</f>
        <v>33.6134453781513</v>
      </c>
      <c r="J307" s="76" t="n">
        <f aca="false">G307*I307</f>
        <v>134.453781512605</v>
      </c>
      <c r="K307" s="24" t="s">
        <v>181</v>
      </c>
    </row>
    <row r="308" customFormat="false" ht="15" hidden="false" customHeight="false" outlineLevel="0" collapsed="false">
      <c r="A308" s="5" t="n">
        <v>243</v>
      </c>
      <c r="B308" s="6" t="s">
        <v>267</v>
      </c>
      <c r="C308" s="6" t="s">
        <v>19</v>
      </c>
      <c r="D308" s="6" t="s">
        <v>539</v>
      </c>
      <c r="E308" s="73"/>
      <c r="F308" s="74"/>
      <c r="G308" s="57" t="n">
        <f aca="false">Narxlar!$C$36</f>
        <v>4</v>
      </c>
      <c r="H308" s="5" t="s">
        <v>291</v>
      </c>
      <c r="I308" s="7" t="n">
        <f aca="false">Narxlar!$C$35/Narxlar!$C$19</f>
        <v>33.6134453781513</v>
      </c>
      <c r="J308" s="76" t="n">
        <f aca="false">G308*I308</f>
        <v>134.453781512605</v>
      </c>
      <c r="K308" s="24" t="s">
        <v>183</v>
      </c>
    </row>
    <row r="309" customFormat="false" ht="15" hidden="false" customHeight="false" outlineLevel="0" collapsed="false">
      <c r="A309" s="5" t="n">
        <v>244</v>
      </c>
      <c r="B309" s="6" t="s">
        <v>267</v>
      </c>
      <c r="C309" s="6" t="s">
        <v>19</v>
      </c>
      <c r="D309" s="6" t="s">
        <v>540</v>
      </c>
      <c r="E309" s="73"/>
      <c r="F309" s="74"/>
      <c r="G309" s="57" t="n">
        <f aca="false">Narxlar!$C$38</f>
        <v>16</v>
      </c>
      <c r="H309" s="5" t="s">
        <v>316</v>
      </c>
      <c r="I309" s="7" t="n">
        <f aca="false">Narxlar!$C$37/Narxlar!$C$19</f>
        <v>84.0336134453782</v>
      </c>
      <c r="J309" s="76" t="n">
        <f aca="false">G309*I309</f>
        <v>1344.53781512605</v>
      </c>
      <c r="K309" s="24" t="s">
        <v>131</v>
      </c>
    </row>
    <row r="310" customFormat="false" ht="15" hidden="false" customHeight="false" outlineLevel="0" collapsed="false">
      <c r="A310" s="5" t="n">
        <v>245</v>
      </c>
      <c r="B310" s="6" t="s">
        <v>267</v>
      </c>
      <c r="C310" s="6" t="s">
        <v>19</v>
      </c>
      <c r="D310" s="6" t="s">
        <v>541</v>
      </c>
      <c r="E310" s="73"/>
      <c r="F310" s="74"/>
      <c r="G310" s="57" t="n">
        <f aca="false">Narxlar!$C$44</f>
        <v>4</v>
      </c>
      <c r="H310" s="5" t="s">
        <v>291</v>
      </c>
      <c r="I310" s="7" t="n">
        <f aca="false">Narxlar!$C$43/Narxlar!$C$19</f>
        <v>100.840336134454</v>
      </c>
      <c r="J310" s="76" t="n">
        <f aca="false">G310*I310</f>
        <v>403.361344537815</v>
      </c>
      <c r="K310" s="24" t="s">
        <v>185</v>
      </c>
    </row>
    <row r="311" customFormat="false" ht="15" hidden="false" customHeight="false" outlineLevel="0" collapsed="false">
      <c r="A311" s="5" t="n">
        <v>246</v>
      </c>
      <c r="B311" s="6" t="s">
        <v>267</v>
      </c>
      <c r="C311" s="6" t="s">
        <v>19</v>
      </c>
      <c r="D311" s="6" t="s">
        <v>134</v>
      </c>
      <c r="E311" s="73"/>
      <c r="F311" s="74"/>
      <c r="G311" s="56" t="n">
        <f aca="false">Narxlar!$C$46</f>
        <v>40</v>
      </c>
      <c r="H311" s="5" t="s">
        <v>285</v>
      </c>
      <c r="I311" s="7" t="n">
        <f aca="false">Narxlar!$C$45/Narxlar!$C$19</f>
        <v>2.10084033613445</v>
      </c>
      <c r="J311" s="76" t="n">
        <f aca="false">G311*I311</f>
        <v>84.0336134453782</v>
      </c>
      <c r="K311" s="24" t="s">
        <v>133</v>
      </c>
    </row>
    <row r="312" customFormat="false" ht="15" hidden="false" customHeight="false" outlineLevel="0" collapsed="false">
      <c r="A312" s="5" t="n">
        <v>247</v>
      </c>
      <c r="B312" s="6" t="s">
        <v>267</v>
      </c>
      <c r="C312" s="6" t="s">
        <v>19</v>
      </c>
      <c r="D312" s="6" t="s">
        <v>136</v>
      </c>
      <c r="E312" s="73"/>
      <c r="F312" s="74"/>
      <c r="G312" s="56" t="n">
        <f aca="false">Narxlar!$C$48</f>
        <v>40</v>
      </c>
      <c r="H312" s="5" t="s">
        <v>285</v>
      </c>
      <c r="I312" s="7" t="n">
        <f aca="false">Narxlar!$C$47/Narxlar!$C$19</f>
        <v>1.00840336134454</v>
      </c>
      <c r="J312" s="76" t="n">
        <f aca="false">G312*I312</f>
        <v>40.3361344537815</v>
      </c>
      <c r="K312" s="24" t="s">
        <v>135</v>
      </c>
    </row>
    <row r="313" customFormat="false" ht="15" hidden="false" customHeight="false" outlineLevel="0" collapsed="false">
      <c r="A313" s="5" t="n">
        <v>248</v>
      </c>
      <c r="B313" s="6" t="s">
        <v>267</v>
      </c>
      <c r="C313" s="6" t="s">
        <v>19</v>
      </c>
      <c r="D313" s="6" t="s">
        <v>138</v>
      </c>
      <c r="E313" s="73"/>
      <c r="F313" s="74"/>
      <c r="G313" s="57" t="n">
        <f aca="false">Narxlar!$C$50</f>
        <v>100</v>
      </c>
      <c r="H313" s="5" t="s">
        <v>291</v>
      </c>
      <c r="I313" s="7" t="n">
        <f aca="false">Narxlar!$C$49/Narxlar!$C$19</f>
        <v>0.420168067226891</v>
      </c>
      <c r="J313" s="76" t="n">
        <f aca="false">G313*I313</f>
        <v>42.0168067226891</v>
      </c>
      <c r="K313" s="24" t="s">
        <v>137</v>
      </c>
    </row>
    <row r="314" customFormat="false" ht="15" hidden="false" customHeight="false" outlineLevel="0" collapsed="false">
      <c r="A314" s="5" t="n">
        <v>249</v>
      </c>
      <c r="B314" s="6" t="s">
        <v>267</v>
      </c>
      <c r="C314" s="6" t="s">
        <v>19</v>
      </c>
      <c r="D314" s="6" t="s">
        <v>542</v>
      </c>
      <c r="E314" s="73"/>
      <c r="F314" s="74"/>
      <c r="G314" s="75" t="n">
        <v>1</v>
      </c>
      <c r="H314" s="5" t="s">
        <v>396</v>
      </c>
      <c r="I314" s="7" t="n">
        <f aca="false">Narxlar!$C$51/Narxlar!$C$19</f>
        <v>336.134453781513</v>
      </c>
      <c r="J314" s="76" t="n">
        <f aca="false">G314*I314</f>
        <v>336.134453781513</v>
      </c>
      <c r="K314" s="24" t="s">
        <v>139</v>
      </c>
    </row>
    <row r="315" customFormat="false" ht="15" hidden="false" customHeight="false" outlineLevel="0" collapsed="false">
      <c r="A315" s="5" t="n">
        <v>250</v>
      </c>
      <c r="B315" s="6" t="s">
        <v>267</v>
      </c>
      <c r="C315" s="6" t="s">
        <v>20</v>
      </c>
      <c r="D315" s="6" t="s">
        <v>543</v>
      </c>
      <c r="E315" s="73"/>
      <c r="F315" s="74"/>
      <c r="G315" s="56" t="n">
        <f aca="false">Narxlar!$C$41</f>
        <v>58</v>
      </c>
      <c r="H315" s="5" t="s">
        <v>318</v>
      </c>
      <c r="I315" s="7" t="n">
        <f aca="false">Narxlar!$C$39/Narxlar!$C$19</f>
        <v>8.40336134453782</v>
      </c>
      <c r="J315" s="76" t="n">
        <f aca="false">G315*I315</f>
        <v>487.394957983193</v>
      </c>
      <c r="K315" s="24" t="s">
        <v>147</v>
      </c>
    </row>
    <row r="316" customFormat="false" ht="15" hidden="false" customHeight="false" outlineLevel="0" collapsed="false">
      <c r="A316" s="5" t="n">
        <v>251</v>
      </c>
      <c r="B316" s="6" t="s">
        <v>267</v>
      </c>
      <c r="C316" s="6" t="s">
        <v>20</v>
      </c>
      <c r="D316" s="6" t="s">
        <v>544</v>
      </c>
      <c r="E316" s="73"/>
      <c r="F316" s="74"/>
      <c r="G316" s="56" t="n">
        <f aca="false">Narxlar!$C$41</f>
        <v>58</v>
      </c>
      <c r="H316" s="5" t="s">
        <v>318</v>
      </c>
      <c r="I316" s="7" t="n">
        <f aca="false">Narxlar!$C$40/Narxlar!$C$19</f>
        <v>8.40336134453782</v>
      </c>
      <c r="J316" s="76" t="n">
        <f aca="false">G316*I316</f>
        <v>487.394957983193</v>
      </c>
      <c r="K316" s="24" t="s">
        <v>149</v>
      </c>
    </row>
    <row r="317" customFormat="false" ht="15" hidden="false" customHeight="false" outlineLevel="0" collapsed="false">
      <c r="A317" s="5" t="n">
        <v>252</v>
      </c>
      <c r="B317" s="6" t="s">
        <v>267</v>
      </c>
      <c r="C317" s="6" t="s">
        <v>20</v>
      </c>
      <c r="D317" s="6" t="s">
        <v>545</v>
      </c>
      <c r="E317" s="73"/>
      <c r="F317" s="74"/>
      <c r="G317" s="56" t="n">
        <f aca="false">Narxlar!$C$42</f>
        <v>16</v>
      </c>
      <c r="H317" s="5" t="s">
        <v>318</v>
      </c>
      <c r="I317" s="7" t="n">
        <f aca="false">Narxlar!$C$39/Narxlar!$C$19</f>
        <v>8.40336134453782</v>
      </c>
      <c r="J317" s="76" t="n">
        <f aca="false">G317*I317</f>
        <v>134.453781512605</v>
      </c>
      <c r="K317" s="24" t="s">
        <v>147</v>
      </c>
    </row>
    <row r="318" customFormat="false" ht="15" hidden="false" customHeight="false" outlineLevel="0" collapsed="false">
      <c r="A318" s="5" t="n">
        <v>253</v>
      </c>
      <c r="B318" s="6" t="s">
        <v>267</v>
      </c>
      <c r="C318" s="6" t="s">
        <v>20</v>
      </c>
      <c r="D318" s="6" t="s">
        <v>546</v>
      </c>
      <c r="E318" s="73"/>
      <c r="F318" s="74"/>
      <c r="G318" s="56" t="n">
        <f aca="false">Narxlar!$C$42</f>
        <v>16</v>
      </c>
      <c r="H318" s="5" t="s">
        <v>318</v>
      </c>
      <c r="I318" s="7" t="n">
        <f aca="false">Narxlar!$C$40/Narxlar!$C$19</f>
        <v>8.40336134453782</v>
      </c>
      <c r="J318" s="76" t="n">
        <f aca="false">G318*I318</f>
        <v>134.453781512605</v>
      </c>
      <c r="K318" s="24" t="s">
        <v>149</v>
      </c>
    </row>
    <row r="319" customFormat="false" ht="15" hidden="false" customHeight="false" outlineLevel="0" collapsed="false">
      <c r="A319" s="77"/>
      <c r="B319" s="77"/>
      <c r="C319" s="77"/>
      <c r="D319" s="11" t="s">
        <v>547</v>
      </c>
      <c r="E319" s="77"/>
      <c r="F319" s="77"/>
      <c r="G319" s="77"/>
      <c r="H319" s="77"/>
      <c r="I319" s="77"/>
      <c r="J319" s="12" t="n">
        <f aca="false">SUM(J303:J318)</f>
        <v>4561.34453781513</v>
      </c>
    </row>
    <row r="321" customFormat="false" ht="15" hidden="false" customHeight="false" outlineLevel="0" collapsed="false">
      <c r="A321" s="77"/>
      <c r="B321" s="77"/>
      <c r="C321" s="77"/>
      <c r="D321" s="11" t="s">
        <v>548</v>
      </c>
      <c r="E321" s="77"/>
      <c r="F321" s="77"/>
      <c r="G321" s="77"/>
      <c r="H321" s="77"/>
      <c r="I321" s="77"/>
      <c r="J321" s="12" t="n">
        <f aca="false">J13+J27+J40+J52+J71+J84+J99+J115+J134+J152+J167+J182+J189+J215+J243+J261+J265+J270+J291+J300+J319</f>
        <v>78373.9560084034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2026-10-14T07:47:05Z</dcterms:created>
  <dc:creator>openpyxl</dc:creator>
  <dc:description/>
  <dc:language>en-US</dc:language>
  <cp:lastModifiedBy/>
  <dcterms:modified xsi:type="dcterms:W3CDTF">2026-10-14T07:47:05Z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
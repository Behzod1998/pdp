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Yakuniy" sheetId="1" state="visible" r:id="rId3"/>
    <sheet name="Fazalar" sheetId="2" state="visible" r:id="rId4"/>
    <sheet name="Xonalar bo'yicha" sheetId="3" state="visible" r:id="rId5"/>
    <sheet name="Narxlar" sheetId="4" state="visible" r:id="rId6"/>
    <sheet name="Hisob (batafsil)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<sst xmlns="http://schemas.openxmlformats.org/spreadsheetml/2006/main" count="2459" uniqueCount="691">
  <si>
    <t xml:space="preserve">PDP Academy · Xadra filiali (1, 2 va 3-qavat): jami xarajatlar — yakuniy</t>
  </si>
  <si>
    <t xml:space="preserve">Barcha summalar «Hisob (batafsil)» varag'idan formulalar bilan olinadi; so'm — «Narxlar» varag'idagi kurs bo'yicha.</t>
  </si>
  <si>
    <t xml:space="preserve">1. Xarajat turlari bo'yicha</t>
  </si>
  <si>
    <t xml:space="preserve">№</t>
  </si>
  <si>
    <t xml:space="preserve">Xarajat turi</t>
  </si>
  <si>
    <t xml:space="preserve">Summa, $</t>
  </si>
  <si>
    <t xml:space="preserve">Summa, so'm</t>
  </si>
  <si>
    <t xml:space="preserve">Ulush</t>
  </si>
  <si>
    <t xml:space="preserve">Shisha devor</t>
  </si>
  <si>
    <t xml:space="preserve">Gips karton (GKL)</t>
  </si>
  <si>
    <t xml:space="preserve">Bambuk panel</t>
  </si>
  <si>
    <t xml:space="preserve">Interaktiv doska</t>
  </si>
  <si>
    <t xml:space="preserve">Perila</t>
  </si>
  <si>
    <t xml:space="preserve">Yoritish</t>
  </si>
  <si>
    <t xml:space="preserve">Kamera tizimi</t>
  </si>
  <si>
    <t xml:space="preserve">Logotip</t>
  </si>
  <si>
    <t xml:space="preserve">Matli plyonka</t>
  </si>
  <si>
    <t xml:space="preserve">Yong'in xavfsizligi</t>
  </si>
  <si>
    <t xml:space="preserve">Buzish ishlari</t>
  </si>
  <si>
    <t xml:space="preserve">Santexnika</t>
  </si>
  <si>
    <t xml:space="preserve">Kafel</t>
  </si>
  <si>
    <t xml:space="preserve">Konditsioner va ventilyatsiya</t>
  </si>
  <si>
    <t xml:space="preserve">Mebel va interyer</t>
  </si>
  <si>
    <t xml:space="preserve">E'lon va e'tirof doskalari</t>
  </si>
  <si>
    <t xml:space="preserve">Eshiklar</t>
  </si>
  <si>
    <t xml:space="preserve">Internet va Wi-Fi</t>
  </si>
  <si>
    <t xml:space="preserve">Elektr</t>
  </si>
  <si>
    <t xml:space="preserve">JAMI</t>
  </si>
  <si>
    <t xml:space="preserve">UMUMIY JAMI</t>
  </si>
  <si>
    <t xml:space="preserve">shundan taxminiy narxlar (mebel, interyer, koworking sahnasi, koridor oxiri dekori, doskalar, 1-qavat logotiplari, kanalli konditsionerlar, diffuzor va panjaralar, eshik mexanizmlari) — kutilmagan xarajatsiz</t>
  </si>
  <si>
    <t xml:space="preserve">2. Qavat va bo'limlar bo'yicha</t>
  </si>
  <si>
    <t xml:space="preserve">Bo'lim</t>
  </si>
  <si>
    <t xml:space="preserve">1-qavat: kirish zali</t>
  </si>
  <si>
    <t xml:space="preserve">2-qavat: o'quv xonalari</t>
  </si>
  <si>
    <t xml:space="preserve">2-qavat: ofis xonalari</t>
  </si>
  <si>
    <t xml:space="preserve">2-qavat: umumiy joylar</t>
  </si>
  <si>
    <t xml:space="preserve">3-qavat va hojatxonalar</t>
  </si>
  <si>
    <t xml:space="preserve">Tekshiruv: ikki jadval jamisi farqi (0 bo'lishi kerak)</t>
  </si>
  <si>
    <t xml:space="preserve">Dollar kursi (so'm/$) — «Narxlar» varag'idan</t>
  </si>
  <si>
    <t xml:space="preserve">PDP Academy · Xadra filiali: xarajatlar fazalar bo'yicha — ishlar ketma-ketligi, sanalar va pul oqimi</t>
  </si>
  <si>
    <t xml:space="preserve">Boshlanish sanasini (ko'k) o'zgartirsangiz, barcha sanalar qayta hisoblanadi. Ish haftasi — dushanba–shanba, bayramlar chiqariladi. Summalar «Hisob (batafsil)» dan, fazalarga ulush bilan (pastdagi 3-jadval; ko'k ulushlarni o'zgartirish mumkin).</t>
  </si>
  <si>
    <t xml:space="preserve">Boshlanish sanasi</t>
  </si>
  <si>
    <t xml:space="preserve">Taxmin: ruxsat va shartnomalardan keyingi dushanba — aniq sana bilan almashtiring</t>
  </si>
  <si>
    <t xml:space="preserve">Bayramlar (ish kuni emas)</t>
  </si>
  <si>
    <t xml:space="preserve">1. Fazalar: ishlar va sanalar</t>
  </si>
  <si>
    <t xml:space="preserve">Faza</t>
  </si>
  <si>
    <t xml:space="preserve">Nomi</t>
  </si>
  <si>
    <t xml:space="preserve">Ishlar</t>
  </si>
  <si>
    <t xml:space="preserve">Ish kuni</t>
  </si>
  <si>
    <t xml:space="preserve">Boshlanishi</t>
  </si>
  <si>
    <t xml:space="preserve">Tugashi</t>
  </si>
  <si>
    <t xml:space="preserve">Xarajat, $</t>
  </si>
  <si>
    <t xml:space="preserve">Kutilmagan, $</t>
  </si>
  <si>
    <t xml:space="preserve">Jami, $</t>
  </si>
  <si>
    <t xml:space="preserve">Jami, so'm</t>
  </si>
  <si>
    <t xml:space="preserve">Yig'ma, $</t>
  </si>
  <si>
    <t xml:space="preserve">F0</t>
  </si>
  <si>
    <t xml:space="preserve">Tayyorgarlik va buyurtmalar</t>
  </si>
  <si>
    <t xml:space="preserve">Ijaraga beruvchining yozma roziligi (devor buzish, tomga tashqi bloklar); joyida o'lchov (oynalar, ustunlar, tom); pudratchilar bilan shartnomalar; uzoq tayyorlanadigan buyurtmalar — kanalli konditsionerlar, mebel va resepshn, logotiplar (avans)</t>
  </si>
  <si>
    <t xml:space="preserve">F1</t>
  </si>
  <si>
    <t xml:space="preserve">Eski devorlarni buzish, qurilish chiqindisini olib chiqish; pol, oyna va eshiklarni himoyalash</t>
  </si>
  <si>
    <t xml:space="preserve">F2</t>
  </si>
  <si>
    <t xml:space="preserve">Qora ishlar va muhandislik tarmoqlari</t>
  </si>
  <si>
    <t xml:space="preserve">GKL karkaslar va birinchi tomoni; elektr (yoritish, konditsioner liniyalari, kamera va yong'in signalizatsiyasi kabellari); santexnika quvurlari va nuqtalari; kanalli konditsionerlar (kladovka shifti ustida), vitechka ventilyatori, havo kanallari, freon trassalari va drenaj — shift yopilishidan oldin; tashqi blok tayanch ramalari</t>
  </si>
  <si>
    <t xml:space="preserve">F3</t>
  </si>
  <si>
    <t xml:space="preserve">Pardoz ishlari</t>
  </si>
  <si>
    <t xml:space="preserve">GKL ikkinchi tomoni, shpaklyovka, bo'yoq; hojatxona kafeli; bambuk panellar; sahna poli; shisha devorlar o'lchovi va buyurtmasi (avans)</t>
  </si>
  <si>
    <t xml:space="preserve">F4</t>
  </si>
  <si>
    <t xml:space="preserve">O'rnatish ishlari</t>
  </si>
  <si>
    <t xml:space="preserve">Shisha devor va suriladigan eshiklar, kladovka eshiklari, perila, yoritish, diffuzor va panjaralar, santexnika jihozlari va kabinalar, kameralar va NVR, yong'in signalizatsiyasi asboblari, interaktiv doskalar, matli plyonka, sahna yoritishi va ekran</t>
  </si>
  <si>
    <t xml:space="preserve">F5</t>
  </si>
  <si>
    <t xml:space="preserve">Mebel, brending va ishga tushirish</t>
  </si>
  <si>
    <t xml:space="preserve">Mebel va resepshn (qoldiq), logotiplar, e'lon va e'tirof doskalari, sahna reykalari, ovoz, minbar; HVAC sozlash va sinov, yong'in xavfsizligi qabuli, tozalash</t>
  </si>
  <si>
    <t xml:space="preserve">Tekshiruv: «Yakuniy» UMUMIY JAMI bilan farq (0 bo'lishi kerak)</t>
  </si>
  <si>
    <t xml:space="preserve">Kalendar kunlar (boshlanishdan tugashgacha)</t>
  </si>
  <si>
    <t xml:space="preserve">2. Haftalik grafik (rangli — faza ishlaydigan hafta)</t>
  </si>
  <si>
    <t xml:space="preserve">Hafta boshi (dushanba)</t>
  </si>
  <si>
    <t xml:space="preserve">Oylik pul oqimi: faza summasi uning kalendar kunlariga teng taqsimlanadi (avanslar faza boshida to'lanishini hisobga oling)</t>
  </si>
  <si>
    <t xml:space="preserve">Oy</t>
  </si>
  <si>
    <t xml:space="preserve">3. Xarajatlarning fazalarga taqsimoti (ulush — ko'k, o'zgartirish mumkin; har qatorda jami 100%)</t>
  </si>
  <si>
    <t xml:space="preserve">Kalit</t>
  </si>
  <si>
    <t xml:space="preserve">Xarajat</t>
  </si>
  <si>
    <t xml:space="preserve">Turi</t>
  </si>
  <si>
    <t xml:space="preserve">F0, %</t>
  </si>
  <si>
    <t xml:space="preserve">F1, %</t>
  </si>
  <si>
    <t xml:space="preserve">F2, %</t>
  </si>
  <si>
    <t xml:space="preserve">F3, %</t>
  </si>
  <si>
    <t xml:space="preserve">F4, %</t>
  </si>
  <si>
    <t xml:space="preserve">F5, %</t>
  </si>
  <si>
    <t xml:space="preserve">Σ %</t>
  </si>
  <si>
    <t xml:space="preserve">F0, $</t>
  </si>
  <si>
    <t xml:space="preserve">F1, $</t>
  </si>
  <si>
    <t xml:space="preserve">F2, $</t>
  </si>
  <si>
    <t xml:space="preserve">F3, $</t>
  </si>
  <si>
    <t xml:space="preserve">F4, $</t>
  </si>
  <si>
    <t xml:space="preserve">F5, $</t>
  </si>
  <si>
    <t xml:space="preserve">logoDevor1</t>
  </si>
  <si>
    <t xml:space="preserve">1-qavat: devordagi yorituvchi logotip ~1.5 m (to'q panelda)</t>
  </si>
  <si>
    <t xml:space="preserve">logoStol1</t>
  </si>
  <si>
    <t xml:space="preserve">1-qavat: resepshn stoykasidagi logotip ~1.0 m (yoritilgan)</t>
  </si>
  <si>
    <t xml:space="preserve">logo</t>
  </si>
  <si>
    <t xml:space="preserve">Logotiplar — 2-qavat (jami)</t>
  </si>
  <si>
    <t xml:space="preserve">kk</t>
  </si>
  <si>
    <t xml:space="preserve">Kanalli konditsioner 96 000 BTU (ichki kanalli blok, tashqi blok, tashqi havo aralashtirish kamerasi)</t>
  </si>
  <si>
    <t xml:space="preserve">resepshn</t>
  </si>
  <si>
    <t xml:space="preserve">Resepshn stoykasi 1.8 m (buyurtma: peshtaxta 1.10 m, zal tomonidagi panelda logotip uchun joy)</t>
  </si>
  <si>
    <t xml:space="preserve">resepshnPanel</t>
  </si>
  <si>
    <t xml:space="preserve">Resepshn to'siq panellari (past, L shaklida ~3.4 m) va xodim eshikchasi</t>
  </si>
  <si>
    <t xml:space="preserve">kreslo</t>
  </si>
  <si>
    <t xml:space="preserve">Ofis kreslosi (to'r suyanchiqli)</t>
  </si>
  <si>
    <t xml:space="preserve">divan</t>
  </si>
  <si>
    <t xml:space="preserve">Divan, 2–3 o'rinli (kutish joyi)</t>
  </si>
  <si>
    <t xml:space="preserve">stolcha</t>
  </si>
  <si>
    <t xml:space="preserve">Jurnal stolchasi</t>
  </si>
  <si>
    <t xml:space="preserve">stolOfis</t>
  </si>
  <si>
    <t xml:space="preserve">Ofis stoli 140 × 70 (LDSP, tumba bilan)</t>
  </si>
  <si>
    <t xml:space="preserve">mijozStul</t>
  </si>
  <si>
    <t xml:space="preserve">Mijoz / mehmon stuli</t>
  </si>
  <si>
    <t xml:space="preserve">shkaf</t>
  </si>
  <si>
    <t xml:space="preserve">Hujjat shkafi / stellaj</t>
  </si>
  <si>
    <t xml:space="preserve">korReyka</t>
  </si>
  <si>
    <t xml:space="preserve">Koridor oxiri: yog'och reykali kanopi — shiftda ~2.4 m, devorga egilib tushadi (R ≈ 0.45 m), 18 reyka 40 × 80 mm, reykalar orasida 3 ta chiziqli LED</t>
  </si>
  <si>
    <t xml:space="preserve">sahnaLogo</t>
  </si>
  <si>
    <t xml:space="preserve">Sahna logotipi ~1.7 m, ichidan yoritilgan (akril harflar, LED)</t>
  </si>
  <si>
    <t xml:space="preserve">buzish</t>
  </si>
  <si>
    <t xml:space="preserve">Devor buzish</t>
  </si>
  <si>
    <t xml:space="preserve">chiqindi</t>
  </si>
  <si>
    <t xml:space="preserve">Qurilish chiqindisini olib chiqish</t>
  </si>
  <si>
    <t xml:space="preserve">gkl</t>
  </si>
  <si>
    <t xml:space="preserve">Gips karton devor (bir tomoni)</t>
  </si>
  <si>
    <t xml:space="preserve">kabel</t>
  </si>
  <si>
    <t xml:space="preserve">Kamera kabellari (jami, 16 kamera uchun)</t>
  </si>
  <si>
    <t xml:space="preserve">yongin</t>
  </si>
  <si>
    <t xml:space="preserve">Yong'in xavfsizligi (signalizatsiya, o't o'chirgich, belgilar, avariya chiroqlari)</t>
  </si>
  <si>
    <t xml:space="preserve">tochka</t>
  </si>
  <si>
    <t xml:space="preserve">Santexnika nuqtasi (usta ishi)</t>
  </si>
  <si>
    <t xml:space="preserve">issiqQuvur</t>
  </si>
  <si>
    <t xml:space="preserve">Issiq suv quvuri</t>
  </si>
  <si>
    <t xml:space="preserve">sovuqQuvur</t>
  </si>
  <si>
    <t xml:space="preserve">Sovuq suv quvuri</t>
  </si>
  <si>
    <t xml:space="preserve">aksessuar</t>
  </si>
  <si>
    <t xml:space="preserve">Quvur aksessuarlari (fitinglar)</t>
  </si>
  <si>
    <t xml:space="preserve">kanal</t>
  </si>
  <si>
    <t xml:space="preserve">Kanalizatsiya quvuri (40 m) va otvodlar</t>
  </si>
  <si>
    <t xml:space="preserve">kanalM</t>
  </si>
  <si>
    <t xml:space="preserve">Havo kanali (vozduxovod), 1 m</t>
  </si>
  <si>
    <t xml:space="preserve">vv</t>
  </si>
  <si>
    <t xml:space="preserve">Vitechka ventilyatori VV1 — kanalli, 3 000 m³/soat (~400 Pa), shovqin so'ndirgich bilan</t>
  </si>
  <si>
    <t xml:space="preserve">sahnaDevor</t>
  </si>
  <si>
    <t xml:space="preserve">Koworking sahnasi: GKL karkas devor 5.8 × 3.5 m (U4 ustuni bilan tekislanadi) va markazdagi grafit panel 3.9 m</t>
  </si>
  <si>
    <t xml:space="preserve">cat6</t>
  </si>
  <si>
    <t xml:space="preserve">Cat6 U/UTP LSZH kabeli</t>
  </si>
  <si>
    <t xml:space="preserve">lotok</t>
  </si>
  <si>
    <t xml:space="preserve">Kabel lotogi 100 × 50, perforatsiyali, qopqoqli (shift ostida, osmalar bilan)</t>
  </si>
  <si>
    <t xml:space="preserve">netMontaj</t>
  </si>
  <si>
    <t xml:space="preserve">Internet montaji (kabel tortish, rozetka, patch-panelga ulash, test)</t>
  </si>
  <si>
    <t xml:space="preserve">k25</t>
  </si>
  <si>
    <t xml:space="preserve">Kabel VVGng-LS 3×2.5 (rozetkalar)</t>
  </si>
  <si>
    <t xml:space="preserve">k15</t>
  </si>
  <si>
    <t xml:space="preserve">Kabel VVGng-LS 3×1.5 (yoritish, VV1)</t>
  </si>
  <si>
    <t xml:space="preserve">k54</t>
  </si>
  <si>
    <t xml:space="preserve">Kabel VVGng-LS 5×4 (KK1, KK2 — tashqi bloklarga)</t>
  </si>
  <si>
    <t xml:space="preserve">gofra</t>
  </si>
  <si>
    <t xml:space="preserve">Gofra quvur Ø20 (devorda, xona ichida)</t>
  </si>
  <si>
    <t xml:space="preserve">shitQuti</t>
  </si>
  <si>
    <t xml:space="preserve">Qo'shimcha shit qutisi 36 modul (mavjud shitda joy bo'lmasa)</t>
  </si>
  <si>
    <t xml:space="preserve">elMontaj</t>
  </si>
  <si>
    <t xml:space="preserve">Elektr montaji (nuqta: rozetka, vyklyuchatel, chiroq, kuch liniyasi; shtroba, gofra)</t>
  </si>
  <si>
    <t xml:space="preserve">shisha</t>
  </si>
  <si>
    <t xml:space="preserve">bambuk</t>
  </si>
  <si>
    <t xml:space="preserve">kafel</t>
  </si>
  <si>
    <t xml:space="preserve">Kafel (material)</t>
  </si>
  <si>
    <t xml:space="preserve">kafelUsta</t>
  </si>
  <si>
    <t xml:space="preserve">Kafel yotqizish (usta)</t>
  </si>
  <si>
    <t xml:space="preserve">kond3</t>
  </si>
  <si>
    <t xml:space="preserve">Konditsioner — 3-qavat o'quv xonasi</t>
  </si>
  <si>
    <t xml:space="preserve">sahnaPol</t>
  </si>
  <si>
    <t xml:space="preserve">Sahna maydoni poli: yog'och ko'rinishli vinil ~9 m², pol bilan bir sathda (o'tish profili bilan)</t>
  </si>
  <si>
    <t xml:space="preserve">doska</t>
  </si>
  <si>
    <t xml:space="preserve">perila</t>
  </si>
  <si>
    <t xml:space="preserve">yorXona</t>
  </si>
  <si>
    <t xml:space="preserve">Yoritish — xona (har biriga)</t>
  </si>
  <si>
    <t xml:space="preserve">yorKatta</t>
  </si>
  <si>
    <t xml:space="preserve">Yoritish — koridor va koworking (har biriga)</t>
  </si>
  <si>
    <t xml:space="preserve">kamera</t>
  </si>
  <si>
    <t xml:space="preserve">Videokamera</t>
  </si>
  <si>
    <t xml:space="preserve">kameraOrn</t>
  </si>
  <si>
    <t xml:space="preserve">Kamera o'rnatish (har biri)</t>
  </si>
  <si>
    <t xml:space="preserve">nvr</t>
  </si>
  <si>
    <t xml:space="preserve">NVR (videoregistrator)</t>
  </si>
  <si>
    <t xml:space="preserve">poeSw</t>
  </si>
  <si>
    <t xml:space="preserve">PoE switch 24 port (kameralar uchun, ≥ 370 W)</t>
  </si>
  <si>
    <t xml:space="preserve">shkaf18</t>
  </si>
  <si>
    <t xml:space="preserve">Tarmoq shkafi 18U, pol, 600 × 600 (PDU, polka, organayzer bilan) — NVR, router, switch</t>
  </si>
  <si>
    <t xml:space="preserve">ups</t>
  </si>
  <si>
    <t xml:space="preserve">UPS 1.5 kVA (tarmoq shkafi uchun)</t>
  </si>
  <si>
    <t xml:space="preserve">plyonka</t>
  </si>
  <si>
    <t xml:space="preserve">Matli plyonka (shisha devorga)</t>
  </si>
  <si>
    <t xml:space="preserve">chashagen</t>
  </si>
  <si>
    <t xml:space="preserve">Chashagen</t>
  </si>
  <si>
    <t xml:space="preserve">unitaz</t>
  </si>
  <si>
    <t xml:space="preserve">Unitaz</t>
  </si>
  <si>
    <t xml:space="preserve">rakovina</t>
  </si>
  <si>
    <t xml:space="preserve">Rakovina</t>
  </si>
  <si>
    <t xml:space="preserve">mustahab</t>
  </si>
  <si>
    <t xml:space="preserve">Mustahab</t>
  </si>
  <si>
    <t xml:space="preserve">taxoratSm</t>
  </si>
  <si>
    <t xml:space="preserve">Taxorat smesiteli</t>
  </si>
  <si>
    <t xml:space="preserve">rakovinaSm</t>
  </si>
  <si>
    <t xml:space="preserve">Rakovina smesiteli</t>
  </si>
  <si>
    <t xml:space="preserve">kabina</t>
  </si>
  <si>
    <t xml:space="preserve">Hojatxona kabinasi</t>
  </si>
  <si>
    <t xml:space="preserve">diffuzor</t>
  </si>
  <si>
    <t xml:space="preserve">Shift diffuzori 4 tomonga (600 × 600 / 450 × 450), adapter kamerasi va rostlash klapani bilan</t>
  </si>
  <si>
    <t xml:space="preserve">sorPanjara</t>
  </si>
  <si>
    <t xml:space="preserve">So'rish panjarasi Ø200 (vitechka), klapan bilan</t>
  </si>
  <si>
    <t xml:space="preserve">qPanjara</t>
  </si>
  <si>
    <t xml:space="preserve">Qaytish (2 × 600 × 300, koridor shiftida) va tashqi havo panjaralari, tomdagi chiqish soyaboni</t>
  </si>
  <si>
    <t xml:space="preserve">korMarmar</t>
  </si>
  <si>
    <t xml:space="preserve">Koridor oxiri: marmar ko'rinishli keramogranit panel 1.0 × 2.85 m (logotip ostida), o'rnatish bilan</t>
  </si>
  <si>
    <t xml:space="preserve">korYashil</t>
  </si>
  <si>
    <t xml:space="preserve">Koridor: shift chetlarida yashil LED chiziqlar (2 × ~11 m, profil va blok bilan)</t>
  </si>
  <si>
    <t xml:space="preserve">sahnaYor</t>
  </si>
  <si>
    <t xml:space="preserve">Sahna yoritishi: trek shina 5.2 m va 7 ta spot, tik va yuqori yashil LED chiziqlar</t>
  </si>
  <si>
    <t xml:space="preserve">sahnaEkran</t>
  </si>
  <si>
    <t xml:space="preserve">Sahna ekrani 86": koworkingdagi mavjud ekranni ko'chirish, kronshteyn va kabel</t>
  </si>
  <si>
    <t xml:space="preserve">surmaMex</t>
  </si>
  <si>
    <t xml:space="preserve">Suriladigan eshik mexanizmi: yuqori rels va qopqog'i (~2.1 m), roliklar, soft-close, pastki yo'naltirgich, tutqichlar</t>
  </si>
  <si>
    <t xml:space="preserve">eshKL</t>
  </si>
  <si>
    <t xml:space="preserve">Kladovka eshigi 800 × 2100 — yashirin (ko'rinmas korobka, bargi koridor oxiri paneli bilan bir xil qoplanadi, bosib ochiladi)</t>
  </si>
  <si>
    <t xml:space="preserve">rj45</t>
  </si>
  <si>
    <t xml:space="preserve">RJ-45 rozetka, 2 portli, Cat6 (podrozetnik va ramka bilan)</t>
  </si>
  <si>
    <t xml:space="preserve">ap</t>
  </si>
  <si>
    <t xml:space="preserve">Wi-Fi nuqtasi — shiftga, PoE, Wi-Fi 6</t>
  </si>
  <si>
    <t xml:space="preserve">router</t>
  </si>
  <si>
    <t xml:space="preserve">Router (2 WAN, ≥ 1 Gbit/s)</t>
  </si>
  <si>
    <t xml:space="preserve">sw48</t>
  </si>
  <si>
    <t xml:space="preserve">Switch 48 port, gigabit (8 tasi PoE+ — Wi-Fi uchun)</t>
  </si>
  <si>
    <t xml:space="preserve">patch</t>
  </si>
  <si>
    <t xml:space="preserve">Patch-panel 24 port Cat6 (patch-kordlar bilan)</t>
  </si>
  <si>
    <t xml:space="preserve">rozetka</t>
  </si>
  <si>
    <t xml:space="preserve">Rozetka 2P+E (podrozetnik bilan), shu jumladan doska rozetkasi 1.6 m</t>
  </si>
  <si>
    <t xml:space="preserve">vykl</t>
  </si>
  <si>
    <t xml:space="preserve">Vyklyuchatel (podrozetnik bilan)</t>
  </si>
  <si>
    <t xml:space="preserve">difavt</t>
  </si>
  <si>
    <t xml:space="preserve">Difavtomat C16, 30 mA (har sinf rozetkasiga alohida)</t>
  </si>
  <si>
    <t xml:space="preserve">avt1</t>
  </si>
  <si>
    <t xml:space="preserve">Avtomat 1P C10/C16</t>
  </si>
  <si>
    <t xml:space="preserve">avt3</t>
  </si>
  <si>
    <t xml:space="preserve">Avtomat 3P C25 (KK1, KK2)</t>
  </si>
  <si>
    <t xml:space="preserve">interyerXZ1</t>
  </si>
  <si>
    <t xml:space="preserve">Sotuv xonasi interyeri: brend devor (logotip, plakat), o'simliklar, dekor</t>
  </si>
  <si>
    <t xml:space="preserve">interyerXZ2</t>
  </si>
  <si>
    <t xml:space="preserve">Admin xonasi interyeri: dekor, o'simliklar</t>
  </si>
  <si>
    <t xml:space="preserve">korMox</t>
  </si>
  <si>
    <t xml:space="preserve">Koridor oxiri: stabillashgan mox polosalari 2 × 0.25 × 2.85 m (ramkada), orasida yashil LED chiziqlar</t>
  </si>
  <si>
    <t xml:space="preserve">sahnaReyka</t>
  </si>
  <si>
    <t xml:space="preserve">Sahna: yog'och reykali panellar (2 × 0.95 × 3.5 m, qora asos ustida)</t>
  </si>
  <si>
    <t xml:space="preserve">sahnaAudio</t>
  </si>
  <si>
    <t xml:space="preserve">Ovoz: 2 ta faol kolonka (devorga osiladi), simsiz mikrofon</t>
  </si>
  <si>
    <t xml:space="preserve">minbar</t>
  </si>
  <si>
    <t xml:space="preserve">Minbar (tribuna), ko'chma, logotip bilan</t>
  </si>
  <si>
    <t xml:space="preserve">sahnaOsimlik</t>
  </si>
  <si>
    <t xml:space="preserve">Katta o'simlik tuvakda (sahna yonida)</t>
  </si>
  <si>
    <t xml:space="preserve">elonDoska</t>
  </si>
  <si>
    <t xml:space="preserve">E'lonlar doskasi 1.8 × 1.0 m (probka/magnit, alyuminiy ramka)</t>
  </si>
  <si>
    <t xml:space="preserve">etirofDoska</t>
  </si>
  <si>
    <t xml:space="preserve">E'tirof doskasi 1.8 × 1.0 m (brend panel, A4 akril cho'ntaklar — faxriylar, oy o'quvchisi nomzodlari)</t>
  </si>
  <si>
    <t xml:space="preserve">Tekshiruv: «Yakuniy» JAMI (kutilmagansiz) bilan farq (0 bo'lishi kerak)</t>
  </si>
  <si>
    <t xml:space="preserve">Izoh:</t>
  </si>
  <si>
    <t xml:space="preserve">• Avanslar (F0): mebel, resepshn va logotiplarga 50% (tayyorlash 3–4 hafta); kanalli konditsionerlarga 50% — qoldig'i yetkazib berilganda (F2).</t>
  </si>
  <si>
    <t xml:space="preserve">• Shisha devorlar: o'lchov GKL karkasdan keyin (F3) — avans 50%, qoldig'i o'rnatishda (F4). Kanalli konditsionerlar, kanallar va freon trassalari F2 da (shiftdan oldin); diffuzor va panjaralar F4 da.</t>
  </si>
  <si>
    <t xml:space="preserve">• Montaj, osma shift, pol, elektr kabellari va bo'yoq narxlari jadvalda yo'q (buyurtmachi bermagan) — kelishilgach shu fazalarga qo'shiladi.</t>
  </si>
  <si>
    <t xml:space="preserve">• Fazalar ketma-ket olingan; ustalar soni yetarli bo'lsa F2 va F3 qisman parallel ketishi mumkin — shunda «Ish kuni» ni kamaytiring.</t>
  </si>
  <si>
    <t xml:space="preserve">PDP Academy · Xadra filiali (1, 2 va 3-qavat): xarajatlar, xonalar bo'yicha</t>
  </si>
  <si>
    <t xml:space="preserve">Har bir qator «Hisob (batafsil)» varag'idan olinadi (SUMIFS). Narxlarni «Narxlar» varag'ida o'zgartiring.</t>
  </si>
  <si>
    <t xml:space="preserve">Xona</t>
  </si>
  <si>
    <t xml:space="preserve">Shisha (devor va eshik), m²</t>
  </si>
  <si>
    <t xml:space="preserve">Shisha (devor va eshik), $</t>
  </si>
  <si>
    <t xml:space="preserve">Gips karton (GKL), m²</t>
  </si>
  <si>
    <t xml:space="preserve">Gips karton (GKL), $</t>
  </si>
  <si>
    <t xml:space="preserve">Bambuk panel, m²</t>
  </si>
  <si>
    <t xml:space="preserve">Bambuk panel, $</t>
  </si>
  <si>
    <t xml:space="preserve">Interaktiv doska, dona</t>
  </si>
  <si>
    <t xml:space="preserve">Interaktiv doska, $</t>
  </si>
  <si>
    <t xml:space="preserve">Perila, m</t>
  </si>
  <si>
    <t xml:space="preserve">Perila, $</t>
  </si>
  <si>
    <t xml:space="preserve">Yoritish, $</t>
  </si>
  <si>
    <t xml:space="preserve">Kamera tizimi, $</t>
  </si>
  <si>
    <t xml:space="preserve">Logotip, $</t>
  </si>
  <si>
    <t xml:space="preserve">Matli plyonka, $</t>
  </si>
  <si>
    <t xml:space="preserve">Yong'in xavfsizligi, $</t>
  </si>
  <si>
    <t xml:space="preserve">Buzish ishlari, $</t>
  </si>
  <si>
    <t xml:space="preserve">Santexnika, $</t>
  </si>
  <si>
    <t xml:space="preserve">Kafel, $</t>
  </si>
  <si>
    <t xml:space="preserve">Konditsioner va ventilyatsiya, $</t>
  </si>
  <si>
    <t xml:space="preserve">Mebel va interyer (taxmin), $</t>
  </si>
  <si>
    <t xml:space="preserve">E'lon va e'tirof doskalari (taxmin), $</t>
  </si>
  <si>
    <t xml:space="preserve">Eshiklar: mexanizm, kladovka (taxmin), $</t>
  </si>
  <si>
    <t xml:space="preserve">Internet va Wi-Fi (taxmin), $</t>
  </si>
  <si>
    <t xml:space="preserve">Elektr (taxmin), $</t>
  </si>
  <si>
    <t xml:space="preserve">1-qavat — kirish zali (resepshn, turniket)</t>
  </si>
  <si>
    <t xml:space="preserve">1-qavat: kirish zali — jami</t>
  </si>
  <si>
    <t xml:space="preserve">1-xona</t>
  </si>
  <si>
    <t xml:space="preserve">2-xona</t>
  </si>
  <si>
    <t xml:space="preserve">3-xona</t>
  </si>
  <si>
    <t xml:space="preserve">4-xona</t>
  </si>
  <si>
    <t xml:space="preserve">5-xona</t>
  </si>
  <si>
    <t xml:space="preserve">6-xona</t>
  </si>
  <si>
    <t xml:space="preserve">7-xona</t>
  </si>
  <si>
    <t xml:space="preserve">2-qavat: o'quv xonalari — jami</t>
  </si>
  <si>
    <t xml:space="preserve">Offline sotuv (XZ1)</t>
  </si>
  <si>
    <t xml:space="preserve">Admin (XZ2)</t>
  </si>
  <si>
    <t xml:space="preserve">Ustozlar xonasi (XZ3)</t>
  </si>
  <si>
    <t xml:space="preserve">Call-markaz (XZ4)</t>
  </si>
  <si>
    <t xml:space="preserve">CEO xonasi (12-xona)</t>
  </si>
  <si>
    <t xml:space="preserve">2-qavat: ofis xonalari — jami</t>
  </si>
  <si>
    <t xml:space="preserve">K1 koridori</t>
  </si>
  <si>
    <t xml:space="preserve">K2 koridori</t>
  </si>
  <si>
    <t xml:space="preserve">Kladovka (K1 oxiri)</t>
  </si>
  <si>
    <t xml:space="preserve">Kladovka (K2 oxiri)</t>
  </si>
  <si>
    <t xml:space="preserve">Koworking zali</t>
  </si>
  <si>
    <t xml:space="preserve">Kirish zali</t>
  </si>
  <si>
    <t xml:space="preserve">Zinapoya</t>
  </si>
  <si>
    <t xml:space="preserve">Butun qavat (umumiy ishlar)</t>
  </si>
  <si>
    <t xml:space="preserve">2-qavat: umumiy joylar — jami</t>
  </si>
  <si>
    <t xml:space="preserve">3-qavat 5-xona — o'quv xonasi (24 o'rin)</t>
  </si>
  <si>
    <t xml:space="preserve">Hojatxonalar (3-qavat erkaklar, 2-qavat ayollar)</t>
  </si>
  <si>
    <t xml:space="preserve">3-qavat va hojatxonalar — jami</t>
  </si>
  <si>
    <t xml:space="preserve">UMUMIY JAMI (kutilmagan xarajatlar bilan), $</t>
  </si>
  <si>
    <t xml:space="preserve">UMUMIY JAMI, so'm (kurs bo'yicha)</t>
  </si>
  <si>
    <t xml:space="preserve">Tekshiruv: batafsil varaqdagi jami bilan farq (0 bo'lishi kerak)</t>
  </si>
  <si>
    <t xml:space="preserve">PDP Academy · Xadra filiali (1, 2 va 3-qavat): narxlar va o'lchamlar</t>
  </si>
  <si>
    <t xml:space="preserve">Sariq kataklardagi narx va balandliklarni o'zgartirsangiz, «Hisob (batafsil)» va «Xonalar bo'yicha» varaqlari avtomatik qayta hisoblanadi.</t>
  </si>
  <si>
    <t xml:space="preserve">Ko'rsatkich</t>
  </si>
  <si>
    <t xml:space="preserve">Qiymat</t>
  </si>
  <si>
    <t xml:space="preserve">Birlik</t>
  </si>
  <si>
    <t xml:space="preserve">Manba / izoh</t>
  </si>
  <si>
    <t xml:space="preserve">$/m²</t>
  </si>
  <si>
    <t xml:space="preserve">Buyurtmachi</t>
  </si>
  <si>
    <t xml:space="preserve">Buyurtmachi; devorning har tomoni alohida hisoblanadi</t>
  </si>
  <si>
    <t xml:space="preserve">$/dona</t>
  </si>
  <si>
    <t xml:space="preserve">Buyurtmachi; 7 ta shu qavat sinflariga + 1 ta yuqori qavatdagi sinfga = 8 ta</t>
  </si>
  <si>
    <t xml:space="preserve">$/m</t>
  </si>
  <si>
    <t xml:space="preserve">Perila uzunligi</t>
  </si>
  <si>
    <t xml:space="preserve">m</t>
  </si>
  <si>
    <t xml:space="preserve">$/joy</t>
  </si>
  <si>
    <t xml:space="preserve">Buyurtmachi: K1, K2 koridorlari va koworking zali</t>
  </si>
  <si>
    <t xml:space="preserve">$/xona</t>
  </si>
  <si>
    <t xml:space="preserve">Buyurtmachi: 7 ta o'quv xonasi, 4 ta ofis xonasi va CEO xonasi</t>
  </si>
  <si>
    <t xml:space="preserve">Videokameralar soni</t>
  </si>
  <si>
    <t xml:space="preserve">dona</t>
  </si>
  <si>
    <t xml:space="preserve">Buyurtmachi (18.10): joylari belgilandi — 2-qavat 20, 3-qavat 3, 1-qavat 1 (Xadra_tizim_kamera)</t>
  </si>
  <si>
    <t xml:space="preserve">Buyurtmachi; 24 kamera uchun 32 kanalli NVR kerak — narxi 16 kanalliki bo'lsa, almashtiring</t>
  </si>
  <si>
    <t xml:space="preserve">$/komplekt</t>
  </si>
  <si>
    <t xml:space="preserve">Buyurtmachi: jami summa</t>
  </si>
  <si>
    <t xml:space="preserve">Kamera kabellari — kamera soniga mutanosib</t>
  </si>
  <si>
    <t xml:space="preserve">komplekt</t>
  </si>
  <si>
    <t xml:space="preserve">Hisob: buyurtmachi summasi 16 kamera uchun; chizma bo'yicha Cat6 ~622 m (24 kamera)</t>
  </si>
  <si>
    <t xml:space="preserve">TAXMIN — Toshkent bozori</t>
  </si>
  <si>
    <t xml:space="preserve">TAXMIN</t>
  </si>
  <si>
    <t xml:space="preserve">Patch-panellar soni</t>
  </si>
  <si>
    <t xml:space="preserve">Internet 2 (32 + 6 port), kamera 1</t>
  </si>
  <si>
    <t xml:space="preserve">so'm/dona</t>
  </si>
  <si>
    <t xml:space="preserve">RJ-45 rozetkalar soni (poldan 30 sm)</t>
  </si>
  <si>
    <t xml:space="preserve">Buyurtmachi (18.10): 2-qavat 14, 3-qavat 1, 1-qavat 1</t>
  </si>
  <si>
    <t xml:space="preserve">Wi-Fi nuqtalari soni</t>
  </si>
  <si>
    <t xml:space="preserve">Buyurtmachi (18.10): 2-qavat 5, 3-qavat 1</t>
  </si>
  <si>
    <t xml:space="preserve">so'm/m</t>
  </si>
  <si>
    <t xml:space="preserve">TAXMIN — Toshkent (305 m quti ~1.8 mln so'm)</t>
  </si>
  <si>
    <t xml:space="preserve">Cat6 uzunligi — internet va Wi-Fi</t>
  </si>
  <si>
    <t xml:space="preserve">Tizim chizmasidan: har portga alohida kabel; burilish, tushish va zaxira kiritilgan</t>
  </si>
  <si>
    <t xml:space="preserve">so'm/port</t>
  </si>
  <si>
    <t xml:space="preserve">Internet portlari soni</t>
  </si>
  <si>
    <t xml:space="preserve">port</t>
  </si>
  <si>
    <t xml:space="preserve">RJ-45 × 2 + Wi-Fi</t>
  </si>
  <si>
    <t xml:space="preserve">Past tokli lotok uzunligi</t>
  </si>
  <si>
    <t xml:space="preserve">Tizim chizmasidan (2-qavat koridorlari, koworking, 3- va 1-qavat)</t>
  </si>
  <si>
    <t xml:space="preserve">Kuch lotogi uzunligi</t>
  </si>
  <si>
    <t xml:space="preserve">Tizim chizmasidan (koridorlar, koworking)</t>
  </si>
  <si>
    <t xml:space="preserve">TAXMIN — Toshkent</t>
  </si>
  <si>
    <t xml:space="preserve">VVGng-LS 3×2.5 uzunligi</t>
  </si>
  <si>
    <t xml:space="preserve">Elektr chizmasidan (guruhlar R1–R13, zaxira bilan)</t>
  </si>
  <si>
    <t xml:space="preserve">VVGng-LS 3×1.5 uzunligi</t>
  </si>
  <si>
    <t xml:space="preserve">Elektr chizmasidan (Y1–Y10, VV1)</t>
  </si>
  <si>
    <t xml:space="preserve">VVGng-LS 5×4 uzunligi</t>
  </si>
  <si>
    <t xml:space="preserve">Elektr chizmasidan (kladovkadan tomga stoyak bilan)</t>
  </si>
  <si>
    <t xml:space="preserve">Gofra quvur uzunligi</t>
  </si>
  <si>
    <t xml:space="preserve">Elektr chizmasidan (xona ichidagi qism)</t>
  </si>
  <si>
    <t xml:space="preserve">Rozetkalar soni</t>
  </si>
  <si>
    <t xml:space="preserve">Buyurtmachi (18.10): 80 oddiy (2-qavat 78, 1-qavat 2) + 7 doska (1.6 m)</t>
  </si>
  <si>
    <t xml:space="preserve">Vyklyuchatellar soni</t>
  </si>
  <si>
    <t xml:space="preserve">Buyurtmachi (18.10): 7 sinf, 4 xizmat xonasi, K1, K2</t>
  </si>
  <si>
    <t xml:space="preserve">Difavtomatlar soni</t>
  </si>
  <si>
    <t xml:space="preserve">Rozetka guruhlari R1–R13</t>
  </si>
  <si>
    <t xml:space="preserve">1P avtomatlar soni</t>
  </si>
  <si>
    <t xml:space="preserve">Yoritish Y1–Y10, VV1, zaxira 2</t>
  </si>
  <si>
    <t xml:space="preserve">TAXMIN — joyida aniqlanadi</t>
  </si>
  <si>
    <t xml:space="preserve">so'm/nuqta</t>
  </si>
  <si>
    <t xml:space="preserve">Elektr nuqtalari soni</t>
  </si>
  <si>
    <t xml:space="preserve">nuqta</t>
  </si>
  <si>
    <t xml:space="preserve">Rozetka 87, vyklyuchatel 13, chiroq 98, kuch liniyasi 3</t>
  </si>
  <si>
    <t xml:space="preserve">Buyurtmachi: jami summa. Koridor oxiridagi 2 ta yorituvchi logotip shu summaga kirgan deb olindi — alohida bo'lsa, qo'shing</t>
  </si>
  <si>
    <t xml:space="preserve">Dollar kursi</t>
  </si>
  <si>
    <t xml:space="preserve">so'm/$</t>
  </si>
  <si>
    <t xml:space="preserve">Buyurtmachi; so'mdagi narxlar shu kurs bo'yicha $ ga o'tadi</t>
  </si>
  <si>
    <t xml:space="preserve">Matli plyonka soni</t>
  </si>
  <si>
    <t xml:space="preserve">so'm/komplekt</t>
  </si>
  <si>
    <t xml:space="preserve">Buyurtmachi: jami summa. Chizma (18.10): 53 datchik, 6 IPR, 6 sirena, 7 tablo, 13 avariya chirog'i, PPK; kabel ~731 m</t>
  </si>
  <si>
    <t xml:space="preserve">so'm/m²</t>
  </si>
  <si>
    <t xml:space="preserve">Chashagen soni</t>
  </si>
  <si>
    <t xml:space="preserve">Buyurtmachi: 3 ta erkaklar (3-qavat); ayollar hojatxonasi 2 kabinali, unitazli (09.10)</t>
  </si>
  <si>
    <t xml:space="preserve">Unitaz soni</t>
  </si>
  <si>
    <t xml:space="preserve">Buyurtmachi: 1 ta erkaklar, 2 ta ayollar</t>
  </si>
  <si>
    <t xml:space="preserve">Rakovina soni</t>
  </si>
  <si>
    <t xml:space="preserve">Buyurtmachi: 2 ta erkaklar hojatxonasida, 2 tasi ayollarnikida (har bir tamburda)</t>
  </si>
  <si>
    <t xml:space="preserve">Mustahab soni</t>
  </si>
  <si>
    <t xml:space="preserve">Har bir kabinaga: erkaklar 4 ta, ayollar 2 ta (09.10)</t>
  </si>
  <si>
    <t xml:space="preserve">Taxorat smesiteli soni</t>
  </si>
  <si>
    <t xml:space="preserve">Buyurtmachi: 3 tasi erkaklar taxorat joyida, 1 tasi ayollarnikida</t>
  </si>
  <si>
    <t xml:space="preserve">Rakovina smesiteli soni</t>
  </si>
  <si>
    <t xml:space="preserve">Buyurtmachi: har bir rakovinaga</t>
  </si>
  <si>
    <t xml:space="preserve">Santexnika nuqtalari soni</t>
  </si>
  <si>
    <t xml:space="preserve">Kafel — erkaklar hojatxonasi devori</t>
  </si>
  <si>
    <t xml:space="preserve">m²</t>
  </si>
  <si>
    <t xml:space="preserve">Kafel — erkaklar hojatxonasi poli</t>
  </si>
  <si>
    <t xml:space="preserve">Hojatxona kabinalari soni</t>
  </si>
  <si>
    <t xml:space="preserve">Buyurtmachi: erkaklar hojatxonasi (3-qavat)</t>
  </si>
  <si>
    <t xml:space="preserve">Issiq suv quvuri uzunligi</t>
  </si>
  <si>
    <t xml:space="preserve">Buyurtmachi «12 0000» deb yozgan — 12 000 deb olindi (issiq suv quvuridan arzon); tekshiring</t>
  </si>
  <si>
    <t xml:space="preserve">Sovuq suv quvuri uzunligi</t>
  </si>
  <si>
    <t xml:space="preserve">Quvur aksessuarlari soni</t>
  </si>
  <si>
    <t xml:space="preserve">Buyurtmachi: jami 500 000 so'm</t>
  </si>
  <si>
    <t xml:space="preserve">TAXMIN — chizmada 96 000 BTU deb olingan; issiq kunda yetmaydi (~130 000 BTU kerak, vent-chizma 2-varaq) — model tanlangach almashtiring</t>
  </si>
  <si>
    <t xml:space="preserve">Kanalli konditsionerlar soni</t>
  </si>
  <si>
    <t xml:space="preserve">KK1 (K1 oxiri), KK2 (K2 oxiri) — kladovka shifti ustida; orqasida tashqi havo kanali (sharqiy devor bo'ylab)</t>
  </si>
  <si>
    <t xml:space="preserve">Buyurtmachi (12.10)</t>
  </si>
  <si>
    <t xml:space="preserve">Havo kanallari uzunligi</t>
  </si>
  <si>
    <t xml:space="preserve">Kanallar rejasidan: 159 m (berish ~74, tashqi havo ~17, vitechka ~69) + 10% burilish va ulanishlar</t>
  </si>
  <si>
    <t xml:space="preserve">Diffuzorlar soni</t>
  </si>
  <si>
    <t xml:space="preserve">Kanallar rejasidan: sinflarga 2 tadan, xizmat xonalariga 1 tadan</t>
  </si>
  <si>
    <t xml:space="preserve">So'rish panjaralari soni</t>
  </si>
  <si>
    <t xml:space="preserve">Kanallar rejasidan</t>
  </si>
  <si>
    <t xml:space="preserve">TAXMIN — founder (16.10): eshiklar 1 m, Damas eshigi kabi yonga suriladi</t>
  </si>
  <si>
    <t xml:space="preserve">TAXMIN — logoli variant; logosiz variantda oddiy eshik ~$150</t>
  </si>
  <si>
    <t xml:space="preserve">TAXMIN — Toshkent bozori; mebelchi narxi bilan almashtiring</t>
  </si>
  <si>
    <t xml:space="preserve">TAXMIN — buyurtma asosida yasaladi</t>
  </si>
  <si>
    <t xml:space="preserve">TAXMIN — reklama ustasi narxi bilan almashtiring</t>
  </si>
  <si>
    <t xml:space="preserve">TAXMIN — ekran buyurtmachida mavjud (09.10); faqat kronshteyn va kabel</t>
  </si>
  <si>
    <t xml:space="preserve">TAXMIN — namuna bo'yicha dizayner narxi bilan almashtiring</t>
  </si>
  <si>
    <t xml:space="preserve">TAXMIN — egilgan reyka buyurtma asosida (MDF shpon yoki yog'och ko'rinishli alyuminiy profil)</t>
  </si>
  <si>
    <t xml:space="preserve">Turniketlar (buyurtmachida mavjud: kirish va chiqish)</t>
  </si>
  <si>
    <t xml:space="preserve">Buyurtmachi: mavjud — narxi hisobga kirmaydi</t>
  </si>
  <si>
    <t xml:space="preserve">Kutilmagan xarajatlar</t>
  </si>
  <si>
    <t xml:space="preserve">ulush</t>
  </si>
  <si>
    <t xml:space="preserve">Buyurtmachi: umumiy summadan 10%</t>
  </si>
  <si>
    <t xml:space="preserve">Devor balandligi (poldan shiftgacha)</t>
  </si>
  <si>
    <t xml:space="preserve">Buyurtmachi: bino balandligi 3.5 m</t>
  </si>
  <si>
    <t xml:space="preserve">Shisha qism balandligi</t>
  </si>
  <si>
    <t xml:space="preserve">Shisha ustidagi GKL</t>
  </si>
  <si>
    <t xml:space="preserve">Hisob: devor balandligi − shisha</t>
  </si>
  <si>
    <t xml:space="preserve">Eshik balandligi</t>
  </si>
  <si>
    <t xml:space="preserve">Eshik 1000 × 2100</t>
  </si>
  <si>
    <t xml:space="preserve">Eshik ustidagi GKL</t>
  </si>
  <si>
    <t xml:space="preserve">Hisob: devor balandligi − eshik</t>
  </si>
  <si>
    <t xml:space="preserve">Eshik eni — koridor eshiklari</t>
  </si>
  <si>
    <t xml:space="preserve">Founder (16.10): 1 m, suriladigan</t>
  </si>
  <si>
    <t xml:space="preserve">Eshik eni — CEO xonasi va 3-qavat o'quv xonasi</t>
  </si>
  <si>
    <t xml:space="preserve">Chizmadan (mavjud eshiklar)</t>
  </si>
  <si>
    <t xml:space="preserve">Bambuk panel balandligi</t>
  </si>
  <si>
    <t xml:space="preserve">Taxmin: poldan shiftgacha. Pastroq bo'lsa, shu katakka raqam yozing</t>
  </si>
  <si>
    <t xml:space="preserve">Bambuk panel balandligi — yuqori qavat o'quv xonasi</t>
  </si>
  <si>
    <t xml:space="preserve">Hisoblash qoidalari</t>
  </si>
  <si>
    <t xml:space="preserve">• Gips karton (GKL) devor: uzunlik × balandlik. Devorning har bir tomoni o'zi qaragan xonaga yoziladi (xona tomoni — xonaga, koridor tomoni — koridorga).</t>
  </si>
  <si>
    <t xml:space="preserve">• Shisha devor: shisha qism (2.5 m) xonaga yoziladi; ustidagi GKL (1 m) ikki tomonlama — xona va koridor tomoni alohida.</t>
  </si>
  <si>
    <t xml:space="preserve">• Koridor eshiklari (11 ta) shisha, 1 m, yonga suriladigan (founder, 16.10; barg xona ichida): eshik (2.1 m) va ustidagi shisha (0.4 m) — 2.5 m gacha shisha narxida; ustida 1 m GKL ikki tomondan; mexanizm (rels, roliklar, soft-close, tutqichlar) — «Eshiklar». Kladovka eshiklari (2 ta, 800 × 2100) — «Eshiklar», kladovka qatorlarida. Qulflar kirmagan.</t>
  </si>
  <si>
    <t xml:space="preserve">• Bambuk panel, poldan shiftgacha: o'quv xonalarida doska devori va orqa devor (interaktiv doska orqasi ayirilmagan); ofis xonalarida ikkala uzun yon devor; CEO xonasida ikkita ichki kar devor, eshik o'rni ayiriladi. Derazali tashqi va shisha devorlarga qilinmaydi.</t>
  </si>
  <si>
    <t xml:space="preserve">• Yuqori qavat o'quv xonasi (5.45 × 8.60 m, buyurtmachi chizmasi): bambuk panel 3 devorga, 2.5 m balandlikda — doska devori, orqa devor va eshikli uzun devor (eshik o'rni ayiriladi); derazali uzun devorga qilinmaydi.</t>
  </si>
  <si>
    <t xml:space="preserve">• Interaktiv doska: 7 ta shu qavat sinflariga va 1 ta yuqori qavatdagi o'quv xonasiga — jami 8 ta.</t>
  </si>
  <si>
    <t xml:space="preserve">• Perila: buyurtmachi bergan uzunlik (24 m), «Zinapoya» qatorida.</t>
  </si>
  <si>
    <t xml:space="preserve">• Uzunliklar chizma v1.2 dan (mavjud holat chizmasining fotosi asosida) — ish boshlanishidan oldin joyida o'lchanadi.</t>
  </si>
  <si>
    <t xml:space="preserve">• Yoritish: koridorlar (K1, K2) va koworking zaliga 336 $ dan, o'quv xonalari (7), ofis xonalari (4) va CEO xonasiga 168 $ dan. Kirish zali, WC va yuqori qavat xonasi kiritilmagan.</t>
  </si>
  <si>
    <t xml:space="preserve">• Videokuzatuv (18.10, Xadra_tizim_kamera): 24 ta kamera (40 $) va o'rnatish (21 $ dan), NVR, kabellar (buyurtmachi summasi kamera soniga mutanosib), PoE switch, tarmoq shkafi va UPS (TAXMIN); logotiplar jami — «Butun qavat» qatorida.</t>
  </si>
  <si>
    <t xml:space="preserve">• Internet va Wi-Fi (18.10, Xadra_tizim_internet): 16 ta 2 portli RJ-45, 6 ta Wi-Fi nuqtasi, router, switch, patch-panellar, Cat6 va lotok — chizmadagi miqdor, Toshkent taxminiy narxi. Elektr (Xadra_tizim_elektr): kabellar (3×2.5, 3×1.5, 5×4), lotok, gofra, rozetka, vyklyuchatel, avtomatlar, montaj — xuddi shunday; chiroqlar — buyurtmachi narxi («Yoritish»). Yong'in — buyurtmachi summasi (miqdorlar chizmada).</t>
  </si>
  <si>
    <t xml:space="preserve">• So'mdagi narxlar (matli plyonka, yong'in xavfsizligi, devor buzish va chiqindi, havo kanallari, santexnika) «Dollar kursi» katagi bo'yicha (11 900 so'm/$) $ ga o'tkaziladi.</t>
  </si>
  <si>
    <t xml:space="preserve">• Devor buzish: chizmadagi buziladigan devorlar uzunligi × devor balandligi (3.5 m) × 50 000 so'm/m².</t>
  </si>
  <si>
    <t xml:space="preserve">• Kutilmagan xarajatlar: umumiy summadan 10% — «Xonalar bo'yicha» varag'ining oxirida.</t>
  </si>
  <si>
    <t xml:space="preserve">• 3-qavat: 5-xona — o'quv xonasi (24 o'rin, bambuk panel va interaktiv doska); 2-xona — erkaklar hojatxonasi. Santexnika soni ikkala hojatxona uchun jami (2-qavatdagisi — ayollar: 2 kabina, unitazli, eng ichkarida; oldida rakovinali tambur — 6-xona 3-qavatga o'tish yo'lagi bo'lgani uchun ikki eshik orqali kiriladi); kafel faqat erkaklar hojatxonasi uchun (devor 58 m², pol 16 m²).</t>
  </si>
  <si>
    <t xml:space="preserve">• Konditsioner va ventilyatsiya (16.10, kanallar rejasi — Xadra_2-qavat_vitechka_konditsioner): 2 ta kanalli konditsioner (KK1, KK2) koridor oxiridagi kladovka shifti ustida, tashqi devor yonida — havo koridor bo'ylab magistral kanal bilan sinflarga (2 tadan) va xizmat xonalariga (1 tadan) diffuzorlar orqali; 30% tashqi havo 3-xonaning ko'cha tomonidan, sharqiy devor bo'ylab bloklarning orqasiga (3- va 4-xonada GKL qutida, 18.10); vitechka — alohida so'rish tarmog'i (18 panjara, VV1 3 000 m³/soat). Konditsioner, diffuzor, panjara va ventilyator narxlari TAXMIN. 96 000 BTU issiq kunda yetmaydi (har blokka ~130 000 BTU kerak) — model tanlangach narx almashtiriladi. Avvalgi taklif (2 ta rekuperator va 11 ta split) bekor qilindi. CEO xonasi va koworkingda konditsioner mavjud; 3-qavat o'quv xonasiga 1 ta konditsioner. Kirmagan: montaj (narxga kirmagan bo'lsa), kanal izolyatsiyasi, freon trassalari, tashqi blok tayanch ramasi, drenaj nasoslari (kerak bo'lsa), CO₂ datchiklari.</t>
  </si>
  <si>
    <t xml:space="preserve">• Santexnika: 4 ta kabina, issiq va sovuq suv quvurlari (40 m dan), 100 ta aksessuar, kanalizatsiya quvuri va otvodlar — «Hojatxonalar» qatorida.</t>
  </si>
  <si>
    <t xml:space="preserve">• 2-qavat koridorlari (16.10): K1 va K2 4-xona orqali kladovkagacha davom etadi; koridor oxiri — kladovkaning ko'ndalang GKL devori. Logoli variant hisoblangan (Jahon School namunasi uslubida): marmar ko'rinishli panel, mox polosalari, egilgan yog'och reykali kanopi, shift chetlarida yashil LED (taxmin, K1 va K2 qatorlarida); kladovka eshigi yashirin. Logosiz variantda marmar, mox va kanopi kirmaydi (2 × $1 350 = $2 700 kam), kladovka eshigi oddiy (~$150). E'lonlar va e'tirof doskalari — koworking qatorida.</t>
  </si>
  <si>
    <t xml:space="preserve">• TAXMINIY narxlar (to'q sariq fon): sotuv va admin xonalari mebeli va interyeri, koridor doskalari, koworking sahnasi (karkas devor, reyka, logotip, trek yoritish, ovoz, pol, minbar), 1-qavat resepshn stoykasi, mehmonlar mebeli va logotiplari, kanalli konditsionerlar, diffuzor va panjaralar, vitechka ventilyatori, suriladigan eshik mexanizmlari va kladovka eshiklari — Toshkent bozori bo'yicha dastlabki baho; mebelchi va reklama ustasi narxi bilan almashtiring. «Yakuniy» varag'ida taxminiy qism alohida ko'rsatilgan.</t>
  </si>
  <si>
    <t xml:space="preserve">• Kirmagan: o'quv xonalari, ustozlar xonasi, call-markaz, CEO va koworking mebeli — mavjud; pol (kafel) va internet provayderi (optika kirishi) — mavjud; turniketlar (2 ta) — mavjud (o'rnatish, to'siq va evakuatsiya darvozasi alohida aniqlanadi); eshik furniturasi; shift va bo'yoq; ish haqi (agar narxga kirmagan bo'lsa).</t>
  </si>
  <si>
    <t xml:space="preserve">Ranglar: ko'k — qo'lda kiritilgan qiymat; yashil — boshqa varaqdan olingan; qora — formula; sariq fon — o'zgartirish mumkin bo'lgan kataklar.</t>
  </si>
  <si>
    <t xml:space="preserve">PDP Academy · Xadra filiali (1, 2 va 3-qavat): xarajatlar hisobi, xonalar bo'yicha batafsil</t>
  </si>
  <si>
    <t xml:space="preserve">Uzunliklar chizmadan (m). Balandlik va narx «Narxlar» varag'idan olinadi (yashil). Miqdor = uzunlik × balandlik; summa = miqdor × narx.</t>
  </si>
  <si>
    <t xml:space="preserve">Ish turi</t>
  </si>
  <si>
    <t xml:space="preserve">Joyi / izoh</t>
  </si>
  <si>
    <t xml:space="preserve">Uzunlik, m</t>
  </si>
  <si>
    <t xml:space="preserve">Balandlik, m</t>
  </si>
  <si>
    <t xml:space="preserve">Miqdor</t>
  </si>
  <si>
    <t xml:space="preserve">Narx, $</t>
  </si>
  <si>
    <t xml:space="preserve">Kalit (narx)</t>
  </si>
  <si>
    <t xml:space="preserve">Resepshn orqasidagi o'ng devorda yorituvchi logotip</t>
  </si>
  <si>
    <t xml:space="preserve">Resepshn stoykasining zal tomonidagi panelidagi logotip</t>
  </si>
  <si>
    <t xml:space="preserve">Resepshn stoykasi (buyurtma asosida)</t>
  </si>
  <si>
    <t xml:space="preserve">Resepshn to'siq panellari va xodim eshikchasi (L shaklida)</t>
  </si>
  <si>
    <t xml:space="preserve">Resepshn xodimi kreslosi</t>
  </si>
  <si>
    <t xml:space="preserve">Mehmonlar divani</t>
  </si>
  <si>
    <t xml:space="preserve">Jami: 1-qavat — kirish zali (resepshn, turniket)</t>
  </si>
  <si>
    <t xml:space="preserve">Shisha devor (K1 koridori tomoni)</t>
  </si>
  <si>
    <t xml:space="preserve">Shisha eshik va ustidagi shisha (K1 koridori tomoni)</t>
  </si>
  <si>
    <t xml:space="preserve">Koworking zali bilan orasidagi devor — mavjud devordagi bo'shliqni yopish</t>
  </si>
  <si>
    <t xml:space="preserve">Shisha ustidagi GKL (K1 koridori bilan orasida)</t>
  </si>
  <si>
    <t xml:space="preserve">Eshik yonidagi kesak (K1 koridori tomoni)</t>
  </si>
  <si>
    <t xml:space="preserve">Eshik ustidagi GKL (K1 koridori bilan orasida)</t>
  </si>
  <si>
    <t xml:space="preserve">Doska devori</t>
  </si>
  <si>
    <t xml:space="preserve">Orqa devor</t>
  </si>
  <si>
    <t xml:space="preserve">Doska devoriga</t>
  </si>
  <si>
    <t xml:space="preserve">Lampalar (xona uchun)</t>
  </si>
  <si>
    <t xml:space="preserve">Suriladigan eshik mexanizmi (rels, roliklar, soft-close, tutqichlar)</t>
  </si>
  <si>
    <t xml:space="preserve">Jami: 1-xona</t>
  </si>
  <si>
    <t xml:space="preserve">Jami: 2-xona</t>
  </si>
  <si>
    <t xml:space="preserve">Kladovka (K1 oxiri) bilan orasidagi devor — mavjud devordagi bo'shliqni yopish</t>
  </si>
  <si>
    <t xml:space="preserve">Tashqi havo kanali qutisi — sharqiy devor bo'ylab, shift ostida (yoyilmasi 1.125 m)</t>
  </si>
  <si>
    <t xml:space="preserve">Jami: 3-xona</t>
  </si>
  <si>
    <t xml:space="preserve">Shisha devor (K2 koridori tomoni)</t>
  </si>
  <si>
    <t xml:space="preserve">Shisha eshik va ustidagi shisha (K2 koridori tomoni)</t>
  </si>
  <si>
    <t xml:space="preserve">Ustozlar xonasi (XZ3) bilan orasidagi devor — mavjud devordagi bo'shliqni yopish</t>
  </si>
  <si>
    <t xml:space="preserve">Eshik yonidagi kesak (K2 koridori tomoni)</t>
  </si>
  <si>
    <t xml:space="preserve">Shisha ustidagi GKL (K2 koridori bilan orasida)</t>
  </si>
  <si>
    <t xml:space="preserve">Kladovka (K2 oxiri) bilan orasidagi devor — mavjud devordagi bo'shliqni yopish</t>
  </si>
  <si>
    <t xml:space="preserve">Eshik ustidagi GKL (K2 koridori bilan orasida)</t>
  </si>
  <si>
    <t xml:space="preserve">Tashqi havo kanali qutisi — sharqiy devor bo'ylab, shift ostida (yoyilmasi 1.075 m)</t>
  </si>
  <si>
    <t xml:space="preserve">Jami: 4-xona</t>
  </si>
  <si>
    <t xml:space="preserve">6-xona bilan orasidagi devor — mavjud devordagi bo'shliqni yopish</t>
  </si>
  <si>
    <t xml:space="preserve">Jami: 5-xona</t>
  </si>
  <si>
    <t xml:space="preserve">7-xona bilan orasidagi devor — mavjud devordagi bo'shliqni yopish</t>
  </si>
  <si>
    <t xml:space="preserve">5-xona bilan orasidagi devor — mavjud devordagi bo'shliqni yopish</t>
  </si>
  <si>
    <t xml:space="preserve">Jami: 6-xona</t>
  </si>
  <si>
    <t xml:space="preserve">Kirish zali bilan orasidagi devor — mavjud devordagi bo'shliqni yopish</t>
  </si>
  <si>
    <t xml:space="preserve">Jami: 7-xona</t>
  </si>
  <si>
    <t xml:space="preserve">Koworking (sahna) bilan orasidagi devor</t>
  </si>
  <si>
    <t xml:space="preserve">Admin (XZ2) bilan orasidagi devor</t>
  </si>
  <si>
    <t xml:space="preserve">Konsultant stoli</t>
  </si>
  <si>
    <t xml:space="preserve">Konsultant kreslosi</t>
  </si>
  <si>
    <t xml:space="preserve">Mijoz stuli (har konsultantga 2 ta)</t>
  </si>
  <si>
    <t xml:space="preserve">Kutish divani</t>
  </si>
  <si>
    <t xml:space="preserve">Hujjat shkafi</t>
  </si>
  <si>
    <t xml:space="preserve">Interyer: brend devor, o'simliklar, dekor</t>
  </si>
  <si>
    <t xml:space="preserve">Jami: Offline sotuv (XZ1)</t>
  </si>
  <si>
    <t xml:space="preserve">Offline sotuv (XZ1) bilan orasidagi devor</t>
  </si>
  <si>
    <t xml:space="preserve">4-xona bilan orasidagi devor</t>
  </si>
  <si>
    <t xml:space="preserve">Ish stoli</t>
  </si>
  <si>
    <t xml:space="preserve">Ofis kreslosi</t>
  </si>
  <si>
    <t xml:space="preserve">Mehmon stuli</t>
  </si>
  <si>
    <t xml:space="preserve">Interyer: dekor, o'simliklar</t>
  </si>
  <si>
    <t xml:space="preserve">Jami: Admin (XZ2)</t>
  </si>
  <si>
    <t xml:space="preserve">Call-markaz (XZ4) bilan orasidagi devor — mavjud devordagi bo'shliqni yopish</t>
  </si>
  <si>
    <t xml:space="preserve">4-xona bilan orasidagi devor — mavjud devordagi bo'shliqni yopish</t>
  </si>
  <si>
    <t xml:space="preserve">Eski o'rta devor (admin bilan orasida)</t>
  </si>
  <si>
    <t xml:space="preserve">Call-markaz (XZ4) bilan orasidagi devor</t>
  </si>
  <si>
    <t xml:space="preserve">Jami: Ustozlar xonasi (XZ3)</t>
  </si>
  <si>
    <t xml:space="preserve">Eski o'rta devor (sotuv bilan orasida)</t>
  </si>
  <si>
    <t xml:space="preserve">Jami: Call-markaz (XZ4)</t>
  </si>
  <si>
    <t xml:space="preserve">Zinapoya va kirish zali bilan orasidagi devor (eshikli)</t>
  </si>
  <si>
    <t xml:space="preserve">Eshik o'rni (ayiriladi)</t>
  </si>
  <si>
    <t xml:space="preserve">7-xona bilan orasidagi devor</t>
  </si>
  <si>
    <t xml:space="preserve">Jami: CEO xonasi (12-xona)</t>
  </si>
  <si>
    <t xml:space="preserve">Shisha ustidagi GKL (1-xona bilan orasida)</t>
  </si>
  <si>
    <t xml:space="preserve">Eshik yonidagi kesak (1-xona tomoni)</t>
  </si>
  <si>
    <t xml:space="preserve">Shisha ustidagi GKL (2-xona bilan orasida)</t>
  </si>
  <si>
    <t xml:space="preserve">Eshik yonidagi kesak (2-xona, 3-xona tomoni)</t>
  </si>
  <si>
    <t xml:space="preserve">Shisha ustidagi GKL (3-xona bilan orasida)</t>
  </si>
  <si>
    <t xml:space="preserve">Shisha ustidagi GKL (Call-markaz (XZ4) bilan orasida)</t>
  </si>
  <si>
    <t xml:space="preserve">Koridor uchidagi burchak ustunchasi</t>
  </si>
  <si>
    <t xml:space="preserve">Shisha ustidagi GKL (Ustozlar xonasi (XZ3) bilan orasida)</t>
  </si>
  <si>
    <t xml:space="preserve">Shisha ustidagi GKL (4-xona bilan orasida)</t>
  </si>
  <si>
    <t xml:space="preserve">Eshik ustidagi GKL (1-xona eshigi)</t>
  </si>
  <si>
    <t xml:space="preserve">Eshik ustidagi GKL (2-xona eshigi)</t>
  </si>
  <si>
    <t xml:space="preserve">Eshik ustidagi GKL (3-xona eshigi)</t>
  </si>
  <si>
    <t xml:space="preserve">Eshik ustidagi GKL (Ustozlar xonasi (XZ3) eshigi)</t>
  </si>
  <si>
    <t xml:space="preserve">Eshik ustidagi GKL (Call-markaz (XZ4) eshigi)</t>
  </si>
  <si>
    <t xml:space="preserve">Lampalar</t>
  </si>
  <si>
    <t xml:space="preserve">Koridor oxiri: marmar ko'rinishli panel (logotip ostida)</t>
  </si>
  <si>
    <t xml:space="preserve">Koridor oxiri: mox polosalari va yashil LED</t>
  </si>
  <si>
    <t xml:space="preserve">Koridor oxiri: egilgan yog'och reykali kanopi, LED bilan</t>
  </si>
  <si>
    <t xml:space="preserve">Koridor shifti chetlarida yashil LED chiziqlar</t>
  </si>
  <si>
    <t xml:space="preserve">Jami: K1 koridori</t>
  </si>
  <si>
    <t xml:space="preserve">Eshik yonidagi kesak (Offline sotuv (XZ1) tomoni)</t>
  </si>
  <si>
    <t xml:space="preserve">Shisha ustidagi GKL (Offline sotuv (XZ1) bilan orasida)</t>
  </si>
  <si>
    <t xml:space="preserve">Shisha ustidagi GKL (Admin (XZ2) bilan orasida)</t>
  </si>
  <si>
    <t xml:space="preserve">Eshik yonidagi kesak (4-xona tomoni)</t>
  </si>
  <si>
    <t xml:space="preserve">Eshik yonidagi kesak (7-xona tomoni)</t>
  </si>
  <si>
    <t xml:space="preserve">Shisha ustidagi GKL (7-xona bilan orasida)</t>
  </si>
  <si>
    <t xml:space="preserve">Eshik yonidagi kesak (6-xona tomoni)</t>
  </si>
  <si>
    <t xml:space="preserve">Shisha ustidagi GKL (6-xona bilan orasida)</t>
  </si>
  <si>
    <t xml:space="preserve">Eshik yonidagi kesak (5-xona tomoni)</t>
  </si>
  <si>
    <t xml:space="preserve">Shisha ustidagi GKL (5-xona bilan orasida)</t>
  </si>
  <si>
    <t xml:space="preserve">Eshik ustidagi GKL (4-xona eshigi)</t>
  </si>
  <si>
    <t xml:space="preserve">Eshik ustidagi GKL (5-xona eshigi)</t>
  </si>
  <si>
    <t xml:space="preserve">Eshik ustidagi GKL (6-xona eshigi)</t>
  </si>
  <si>
    <t xml:space="preserve">Eshik ustidagi GKL (7-xona eshigi)</t>
  </si>
  <si>
    <t xml:space="preserve">Eshik ustidagi GKL (Offline sotuv (XZ1) eshigi)</t>
  </si>
  <si>
    <t xml:space="preserve">Eshik ustidagi GKL (Admin (XZ2) eshigi)</t>
  </si>
  <si>
    <t xml:space="preserve">Jami: K2 koridori</t>
  </si>
  <si>
    <t xml:space="preserve">3-xona bilan orasidagi devor — mavjud devordagi bo'shliqni yopish</t>
  </si>
  <si>
    <t xml:space="preserve">K1 koridori bilan orasidagi devor — mavjud devordagi bo'shliqni yopish</t>
  </si>
  <si>
    <t xml:space="preserve">Kladovka eshigi 800 × 2100 (koridor oxirida; logoli variantda yashirin)</t>
  </si>
  <si>
    <t xml:space="preserve">Jami: Kladovka (K1 oxiri)</t>
  </si>
  <si>
    <t xml:space="preserve">K2 koridori bilan orasidagi devor — mavjud devordagi bo'shliqni yopish</t>
  </si>
  <si>
    <t xml:space="preserve">Jami: Kladovka (K2 oxiri)</t>
  </si>
  <si>
    <t xml:space="preserve">1-xona bilan orasidagi devor — mavjud devordagi bo'shliqni yopish</t>
  </si>
  <si>
    <t xml:space="preserve">Sahna devori: GKL karkas va grafit panel</t>
  </si>
  <si>
    <t xml:space="preserve">Sahna devori: yog'och reykali yon panellar</t>
  </si>
  <si>
    <t xml:space="preserve">Sahna logotipi, ichidan yoritilgan (~2.0 m)</t>
  </si>
  <si>
    <t xml:space="preserve">Sahna yoritishi (trek shina, 7 ta spot, yashil LED chiziqlar)</t>
  </si>
  <si>
    <t xml:space="preserve">86" ekranni sahna devoriga ko'chirish (kronshteyn, kabel)</t>
  </si>
  <si>
    <t xml:space="preserve">Ovoz tizimi: 2 ta kolonka (devorga), mikrofon</t>
  </si>
  <si>
    <t xml:space="preserve">Sahna maydoni poli (vinil, pol bilan bir sathda)</t>
  </si>
  <si>
    <t xml:space="preserve">Minbar (tribuna)</t>
  </si>
  <si>
    <t xml:space="preserve">O'simlik (sahna yonida)</t>
  </si>
  <si>
    <t xml:space="preserve">E'lonlar doskasi (koworking shimoliy devorida, K1 ga kirishda)</t>
  </si>
  <si>
    <t xml:space="preserve">E'tirof doskasi — faxriylar, oy o'quvchisi nomzodlari (koworking shimoliy devorida)</t>
  </si>
  <si>
    <t xml:space="preserve">Jami: Koworking zali</t>
  </si>
  <si>
    <t xml:space="preserve">Jami: Kirish zali</t>
  </si>
  <si>
    <t xml:space="preserve">Perila (buyurtmachi bergan uzunlik)</t>
  </si>
  <si>
    <t xml:space="preserve">Zina panjarasi — ZN2 zinasi — koworking tomoni (devor o'rniga)</t>
  </si>
  <si>
    <t xml:space="preserve">Jami: Zinapoya</t>
  </si>
  <si>
    <t xml:space="preserve">Kamera o'rnatish</t>
  </si>
  <si>
    <t xml:space="preserve">Kabellar (Cat6, har kameraga alohida)</t>
  </si>
  <si>
    <t xml:space="preserve">PoE switch 24 port</t>
  </si>
  <si>
    <t xml:space="preserve">Tarmoq shkafi 18U (XZ4) — kamera va internet uchun umumiy</t>
  </si>
  <si>
    <t xml:space="preserve">UPS 1.5 kVA (shkaf)</t>
  </si>
  <si>
    <t xml:space="preserve">Logotiplar — 2-qavat, jami (koridor oxiridagi 2 ta yorituvchi logotip bilan)</t>
  </si>
  <si>
    <t xml:space="preserve">Shisha devorlarga matli plyonka</t>
  </si>
  <si>
    <t xml:space="preserve">Signalizatsiya, o't o'chirgichlar, evakuatsiya belgilari, avariya chiroqlari (jami)</t>
  </si>
  <si>
    <t xml:space="preserve">Devorni buzish — ZN2 to'sig'i — o'rniga zina panjarasi</t>
  </si>
  <si>
    <t xml:space="preserve">Devorni buzish — K2 koridori o'rnidagi bo'lak</t>
  </si>
  <si>
    <t xml:space="preserve">Devorni buzish — eski o'rta devor</t>
  </si>
  <si>
    <t xml:space="preserve">Devorni buzish — 7 va 11-xonalar orasidagi devor</t>
  </si>
  <si>
    <t xml:space="preserve">Devorni buzish — K1 koridori o'rnidagi bo'lak</t>
  </si>
  <si>
    <t xml:space="preserve">Qurilish chiqindisini olib chiqish (jami)</t>
  </si>
  <si>
    <t xml:space="preserve">Kanalli konditsioner KK1, KK2 (kladovka shifti ustida, tashqi devor yonida)</t>
  </si>
  <si>
    <t xml:space="preserve">Havo kanallari (vozduxovod) — berish, tashqi havo va vitechka (kanallar rejasi bo'yicha)</t>
  </si>
  <si>
    <t xml:space="preserve">Shift diffuzorlari (sinflarga 2 tadan, xizmat xonalariga 1 tadan)</t>
  </si>
  <si>
    <t xml:space="preserve">Vitechka so'rish panjaralari Ø200</t>
  </si>
  <si>
    <t xml:space="preserve">Qaytish va tashqi havo panjaralari, chiqish soyaboni</t>
  </si>
  <si>
    <t xml:space="preserve">Vitechka ventilyatori VV1 (3 000 m³/soat)</t>
  </si>
  <si>
    <t xml:space="preserve">RJ-45 rozetka, 2 portli</t>
  </si>
  <si>
    <t xml:space="preserve">Wi-Fi nuqtasi (shift, PoE)</t>
  </si>
  <si>
    <t xml:space="preserve">Router</t>
  </si>
  <si>
    <t xml:space="preserve">Switch 48 port (8 PoE+)</t>
  </si>
  <si>
    <t xml:space="preserve">Patch-panellar (internet 2, kamera 1)</t>
  </si>
  <si>
    <t xml:space="preserve">Cat6 kabeli — internet va Wi-Fi</t>
  </si>
  <si>
    <t xml:space="preserve">Past tokli lotok (kamera, internet, yong'in)</t>
  </si>
  <si>
    <t xml:space="preserve">Internet montaji</t>
  </si>
  <si>
    <t xml:space="preserve">Kabel VVGng-LS 5×4 (KK1, KK2)</t>
  </si>
  <si>
    <t xml:space="preserve">Kuch lotogi (shift ostida)</t>
  </si>
  <si>
    <t xml:space="preserve">Gofra quvur Ø20</t>
  </si>
  <si>
    <t xml:space="preserve">Rozetkalar (shu jumladan doska rozetkasi 1.6 m)</t>
  </si>
  <si>
    <t xml:space="preserve">Vyklyuchatellar</t>
  </si>
  <si>
    <t xml:space="preserve">Difavtomatlar C16, 30 mA (rozetka guruhlari)</t>
  </si>
  <si>
    <t xml:space="preserve">Avtomatlar 1P (yoritish, VV1, zaxira)</t>
  </si>
  <si>
    <t xml:space="preserve">Avtomatlar 3P C25 (KK1, KK2)</t>
  </si>
  <si>
    <t xml:space="preserve">Qo'shimcha shit qutisi 36 modul (kerak bo'lsa)</t>
  </si>
  <si>
    <t xml:space="preserve">Elektr montaji (nuqta bo'yicha)</t>
  </si>
  <si>
    <t xml:space="preserve">Jami: Butun qavat (umumiy ishlar)</t>
  </si>
  <si>
    <t xml:space="preserve">Doska devori (eni)</t>
  </si>
  <si>
    <t xml:space="preserve">Orqa devor (eni)</t>
  </si>
  <si>
    <t xml:space="preserve">Uzun devor (eshikli)</t>
  </si>
  <si>
    <t xml:space="preserve">Shimoliy devorga (eshikdan kirganda chapda)</t>
  </si>
  <si>
    <t xml:space="preserve">Konditsioner (o'quv xonasi)</t>
  </si>
  <si>
    <t xml:space="preserve">Jami: 3-qavat 5-xona — o'quv xonasi (24 o'rin)</t>
  </si>
  <si>
    <t xml:space="preserve">3-qavat koridoridagi to'siq devor — koridor tomoni</t>
  </si>
  <si>
    <t xml:space="preserve">3-qavat koridoridagi to'siq devor — tambur tomoni</t>
  </si>
  <si>
    <t xml:space="preserve">Chashagen — 3 ta erkaklar (3-qavat)</t>
  </si>
  <si>
    <t xml:space="preserve">Unitaz — 1 ta erkaklar, 2 ta ayollar</t>
  </si>
  <si>
    <t xml:space="preserve">Rakovina — 2 ta erkaklar, 2 ta ayollar (tamburlarda)</t>
  </si>
  <si>
    <t xml:space="preserve">Mustahab — har bir kabinaga (erkaklar 4, ayollar 2)</t>
  </si>
  <si>
    <t xml:space="preserve">Taxorat smesiteli — 3 ta erkaklar taxorat joyida, 1 ta ayollar</t>
  </si>
  <si>
    <t xml:space="preserve">Rakovina smesiteli — har bir rakovinaga</t>
  </si>
  <si>
    <t xml:space="preserve">Santexnika nuqtalari — usta ishi (suv va kanalizatsiya)</t>
  </si>
  <si>
    <t xml:space="preserve">Hojatxona kabinalari (erkaklar, 3-qavat)</t>
  </si>
  <si>
    <t xml:space="preserve">Kanalizatsiya quvuri (40 m) va otvodlar (jami)</t>
  </si>
  <si>
    <t xml:space="preserve">Erkaklar hojatxonasi devori — kafel (material)</t>
  </si>
  <si>
    <t xml:space="preserve">Erkaklar hojatxonasi devori — yotqizish (usta)</t>
  </si>
  <si>
    <t xml:space="preserve">Erkaklar hojatxonasi poli — kafel (material)</t>
  </si>
  <si>
    <t xml:space="preserve">Erkaklar hojatxonasi poli — yotqizish (usta)</t>
  </si>
  <si>
    <t xml:space="preserve">Jami: Hojatxonalar (3-qavat erkaklar, 2-qavat ayollar)</t>
  </si>
  <si>
    <t xml:space="preserve">JAMI (barcha xonalar)</t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</si>
</sst>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\$#,##0.00;&quot;($&quot;#,##0.00\);\-"/>
    <numFmt numFmtId="166" formatCode="#,##0&quot; so'm&quot;"/>
    <numFmt numFmtId="167" formatCode="0.0%"/>
    <numFmt numFmtId="168" formatCode="#,##0"/>
    <numFmt numFmtId="169" formatCode="dd\.mm\.yyyy"/>
    <numFmt numFmtId="170" formatCode="\$#,##0;&quot;($&quot;#,##0\);\-"/>
    <numFmt numFmtId="171" formatCode="dd\.mm"/>
    <numFmt numFmtId="172" formatCode=";;;"/>
    <numFmt numFmtId="173" formatCode="mmm\ yyyy"/>
    <numFmt numFmtId="174" formatCode="0%;;\-"/>
    <numFmt numFmtId="175" formatCode="0%"/>
    <numFmt numFmtId="176" formatCode="#,##0.00;\(#,##0.00\);\-"/>
    <numFmt numFmtId="177" formatCode="#,##0;\(#,##0\);\-"/>
    <numFmt numFmtId="178" formatCode="0.00"/>
    <numFmt numFmtId="179" formatCode="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657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0000F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657"/>
        <bgColor rgb="FF003366"/>
      </patternFill>
    </fill>
    <fill>
      <patternFill patternType="solid">
        <fgColor rgb="FFF2F2F2"/>
        <bgColor rgb="FFE8EEF6"/>
      </patternFill>
    </fill>
    <fill>
      <patternFill patternType="solid">
        <fgColor rgb="FFD9E1F2"/>
        <bgColor rgb="FFE8EEF6"/>
      </patternFill>
    </fill>
    <fill>
      <patternFill patternType="solid">
        <fgColor rgb="FFFFC000"/>
        <bgColor rgb="FFFF9900"/>
      </patternFill>
    </fill>
    <fill>
      <patternFill patternType="solid">
        <fgColor rgb="FFFFF2CC"/>
        <bgColor rgb="FFF2F2F2"/>
      </patternFill>
    </fill>
    <fill>
      <patternFill patternType="solid">
        <fgColor rgb="FFE8EEF6"/>
        <bgColor rgb="FFF2F2F2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0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12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12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2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8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5B9BD5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5B9BD5"/>
      <rgbColor rgb="FF993366"/>
      <rgbColor rgb="FFFFF2CC"/>
      <rgbColor rgb="FFE8EEF6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0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6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6"/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5" min="5" style="0" width="9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customFormat="false" ht="15" hidden="false" customHeight="false" outlineLevel="0" collapsed="false">
      <c r="A6" s="5" t="n">
        <v>1</v>
      </c>
      <c r="B6" s="6" t="s">
        <v>8</v>
      </c>
      <c r="C6" s="7" t="n">
        <f aca="false">SUMIFS('Hisob (batafsil)'!$J$5:$J$371,'Hisob (batafsil)'!$C$5:$C$371,"Shisha devor")</f>
        <v>7720.625</v>
      </c>
      <c r="D6" s="8" t="n">
        <f aca="false">C6*Narxlar!$C$58</f>
        <v>91875437.5</v>
      </c>
      <c r="E6" s="9" t="n">
        <f aca="false">IF($C$25=0,0,C6/$C$25)</f>
        <v>0.0885215909486468</v>
      </c>
    </row>
    <row r="7" customFormat="false" ht="15" hidden="false" customHeight="false" outlineLevel="0" collapsed="false">
      <c r="A7" s="5" t="n">
        <v>2</v>
      </c>
      <c r="B7" s="6" t="s">
        <v>9</v>
      </c>
      <c r="C7" s="7" t="n">
        <f aca="false">SUMIFS('Hisob (batafsil)'!$J$5:$J$371,'Hisob (batafsil)'!$C$5:$C$371,"Gips karton (GKL)")</f>
        <v>4077.36</v>
      </c>
      <c r="D7" s="8" t="n">
        <f aca="false">C7*Narxlar!$C$58</f>
        <v>48520584</v>
      </c>
      <c r="E7" s="9" t="n">
        <f aca="false">IF($C$25=0,0,C7/$C$25)</f>
        <v>0.0467493750920909</v>
      </c>
    </row>
    <row r="8" customFormat="false" ht="15" hidden="false" customHeight="false" outlineLevel="0" collapsed="false">
      <c r="A8" s="5" t="n">
        <v>3</v>
      </c>
      <c r="B8" s="6" t="s">
        <v>10</v>
      </c>
      <c r="C8" s="7" t="n">
        <f aca="false">SUMIFS('Hisob (batafsil)'!$J$5:$J$371,'Hisob (batafsil)'!$C$5:$C$371,"Bambuk panel")</f>
        <v>8292.035</v>
      </c>
      <c r="D8" s="8" t="n">
        <f aca="false">C8*Narxlar!$C$58</f>
        <v>98675216.5</v>
      </c>
      <c r="E8" s="9" t="n">
        <f aca="false">IF($C$25=0,0,C8/$C$25)</f>
        <v>0.0950731489227702</v>
      </c>
    </row>
    <row r="9" customFormat="false" ht="15" hidden="false" customHeight="false" outlineLevel="0" collapsed="false">
      <c r="A9" s="5" t="n">
        <v>4</v>
      </c>
      <c r="B9" s="6" t="s">
        <v>11</v>
      </c>
      <c r="C9" s="7" t="n">
        <f aca="false">SUMIFS('Hisob (batafsil)'!$J$5:$J$371,'Hisob (batafsil)'!$C$5:$C$371,"Interaktiv doska")</f>
        <v>8256</v>
      </c>
      <c r="D9" s="8" t="n">
        <f aca="false">C9*Narxlar!$C$58</f>
        <v>98246400</v>
      </c>
      <c r="E9" s="9" t="n">
        <f aca="false">IF($C$25=0,0,C9/$C$25)</f>
        <v>0.0946599860596814</v>
      </c>
    </row>
    <row r="10" customFormat="false" ht="15" hidden="false" customHeight="false" outlineLevel="0" collapsed="false">
      <c r="A10" s="5" t="n">
        <v>5</v>
      </c>
      <c r="B10" s="6" t="s">
        <v>12</v>
      </c>
      <c r="C10" s="7" t="n">
        <f aca="false">SUMIFS('Hisob (batafsil)'!$J$5:$J$371,'Hisob (batafsil)'!$C$5:$C$371,"Perila")</f>
        <v>2322.6</v>
      </c>
      <c r="D10" s="8" t="n">
        <f aca="false">C10*Narxlar!$C$58</f>
        <v>27638940</v>
      </c>
      <c r="E10" s="9" t="n">
        <f aca="false">IF($C$25=0,0,C10/$C$25)</f>
        <v>0.0266300004387374</v>
      </c>
    </row>
    <row r="11" customFormat="false" ht="15" hidden="false" customHeight="false" outlineLevel="0" collapsed="false">
      <c r="A11" s="5" t="n">
        <v>6</v>
      </c>
      <c r="B11" s="6" t="s">
        <v>13</v>
      </c>
      <c r="C11" s="7" t="n">
        <f aca="false">SUMIFS('Hisob (batafsil)'!$J$5:$J$371,'Hisob (batafsil)'!$C$5:$C$371,"Yoritish")</f>
        <v>3024</v>
      </c>
      <c r="D11" s="8" t="n">
        <f aca="false">C11*Narxlar!$C$58</f>
        <v>35985600</v>
      </c>
      <c r="E11" s="9" t="n">
        <f aca="false">IF($C$25=0,0,C11/$C$25)</f>
        <v>0.0346719716381391</v>
      </c>
    </row>
    <row r="12" customFormat="false" ht="15" hidden="false" customHeight="false" outlineLevel="0" collapsed="false">
      <c r="A12" s="5" t="n">
        <v>7</v>
      </c>
      <c r="B12" s="6" t="s">
        <v>14</v>
      </c>
      <c r="C12" s="7" t="n">
        <f aca="false">SUMIFS('Hisob (batafsil)'!$J$5:$J$371,'Hisob (batafsil)'!$C$5:$C$371,"Kamera tizimi")</f>
        <v>3438.5</v>
      </c>
      <c r="D12" s="8" t="n">
        <f aca="false">C12*Narxlar!$C$58</f>
        <v>40918150</v>
      </c>
      <c r="E12" s="9" t="n">
        <f aca="false">IF($C$25=0,0,C12/$C$25)</f>
        <v>0.0394244624595706</v>
      </c>
    </row>
    <row r="13" customFormat="false" ht="15" hidden="false" customHeight="false" outlineLevel="0" collapsed="false">
      <c r="A13" s="5" t="n">
        <v>8</v>
      </c>
      <c r="B13" s="6" t="s">
        <v>15</v>
      </c>
      <c r="C13" s="7" t="n">
        <f aca="false">SUMIFS('Hisob (batafsil)'!$J$5:$J$371,'Hisob (batafsil)'!$C$5:$C$371,"Logotip")</f>
        <v>3250</v>
      </c>
      <c r="D13" s="8" t="n">
        <f aca="false">C13*Narxlar!$C$58</f>
        <v>38675000</v>
      </c>
      <c r="E13" s="9" t="n">
        <f aca="false">IF($C$25=0,0,C13/$C$25)</f>
        <v>0.0372631970317302</v>
      </c>
    </row>
    <row r="14" customFormat="false" ht="15" hidden="false" customHeight="false" outlineLevel="0" collapsed="false">
      <c r="A14" s="5" t="n">
        <v>9</v>
      </c>
      <c r="B14" s="6" t="s">
        <v>16</v>
      </c>
      <c r="C14" s="7" t="n">
        <f aca="false">SUMIFS('Hisob (batafsil)'!$J$5:$J$371,'Hisob (batafsil)'!$C$5:$C$371,"Matli plyonka")</f>
        <v>537.81512605042</v>
      </c>
      <c r="D14" s="8" t="n">
        <f aca="false">C14*Narxlar!$C$58</f>
        <v>6400000</v>
      </c>
      <c r="E14" s="9" t="n">
        <f aca="false">IF($C$25=0,0,C14/$C$25)</f>
        <v>0.00616637261804973</v>
      </c>
    </row>
    <row r="15" customFormat="false" ht="15" hidden="false" customHeight="false" outlineLevel="0" collapsed="false">
      <c r="A15" s="5" t="n">
        <v>10</v>
      </c>
      <c r="B15" s="6" t="s">
        <v>17</v>
      </c>
      <c r="C15" s="7" t="n">
        <f aca="false">SUMIFS('Hisob (batafsil)'!$J$5:$J$371,'Hisob (batafsil)'!$C$5:$C$371,"Yong'in xavfsizligi")</f>
        <v>1512.60504201681</v>
      </c>
      <c r="D15" s="8" t="n">
        <f aca="false">C15*Narxlar!$C$58</f>
        <v>18000000</v>
      </c>
      <c r="E15" s="9" t="n">
        <f aca="false">IF($C$25=0,0,C15/$C$25)</f>
        <v>0.0173429229882649</v>
      </c>
    </row>
    <row r="16" customFormat="false" ht="15" hidden="false" customHeight="false" outlineLevel="0" collapsed="false">
      <c r="A16" s="5" t="n">
        <v>11</v>
      </c>
      <c r="B16" s="6" t="s">
        <v>18</v>
      </c>
      <c r="C16" s="7" t="n">
        <f aca="false">SUMIFS('Hisob (batafsil)'!$J$5:$J$371,'Hisob (batafsil)'!$C$5:$C$371,"Buzish ishlari")</f>
        <v>340.546218487395</v>
      </c>
      <c r="D16" s="8" t="n">
        <f aca="false">C16*Narxlar!$C$58</f>
        <v>4052500</v>
      </c>
      <c r="E16" s="9" t="n">
        <f aca="false">IF($C$25=0,0,C16/$C$25)</f>
        <v>0.00390456641166352</v>
      </c>
    </row>
    <row r="17" customFormat="false" ht="15" hidden="false" customHeight="false" outlineLevel="0" collapsed="false">
      <c r="A17" s="5" t="n">
        <v>12</v>
      </c>
      <c r="B17" s="6" t="s">
        <v>19</v>
      </c>
      <c r="C17" s="7" t="n">
        <f aca="false">SUMIFS('Hisob (batafsil)'!$J$5:$J$371,'Hisob (batafsil)'!$C$5:$C$371,"Santexnika")</f>
        <v>3317.64705882353</v>
      </c>
      <c r="D17" s="8" t="n">
        <f aca="false">C17*Narxlar!$C$58</f>
        <v>39480000</v>
      </c>
      <c r="E17" s="9" t="n">
        <f aca="false">IF($C$25=0,0,C17/$C$25)</f>
        <v>0.0380388110875943</v>
      </c>
    </row>
    <row r="18" customFormat="false" ht="15" hidden="false" customHeight="false" outlineLevel="0" collapsed="false">
      <c r="A18" s="5" t="n">
        <v>13</v>
      </c>
      <c r="B18" s="6" t="s">
        <v>20</v>
      </c>
      <c r="C18" s="7" t="n">
        <f aca="false">SUMIFS('Hisob (batafsil)'!$J$5:$J$371,'Hisob (batafsil)'!$C$5:$C$371,"Kafel")</f>
        <v>1243.6974789916</v>
      </c>
      <c r="D18" s="8" t="n">
        <f aca="false">C18*Narxlar!$C$58</f>
        <v>14800000</v>
      </c>
      <c r="E18" s="9" t="n">
        <f aca="false">IF($C$25=0,0,C18/$C$25)</f>
        <v>0.01425973667924</v>
      </c>
    </row>
    <row r="19" customFormat="false" ht="15" hidden="false" customHeight="false" outlineLevel="0" collapsed="false">
      <c r="A19" s="5" t="n">
        <v>14</v>
      </c>
      <c r="B19" s="6" t="s">
        <v>21</v>
      </c>
      <c r="C19" s="7" t="n">
        <f aca="false">SUMIFS('Hisob (batafsil)'!$J$5:$J$371,'Hisob (batafsil)'!$C$5:$C$371,"Konditsioner va ventilyatsiya")</f>
        <v>18061.7647058824</v>
      </c>
      <c r="D19" s="8" t="n">
        <f aca="false">C19*Narxlar!$C$58</f>
        <v>214935000</v>
      </c>
      <c r="E19" s="9" t="n">
        <f aca="false">IF($C$25=0,0,C19/$C$25)</f>
        <v>0.207088952915706</v>
      </c>
    </row>
    <row r="20" customFormat="false" ht="15" hidden="false" customHeight="false" outlineLevel="0" collapsed="false">
      <c r="A20" s="5" t="n">
        <v>15</v>
      </c>
      <c r="B20" s="6" t="s">
        <v>22</v>
      </c>
      <c r="C20" s="7" t="n">
        <f aca="false">SUMIFS('Hisob (batafsil)'!$J$5:$J$371,'Hisob (batafsil)'!$C$5:$C$371,"Mebel va interyer")</f>
        <v>13100</v>
      </c>
      <c r="D20" s="8" t="n">
        <f aca="false">C20*Narxlar!$C$58</f>
        <v>155890000</v>
      </c>
      <c r="E20" s="9" t="n">
        <f aca="false">IF($C$25=0,0,C20/$C$25)</f>
        <v>0.150199348035589</v>
      </c>
    </row>
    <row r="21" customFormat="false" ht="15" hidden="false" customHeight="false" outlineLevel="0" collapsed="false">
      <c r="A21" s="5" t="n">
        <v>16</v>
      </c>
      <c r="B21" s="6" t="s">
        <v>23</v>
      </c>
      <c r="C21" s="7" t="n">
        <f aca="false">SUMIFS('Hisob (batafsil)'!$J$5:$J$371,'Hisob (batafsil)'!$C$5:$C$371,"E'lon va e'tirof doskalari")</f>
        <v>370</v>
      </c>
      <c r="D21" s="8" t="n">
        <f aca="false">C21*Narxlar!$C$58</f>
        <v>4403000</v>
      </c>
      <c r="E21" s="9" t="n">
        <f aca="false">IF($C$25=0,0,C21/$C$25)</f>
        <v>0.0042422716620739</v>
      </c>
    </row>
    <row r="22" customFormat="false" ht="15" hidden="false" customHeight="false" outlineLevel="0" collapsed="false">
      <c r="A22" s="5" t="n">
        <v>17</v>
      </c>
      <c r="B22" s="6" t="s">
        <v>24</v>
      </c>
      <c r="C22" s="7" t="n">
        <f aca="false">SUMIFS('Hisob (batafsil)'!$J$5:$J$371,'Hisob (batafsil)'!$C$5:$C$371,"Eshiklar")</f>
        <v>2350</v>
      </c>
      <c r="D22" s="8" t="n">
        <f aca="false">C22*Narxlar!$C$58</f>
        <v>27965000</v>
      </c>
      <c r="E22" s="9" t="n">
        <f aca="false">IF($C$25=0,0,C22/$C$25)</f>
        <v>0.0269441578537126</v>
      </c>
    </row>
    <row r="23" customFormat="false" ht="15" hidden="false" customHeight="false" outlineLevel="0" collapsed="false">
      <c r="A23" s="5" t="n">
        <v>18</v>
      </c>
      <c r="B23" s="6" t="s">
        <v>25</v>
      </c>
      <c r="C23" s="7" t="n">
        <f aca="false">SUMIFS('Hisob (batafsil)'!$J$5:$J$371,'Hisob (batafsil)'!$C$5:$C$371,"Internet va Wi-Fi")</f>
        <v>2737.56302521008</v>
      </c>
      <c r="D23" s="8" t="n">
        <f aca="false">C23*Narxlar!$C$58</f>
        <v>32577000</v>
      </c>
      <c r="E23" s="9" t="n">
        <f aca="false">IF($C$25=0,0,C23/$C$25)</f>
        <v>0.0313878001215947</v>
      </c>
    </row>
    <row r="24" customFormat="false" ht="15" hidden="false" customHeight="false" outlineLevel="0" collapsed="false">
      <c r="A24" s="5" t="n">
        <v>19</v>
      </c>
      <c r="B24" s="6" t="s">
        <v>26</v>
      </c>
      <c r="C24" s="7" t="n">
        <f aca="false">SUMIFS('Hisob (batafsil)'!$J$5:$J$371,'Hisob (batafsil)'!$C$5:$C$371,"Elektr")</f>
        <v>3264.66386554622</v>
      </c>
      <c r="D24" s="8" t="n">
        <f aca="false">C24*Narxlar!$C$58</f>
        <v>38849500</v>
      </c>
      <c r="E24" s="9" t="n">
        <f aca="false">IF($C$25=0,0,C24/$C$25)</f>
        <v>0.0374313270351442</v>
      </c>
    </row>
    <row r="25" customFormat="false" ht="15" hidden="false" customHeight="false" outlineLevel="0" collapsed="false">
      <c r="A25" s="10"/>
      <c r="B25" s="11" t="s">
        <v>27</v>
      </c>
      <c r="C25" s="12" t="n">
        <f aca="false">SUM(C6:C24)</f>
        <v>87217.4225210084</v>
      </c>
      <c r="D25" s="13" t="n">
        <f aca="false">C25*Narxlar!$C$58</f>
        <v>1037887328</v>
      </c>
      <c r="E25" s="14" t="n">
        <f aca="false">SUM(E6:E24)</f>
        <v>1</v>
      </c>
    </row>
    <row r="26" customFormat="false" ht="15" hidden="false" customHeight="false" outlineLevel="0" collapsed="false">
      <c r="A26" s="15"/>
      <c r="B26" s="16" t="str">
        <f aca="false">"Kutilmagan xarajatlar ("&amp;TEXT(Narxlar!$C$132,"0%")&amp;")"</f>
        <v>Kutilmagan xarajatlar (10%)</v>
      </c>
      <c r="C26" s="17" t="n">
        <f aca="false">C25*Narxlar!$C$132</f>
        <v>8721.74225210084</v>
      </c>
      <c r="D26" s="18" t="n">
        <f aca="false">C26*Narxlar!$C$58</f>
        <v>103788732.8</v>
      </c>
      <c r="E26" s="16"/>
    </row>
    <row r="27" customFormat="false" ht="15" hidden="false" customHeight="false" outlineLevel="0" collapsed="false">
      <c r="A27" s="19"/>
      <c r="B27" s="20" t="s">
        <v>28</v>
      </c>
      <c r="C27" s="21" t="n">
        <f aca="false">C25+C26</f>
        <v>95939.1647731092</v>
      </c>
      <c r="D27" s="22" t="n">
        <f aca="false">C27*Narxlar!$C$58</f>
        <v>1141676060.8</v>
      </c>
      <c r="E27" s="20"/>
    </row>
    <row r="28" customFormat="false" ht="15" hidden="false" customHeight="false" outlineLevel="0" collapsed="false">
      <c r="A28" s="23"/>
      <c r="B28" s="24" t="s">
        <v>29</v>
      </c>
      <c r="C28" s="25" t="n">
        <f aca="false">SUMIFS('Hisob (batafsil)'!$J$5:$J$371,'Hisob (batafsil)'!$K$5:$K$371,"poeSw")+SUMIFS('Hisob (batafsil)'!$J$5:$J$371,'Hisob (batafsil)'!$K$5:$K$371,"shkaf18")+SUMIFS('Hisob (batafsil)'!$J$5:$J$371,'Hisob (batafsil)'!$K$5:$K$371,"ups")+SUMIFS('Hisob (batafsil)'!$J$5:$J$371,'Hisob (batafsil)'!$K$5:$K$371,"router")+SUMIFS('Hisob (batafsil)'!$J$5:$J$371,'Hisob (batafsil)'!$K$5:$K$371,"sw48")+SUMIFS('Hisob (batafsil)'!$J$5:$J$371,'Hisob (batafsil)'!$K$5:$K$371,"patch")+SUMIFS('Hisob (batafsil)'!$J$5:$J$371,'Hisob (batafsil)'!$K$5:$K$371,"rj45")+SUMIFS('Hisob (batafsil)'!$J$5:$J$371,'Hisob (batafsil)'!$K$5:$K$371,"ap")+SUMIFS('Hisob (batafsil)'!$J$5:$J$371,'Hisob (batafsil)'!$K$5:$K$371,"cat6")+SUMIFS('Hisob (batafsil)'!$J$5:$J$371,'Hisob (batafsil)'!$K$5:$K$371,"netMontaj")+SUMIFS('Hisob (batafsil)'!$J$5:$J$371,'Hisob (batafsil)'!$K$5:$K$371,"lotok")+SUMIFS('Hisob (batafsil)'!$J$5:$J$371,'Hisob (batafsil)'!$K$5:$K$371,"k25")+SUMIFS('Hisob (batafsil)'!$J$5:$J$371,'Hisob (batafsil)'!$K$5:$K$371,"k15")+SUMIFS('Hisob (batafsil)'!$J$5:$J$371,'Hisob (batafsil)'!$K$5:$K$371,"k54")+SUMIFS('Hisob (batafsil)'!$J$5:$J$371,'Hisob (batafsil)'!$K$5:$K$371,"gofra")+SUMIFS('Hisob (batafsil)'!$J$5:$J$371,'Hisob (batafsil)'!$K$5:$K$371,"rozetka")+SUMIFS('Hisob (batafsil)'!$J$5:$J$371,'Hisob (batafsil)'!$K$5:$K$371,"vykl")+SUMIFS('Hisob (batafsil)'!$J$5:$J$371,'Hisob (batafsil)'!$K$5:$K$371,"difavt")+SUMIFS('Hisob (batafsil)'!$J$5:$J$371,'Hisob (batafsil)'!$K$5:$K$371,"avt1")+SUMIFS('Hisob (batafsil)'!$J$5:$J$371,'Hisob (batafsil)'!$K$5:$K$371,"avt3")+SUMIFS('Hisob (batafsil)'!$J$5:$J$371,'Hisob (batafsil)'!$K$5:$K$371,"shitQuti")+SUMIFS('Hisob (batafsil)'!$J$5:$J$371,'Hisob (batafsil)'!$K$5:$K$371,"elMontaj")+SUMIFS('Hisob (batafsil)'!$J$5:$J$371,'Hisob (batafsil)'!$K$5:$K$371,"kk")+SUMIFS('Hisob (batafsil)'!$J$5:$J$371,'Hisob (batafsil)'!$K$5:$K$371,"diffuzor")+SUMIFS('Hisob (batafsil)'!$J$5:$J$371,'Hisob (batafsil)'!$K$5:$K$371,"sorPanjara")+SUMIFS('Hisob (batafsil)'!$J$5:$J$371,'Hisob (batafsil)'!$K$5:$K$371,"qPanjara")+SUMIFS('Hisob (batafsil)'!$J$5:$J$371,'Hisob (batafsil)'!$K$5:$K$371,"vv")+SUMIFS('Hisob (batafsil)'!$J$5:$J$371,'Hisob (batafsil)'!$K$5:$K$371,"surmaMex")+SUMIFS('Hisob (batafsil)'!$J$5:$J$371,'Hisob (batafsil)'!$K$5:$K$371,"eshKL")+SUMIFS('Hisob (batafsil)'!$J$5:$J$371,'Hisob (batafsil)'!$K$5:$K$371,"stolOfis")+SUMIFS('Hisob (batafsil)'!$J$5:$J$371,'Hisob (batafsil)'!$K$5:$K$371,"kreslo")+SUMIFS('Hisob (batafsil)'!$J$5:$J$371,'Hisob (batafsil)'!$K$5:$K$371,"mijozStul")+SUMIFS('Hisob (batafsil)'!$J$5:$J$371,'Hisob (batafsil)'!$K$5:$K$371,"divan")+SUMIFS('Hisob (batafsil)'!$J$5:$J$371,'Hisob (batafsil)'!$K$5:$K$371,"shkaf")+SUMIFS('Hisob (batafsil)'!$J$5:$J$371,'Hisob (batafsil)'!$K$5:$K$371,"stolcha")+SUMIFS('Hisob (batafsil)'!$J$5:$J$371,'Hisob (batafsil)'!$K$5:$K$371,"interyerXZ1")+SUMIFS('Hisob (batafsil)'!$J$5:$J$371,'Hisob (batafsil)'!$K$5:$K$371,"interyerXZ2")+SUMIFS('Hisob (batafsil)'!$J$5:$J$371,'Hisob (batafsil)'!$K$5:$K$371,"elonDoska")+SUMIFS('Hisob (batafsil)'!$J$5:$J$371,'Hisob (batafsil)'!$K$5:$K$371,"etirofDoska")+SUMIFS('Hisob (batafsil)'!$J$5:$J$371,'Hisob (batafsil)'!$K$5:$K$371,"resepshn")+SUMIFS('Hisob (batafsil)'!$J$5:$J$371,'Hisob (batafsil)'!$K$5:$K$371,"resepshnPanel")+SUMIFS('Hisob (batafsil)'!$J$5:$J$371,'Hisob (batafsil)'!$K$5:$K$371,"logoDevor1")+SUMIFS('Hisob (batafsil)'!$J$5:$J$371,'Hisob (batafsil)'!$K$5:$K$371,"logoStol1")+SUMIFS('Hisob (batafsil)'!$J$5:$J$371,'Hisob (batafsil)'!$K$5:$K$371,"sahnaDevor")+SUMIFS('Hisob (batafsil)'!$J$5:$J$371,'Hisob (batafsil)'!$K$5:$K$371,"sahnaReyka")+SUMIFS('Hisob (batafsil)'!$J$5:$J$371,'Hisob (batafsil)'!$K$5:$K$371,"sahnaLogo")+SUMIFS('Hisob (batafsil)'!$J$5:$J$371,'Hisob (batafsil)'!$K$5:$K$371,"sahnaYor")+SUMIFS('Hisob (batafsil)'!$J$5:$J$371,'Hisob (batafsil)'!$K$5:$K$371,"sahnaEkran")+SUMIFS('Hisob (batafsil)'!$J$5:$J$371,'Hisob (batafsil)'!$K$5:$K$371,"sahnaAudio")+SUMIFS('Hisob (batafsil)'!$J$5:$J$371,'Hisob (batafsil)'!$K$5:$K$371,"sahnaPol")+SUMIFS('Hisob (batafsil)'!$J$5:$J$371,'Hisob (batafsil)'!$K$5:$K$371,"minbar")+SUMIFS('Hisob (batafsil)'!$J$5:$J$371,'Hisob (batafsil)'!$K$5:$K$371,"sahnaOsimlik")+SUMIFS('Hisob (batafsil)'!$J$5:$J$371,'Hisob (batafsil)'!$K$5:$K$371,"korMarmar")+SUMIFS('Hisob (batafsil)'!$J$5:$J$371,'Hisob (batafsil)'!$K$5:$K$371,"korMox")+SUMIFS('Hisob (batafsil)'!$J$5:$J$371,'Hisob (batafsil)'!$K$5:$K$371,"korReyka")+SUMIFS('Hisob (batafsil)'!$J$5:$J$371,'Hisob (batafsil)'!$K$5:$K$371,"korYashil")</f>
        <v>35902.2268907563</v>
      </c>
      <c r="D28" s="26" t="n">
        <f aca="false">C28*Narxlar!$C$58</f>
        <v>427236500</v>
      </c>
      <c r="E28" s="24"/>
    </row>
    <row r="30" customFormat="false" ht="15" hidden="false" customHeight="false" outlineLevel="0" collapsed="false">
      <c r="A30" s="3" t="s">
        <v>30</v>
      </c>
    </row>
    <row r="31" customFormat="false" ht="15" hidden="false" customHeight="false" outlineLevel="0" collapsed="false">
      <c r="A31" s="4" t="s">
        <v>3</v>
      </c>
      <c r="B31" s="4" t="s">
        <v>31</v>
      </c>
      <c r="C31" s="4" t="s">
        <v>5</v>
      </c>
      <c r="D31" s="4" t="s">
        <v>6</v>
      </c>
      <c r="E31" s="4" t="s">
        <v>7</v>
      </c>
    </row>
    <row r="32" customFormat="false" ht="15" hidden="false" customHeight="false" outlineLevel="0" collapsed="false">
      <c r="A32" s="5" t="n">
        <v>1</v>
      </c>
      <c r="B32" s="6" t="s">
        <v>32</v>
      </c>
      <c r="C32" s="7" t="n">
        <f aca="false">'Xonalar bo''yicha'!$Z$7</f>
        <v>3430</v>
      </c>
      <c r="D32" s="8" t="n">
        <f aca="false">C32*Narxlar!$C$58</f>
        <v>40817000</v>
      </c>
      <c r="E32" s="9" t="n">
        <f aca="false">IF($C$37=0,0,C32/$C$37)</f>
        <v>0.0393270048673337</v>
      </c>
    </row>
    <row r="33" customFormat="false" ht="15" hidden="false" customHeight="false" outlineLevel="0" collapsed="false">
      <c r="A33" s="5" t="n">
        <v>2</v>
      </c>
      <c r="B33" s="6" t="s">
        <v>33</v>
      </c>
      <c r="C33" s="7" t="n">
        <f aca="false">'Xonalar bo''yicha'!$Z$17</f>
        <v>21453.31</v>
      </c>
      <c r="D33" s="8" t="n">
        <f aca="false">C33*Narxlar!$C$58</f>
        <v>255294389</v>
      </c>
      <c r="E33" s="9" t="n">
        <f aca="false">IF($C$37=0,0,C33/$C$37)</f>
        <v>0.245975051542396</v>
      </c>
    </row>
    <row r="34" customFormat="false" ht="15" hidden="false" customHeight="false" outlineLevel="0" collapsed="false">
      <c r="A34" s="5" t="n">
        <v>3</v>
      </c>
      <c r="B34" s="6" t="s">
        <v>34</v>
      </c>
      <c r="C34" s="7" t="n">
        <f aca="false">'Xonalar bo''yicha'!$Z$25</f>
        <v>10760.58</v>
      </c>
      <c r="D34" s="8" t="n">
        <f aca="false">C34*Narxlar!$C$58</f>
        <v>128050902</v>
      </c>
      <c r="E34" s="9" t="n">
        <f aca="false">IF($C$37=0,0,C34/$C$37)</f>
        <v>0.123376496220214</v>
      </c>
    </row>
    <row r="35" customFormat="false" ht="15" hidden="false" customHeight="false" outlineLevel="0" collapsed="false">
      <c r="A35" s="5" t="n">
        <v>4</v>
      </c>
      <c r="B35" s="6" t="s">
        <v>35</v>
      </c>
      <c r="C35" s="7" t="n">
        <f aca="false">'Xonalar bo''yicha'!$Z$36</f>
        <v>44014.4579831933</v>
      </c>
      <c r="D35" s="8" t="n">
        <f aca="false">C35*Narxlar!$C$58</f>
        <v>523772050</v>
      </c>
      <c r="E35" s="9" t="n">
        <f aca="false">IF($C$37=0,0,C35/$C$37)</f>
        <v>0.50465212925309</v>
      </c>
    </row>
    <row r="36" customFormat="false" ht="15" hidden="false" customHeight="false" outlineLevel="0" collapsed="false">
      <c r="A36" s="5" t="n">
        <v>5</v>
      </c>
      <c r="B36" s="6" t="s">
        <v>36</v>
      </c>
      <c r="C36" s="7" t="n">
        <f aca="false">'Xonalar bo''yicha'!$Z$41</f>
        <v>7559.07453781513</v>
      </c>
      <c r="D36" s="8" t="n">
        <f aca="false">C36*Narxlar!$C$58</f>
        <v>89952987</v>
      </c>
      <c r="E36" s="9" t="n">
        <f aca="false">IF($C$37=0,0,C36/$C$37)</f>
        <v>0.0866693181169662</v>
      </c>
    </row>
    <row r="37" customFormat="false" ht="15" hidden="false" customHeight="false" outlineLevel="0" collapsed="false">
      <c r="A37" s="10"/>
      <c r="B37" s="11" t="s">
        <v>27</v>
      </c>
      <c r="C37" s="12" t="n">
        <f aca="false">SUM(C32:C36)</f>
        <v>87217.4225210084</v>
      </c>
      <c r="D37" s="13" t="n">
        <f aca="false">C37*Narxlar!$C$58</f>
        <v>1037887328</v>
      </c>
      <c r="E37" s="14" t="n">
        <f aca="false">SUM(E32:E36)</f>
        <v>1</v>
      </c>
    </row>
    <row r="39" customFormat="false" ht="15" hidden="false" customHeight="false" outlineLevel="0" collapsed="false">
      <c r="B39" s="2" t="s">
        <v>37</v>
      </c>
      <c r="C39" s="27" t="n">
        <f aca="false">C25-C37</f>
        <v>0</v>
      </c>
    </row>
    <row r="40" customFormat="false" ht="15" hidden="false" customHeight="false" outlineLevel="0" collapsed="false">
      <c r="B40" s="2" t="s">
        <v>38</v>
      </c>
      <c r="C40" s="28" t="n">
        <f aca="false">Narxlar!$C$58</f>
        <v>11900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1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4"/>
    <col collapsed="false" customWidth="true" hidden="false" outlineLevel="0" max="3" min="3" style="0" width="60"/>
    <col collapsed="false" customWidth="true" hidden="false" outlineLevel="0" max="4" min="4" style="0" width="10"/>
    <col collapsed="false" customWidth="true" hidden="false" outlineLevel="0" max="9" min="5" style="0" width="12"/>
    <col collapsed="false" customWidth="true" hidden="false" outlineLevel="0" max="10" min="10" style="0" width="16"/>
    <col collapsed="false" customWidth="true" hidden="false" outlineLevel="0" max="11" min="11" style="0" width="9"/>
    <col collapsed="false" customWidth="true" hidden="false" outlineLevel="0" max="12" min="12" style="0" width="12"/>
    <col collapsed="false" customWidth="true" hidden="false" outlineLevel="0" max="17" min="13" style="0" width="10"/>
  </cols>
  <sheetData>
    <row r="1" customFormat="false" ht="17.35" hidden="false" customHeight="false" outlineLevel="0" collapsed="false">
      <c r="A1" s="1" t="s">
        <v>39</v>
      </c>
    </row>
    <row r="2" customFormat="false" ht="15" hidden="false" customHeight="false" outlineLevel="0" collapsed="false">
      <c r="A2" s="2" t="s">
        <v>40</v>
      </c>
    </row>
    <row r="4" customFormat="false" ht="15" hidden="false" customHeight="false" outlineLevel="0" collapsed="false">
      <c r="B4" s="3" t="s">
        <v>41</v>
      </c>
      <c r="C4" s="29" t="n">
        <v>46314</v>
      </c>
      <c r="D4" s="2" t="s">
        <v>42</v>
      </c>
    </row>
    <row r="5" customFormat="false" ht="15" hidden="false" customHeight="false" outlineLevel="0" collapsed="false">
      <c r="B5" s="3" t="s">
        <v>43</v>
      </c>
      <c r="C5" s="30" t="n">
        <v>46364</v>
      </c>
      <c r="D5" s="30" t="n">
        <v>46387</v>
      </c>
      <c r="E5" s="30" t="n">
        <v>46388</v>
      </c>
      <c r="F5" s="30" t="n">
        <v>46389</v>
      </c>
    </row>
    <row r="7" customFormat="false" ht="15" hidden="false" customHeight="false" outlineLevel="0" collapsed="false">
      <c r="A7" s="3" t="s">
        <v>44</v>
      </c>
    </row>
    <row r="8" customFormat="false" ht="15" hidden="false" customHeight="false" outlineLevel="0" collapsed="false">
      <c r="A8" s="4" t="s">
        <v>45</v>
      </c>
      <c r="B8" s="4" t="s">
        <v>46</v>
      </c>
      <c r="C8" s="4" t="s">
        <v>47</v>
      </c>
      <c r="D8" s="4" t="s">
        <v>48</v>
      </c>
      <c r="E8" s="4" t="s">
        <v>49</v>
      </c>
      <c r="F8" s="4" t="s">
        <v>50</v>
      </c>
      <c r="G8" s="4" t="s">
        <v>51</v>
      </c>
      <c r="H8" s="4" t="s">
        <v>52</v>
      </c>
      <c r="I8" s="4" t="s">
        <v>53</v>
      </c>
      <c r="J8" s="4" t="s">
        <v>54</v>
      </c>
      <c r="K8" s="4" t="s">
        <v>7</v>
      </c>
      <c r="L8" s="4" t="s">
        <v>55</v>
      </c>
    </row>
    <row r="9" customFormat="false" ht="51.75" hidden="false" customHeight="true" outlineLevel="0" collapsed="false">
      <c r="A9" s="31" t="s">
        <v>56</v>
      </c>
      <c r="B9" s="32" t="s">
        <v>57</v>
      </c>
      <c r="C9" s="33" t="s">
        <v>58</v>
      </c>
      <c r="D9" s="34" t="n">
        <v>6</v>
      </c>
      <c r="E9" s="35" t="n">
        <f aca="false">WORKDAY.INTL($C$4-1,1,"0000001",$C$5:$F$5)</f>
        <v>46314</v>
      </c>
      <c r="F9" s="35" t="n">
        <f aca="false">WORKDAY.INTL(E9,D9-1,"0000001",$C$5:$F$5)</f>
        <v>46319</v>
      </c>
      <c r="G9" s="36" t="n">
        <f aca="false">L129</f>
        <v>10520</v>
      </c>
      <c r="H9" s="37" t="n">
        <f aca="false">G9*Narxlar!$C$132</f>
        <v>1052</v>
      </c>
      <c r="I9" s="37" t="n">
        <f aca="false">G9+H9</f>
        <v>11572</v>
      </c>
      <c r="J9" s="38" t="n">
        <f aca="false">I9*Narxlar!$C$58</f>
        <v>137706800</v>
      </c>
      <c r="K9" s="39" t="n">
        <f aca="false">IF($I$15=0,0,I9/$I$15)</f>
        <v>0.120618102391939</v>
      </c>
      <c r="L9" s="37" t="n">
        <f aca="false">SUM($I$9:I9)</f>
        <v>11572</v>
      </c>
    </row>
    <row r="10" customFormat="false" ht="51.75" hidden="false" customHeight="true" outlineLevel="0" collapsed="false">
      <c r="A10" s="31" t="s">
        <v>59</v>
      </c>
      <c r="B10" s="32" t="s">
        <v>18</v>
      </c>
      <c r="C10" s="33" t="s">
        <v>60</v>
      </c>
      <c r="D10" s="34" t="n">
        <v>4</v>
      </c>
      <c r="E10" s="35" t="n">
        <f aca="false">WORKDAY.INTL(F9,1,"0000001",$C$5:$F$5)</f>
        <v>46321</v>
      </c>
      <c r="F10" s="35" t="n">
        <f aca="false">WORKDAY.INTL(E10,D10-1,"0000001",$C$5:$F$5)</f>
        <v>46324</v>
      </c>
      <c r="G10" s="36" t="n">
        <f aca="false">M129</f>
        <v>340.546218487395</v>
      </c>
      <c r="H10" s="37" t="n">
        <f aca="false">G10*Narxlar!$C$132</f>
        <v>34.0546218487395</v>
      </c>
      <c r="I10" s="37" t="n">
        <f aca="false">G10+H10</f>
        <v>374.600840336134</v>
      </c>
      <c r="J10" s="38" t="n">
        <f aca="false">I10*Narxlar!$C$58</f>
        <v>4457750</v>
      </c>
      <c r="K10" s="39" t="n">
        <f aca="false">IF($I$15=0,0,I10/$I$15)</f>
        <v>0.00390456641166352</v>
      </c>
      <c r="L10" s="37" t="n">
        <f aca="false">SUM($I$9:I10)</f>
        <v>11946.6008403361</v>
      </c>
    </row>
    <row r="11" customFormat="false" ht="51.75" hidden="false" customHeight="true" outlineLevel="0" collapsed="false">
      <c r="A11" s="31" t="s">
        <v>61</v>
      </c>
      <c r="B11" s="32" t="s">
        <v>62</v>
      </c>
      <c r="C11" s="33" t="s">
        <v>63</v>
      </c>
      <c r="D11" s="34" t="n">
        <v>12</v>
      </c>
      <c r="E11" s="35" t="n">
        <f aca="false">WORKDAY.INTL(F10,1,"0000001",$C$5:$F$5)</f>
        <v>46325</v>
      </c>
      <c r="F11" s="35" t="n">
        <f aca="false">WORKDAY.INTL(E11,D11-1,"0000001",$C$5:$F$5)</f>
        <v>46338</v>
      </c>
      <c r="G11" s="36" t="n">
        <f aca="false">N129</f>
        <v>18139.6085714286</v>
      </c>
      <c r="H11" s="37" t="n">
        <f aca="false">G11*Narxlar!$C$132</f>
        <v>1813.96085714286</v>
      </c>
      <c r="I11" s="37" t="n">
        <f aca="false">G11+H11</f>
        <v>19953.5694285714</v>
      </c>
      <c r="J11" s="38" t="n">
        <f aca="false">I11*Narxlar!$C$58</f>
        <v>237447476.2</v>
      </c>
      <c r="K11" s="39" t="n">
        <f aca="false">IF($I$15=0,0,I11/$I$15)</f>
        <v>0.207981479469417</v>
      </c>
      <c r="L11" s="37" t="n">
        <f aca="false">SUM($I$9:I11)</f>
        <v>31900.1702689076</v>
      </c>
    </row>
    <row r="12" customFormat="false" ht="51.75" hidden="false" customHeight="true" outlineLevel="0" collapsed="false">
      <c r="A12" s="31" t="s">
        <v>64</v>
      </c>
      <c r="B12" s="32" t="s">
        <v>65</v>
      </c>
      <c r="C12" s="33" t="s">
        <v>66</v>
      </c>
      <c r="D12" s="34" t="n">
        <v>10</v>
      </c>
      <c r="E12" s="35" t="n">
        <f aca="false">WORKDAY.INTL(F11,1,"0000001",$C$5:$F$5)</f>
        <v>46339</v>
      </c>
      <c r="F12" s="35" t="n">
        <f aca="false">WORKDAY.INTL(E12,D12-1,"0000001",$C$5:$F$5)</f>
        <v>46350</v>
      </c>
      <c r="G12" s="36" t="n">
        <f aca="false">O129</f>
        <v>17034.7249789916</v>
      </c>
      <c r="H12" s="37" t="n">
        <f aca="false">G12*Narxlar!$C$132</f>
        <v>1703.47249789916</v>
      </c>
      <c r="I12" s="37" t="n">
        <f aca="false">G12+H12</f>
        <v>18738.1974768908</v>
      </c>
      <c r="J12" s="38" t="n">
        <f aca="false">I12*Narxlar!$C$58</f>
        <v>222984549.975</v>
      </c>
      <c r="K12" s="39" t="n">
        <f aca="false">IF($I$15=0,0,I12/$I$15)</f>
        <v>0.195313327161077</v>
      </c>
      <c r="L12" s="37" t="n">
        <f aca="false">SUM($I$9:I12)</f>
        <v>50638.3677457983</v>
      </c>
    </row>
    <row r="13" customFormat="false" ht="51.75" hidden="false" customHeight="true" outlineLevel="0" collapsed="false">
      <c r="A13" s="31" t="s">
        <v>67</v>
      </c>
      <c r="B13" s="32" t="s">
        <v>68</v>
      </c>
      <c r="C13" s="33" t="s">
        <v>69</v>
      </c>
      <c r="D13" s="34" t="n">
        <v>10</v>
      </c>
      <c r="E13" s="35" t="n">
        <f aca="false">WORKDAY.INTL(F12,1,"0000001",$C$5:$F$5)</f>
        <v>46351</v>
      </c>
      <c r="F13" s="35" t="n">
        <f aca="false">WORKDAY.INTL(E13,D13-1,"0000001",$C$5:$F$5)</f>
        <v>46361</v>
      </c>
      <c r="G13" s="36" t="n">
        <f aca="false">P129</f>
        <v>32442.5427521008</v>
      </c>
      <c r="H13" s="37" t="n">
        <f aca="false">G13*Narxlar!$C$132</f>
        <v>3244.25427521008</v>
      </c>
      <c r="I13" s="37" t="n">
        <f aca="false">G13+H13</f>
        <v>35686.7970273109</v>
      </c>
      <c r="J13" s="38" t="n">
        <f aca="false">I13*Narxlar!$C$58</f>
        <v>424672884.625</v>
      </c>
      <c r="K13" s="39" t="n">
        <f aca="false">IF($I$15=0,0,I13/$I$15)</f>
        <v>0.371973188548266</v>
      </c>
      <c r="L13" s="37" t="n">
        <f aca="false">SUM($I$9:I13)</f>
        <v>86325.1647731093</v>
      </c>
    </row>
    <row r="14" customFormat="false" ht="51.75" hidden="false" customHeight="true" outlineLevel="0" collapsed="false">
      <c r="A14" s="31" t="s">
        <v>70</v>
      </c>
      <c r="B14" s="32" t="s">
        <v>71</v>
      </c>
      <c r="C14" s="33" t="s">
        <v>72</v>
      </c>
      <c r="D14" s="34" t="n">
        <v>6</v>
      </c>
      <c r="E14" s="35" t="n">
        <f aca="false">WORKDAY.INTL(F13,1,"0000001",$C$5:$F$5)</f>
        <v>46363</v>
      </c>
      <c r="F14" s="35" t="n">
        <f aca="false">WORKDAY.INTL(E14,D14-1,"0000001",$C$5:$F$5)</f>
        <v>46370</v>
      </c>
      <c r="G14" s="36" t="n">
        <f aca="false">Q129</f>
        <v>8740</v>
      </c>
      <c r="H14" s="37" t="n">
        <f aca="false">G14*Narxlar!$C$132</f>
        <v>874</v>
      </c>
      <c r="I14" s="37" t="n">
        <f aca="false">G14+H14</f>
        <v>9614</v>
      </c>
      <c r="J14" s="38" t="n">
        <f aca="false">I14*Narxlar!$C$58</f>
        <v>114406600</v>
      </c>
      <c r="K14" s="39" t="n">
        <f aca="false">IF($I$15=0,0,I14/$I$15)</f>
        <v>0.100209336017638</v>
      </c>
      <c r="L14" s="37" t="n">
        <f aca="false">SUM($I$9:I14)</f>
        <v>95939.1647731092</v>
      </c>
    </row>
    <row r="15" customFormat="false" ht="15" hidden="false" customHeight="false" outlineLevel="0" collapsed="false">
      <c r="A15" s="11"/>
      <c r="B15" s="11" t="s">
        <v>27</v>
      </c>
      <c r="C15" s="11"/>
      <c r="D15" s="11" t="n">
        <f aca="false">SUM(D9:D14)</f>
        <v>48</v>
      </c>
      <c r="E15" s="40" t="n">
        <f aca="false">E9</f>
        <v>46314</v>
      </c>
      <c r="F15" s="40" t="n">
        <f aca="false">F14</f>
        <v>46370</v>
      </c>
      <c r="G15" s="41" t="n">
        <f aca="false">SUM(G9:G14)</f>
        <v>87217.4225210084</v>
      </c>
      <c r="H15" s="41" t="n">
        <f aca="false">SUM(H9:H14)</f>
        <v>8721.74225210084</v>
      </c>
      <c r="I15" s="41" t="n">
        <f aca="false">SUM(I9:I14)</f>
        <v>95939.1647731092</v>
      </c>
      <c r="J15" s="42" t="n">
        <f aca="false">I15*Narxlar!$C$58</f>
        <v>1141676060.8</v>
      </c>
      <c r="K15" s="14" t="n">
        <f aca="false">SUM(K9:K14)</f>
        <v>1</v>
      </c>
      <c r="L15" s="11"/>
    </row>
    <row r="16" customFormat="false" ht="15" hidden="false" customHeight="false" outlineLevel="0" collapsed="false">
      <c r="B16" s="2" t="s">
        <v>73</v>
      </c>
      <c r="I16" s="27" t="n">
        <f aca="false">I15-Yakuniy!$C$27</f>
        <v>0</v>
      </c>
    </row>
    <row r="17" customFormat="false" ht="15" hidden="false" customHeight="false" outlineLevel="0" collapsed="false">
      <c r="B17" s="2" t="s">
        <v>74</v>
      </c>
      <c r="D17" s="2" t="n">
        <f aca="false">F15-E15+1</f>
        <v>57</v>
      </c>
    </row>
    <row r="19" customFormat="false" ht="15" hidden="false" customHeight="false" outlineLevel="0" collapsed="false">
      <c r="A19" s="3" t="s">
        <v>75</v>
      </c>
    </row>
    <row r="20" customFormat="false" ht="15" hidden="false" customHeight="false" outlineLevel="0" collapsed="false">
      <c r="A20" s="43" t="s">
        <v>45</v>
      </c>
      <c r="B20" s="43" t="s">
        <v>76</v>
      </c>
      <c r="C20" s="44" t="n">
        <f aca="false">$C$4-WEEKDAY($C$4,2)+1+7*0</f>
        <v>46314</v>
      </c>
      <c r="D20" s="44" t="n">
        <f aca="false">$C$4-WEEKDAY($C$4,2)+1+7*1</f>
        <v>46321</v>
      </c>
      <c r="E20" s="44" t="n">
        <f aca="false">$C$4-WEEKDAY($C$4,2)+1+7*2</f>
        <v>46328</v>
      </c>
      <c r="F20" s="44" t="n">
        <f aca="false">$C$4-WEEKDAY($C$4,2)+1+7*3</f>
        <v>46335</v>
      </c>
      <c r="G20" s="44" t="n">
        <f aca="false">$C$4-WEEKDAY($C$4,2)+1+7*4</f>
        <v>46342</v>
      </c>
      <c r="H20" s="44" t="n">
        <f aca="false">$C$4-WEEKDAY($C$4,2)+1+7*5</f>
        <v>46349</v>
      </c>
      <c r="I20" s="44" t="n">
        <f aca="false">$C$4-WEEKDAY($C$4,2)+1+7*6</f>
        <v>46356</v>
      </c>
      <c r="J20" s="44" t="n">
        <f aca="false">$C$4-WEEKDAY($C$4,2)+1+7*7</f>
        <v>46363</v>
      </c>
      <c r="K20" s="44" t="n">
        <f aca="false">$C$4-WEEKDAY($C$4,2)+1+7*8</f>
        <v>46370</v>
      </c>
      <c r="L20" s="44" t="n">
        <f aca="false">$C$4-WEEKDAY($C$4,2)+1+7*9</f>
        <v>46377</v>
      </c>
    </row>
    <row r="21" customFormat="false" ht="15" hidden="false" customHeight="false" outlineLevel="0" collapsed="false">
      <c r="A21" s="3" t="s">
        <v>56</v>
      </c>
      <c r="B21" s="45" t="s">
        <v>57</v>
      </c>
      <c r="C21" s="46" t="n">
        <f aca="false">IF(AND($E$9&lt;=C$20+6,$F$9&gt;=C$20),1,0)</f>
        <v>1</v>
      </c>
      <c r="D21" s="46" t="n">
        <f aca="false">IF(AND($E$9&lt;=D$20+6,$F$9&gt;=D$20),1,0)</f>
        <v>0</v>
      </c>
      <c r="E21" s="46" t="n">
        <f aca="false">IF(AND($E$9&lt;=E$20+6,$F$9&gt;=E$20),1,0)</f>
        <v>0</v>
      </c>
      <c r="F21" s="46" t="n">
        <f aca="false">IF(AND($E$9&lt;=F$20+6,$F$9&gt;=F$20),1,0)</f>
        <v>0</v>
      </c>
      <c r="G21" s="46" t="n">
        <f aca="false">IF(AND($E$9&lt;=G$20+6,$F$9&gt;=G$20),1,0)</f>
        <v>0</v>
      </c>
      <c r="H21" s="46" t="n">
        <f aca="false">IF(AND($E$9&lt;=H$20+6,$F$9&gt;=H$20),1,0)</f>
        <v>0</v>
      </c>
      <c r="I21" s="46" t="n">
        <f aca="false">IF(AND($E$9&lt;=I$20+6,$F$9&gt;=I$20),1,0)</f>
        <v>0</v>
      </c>
      <c r="J21" s="46" t="n">
        <f aca="false">IF(AND($E$9&lt;=J$20+6,$F$9&gt;=J$20),1,0)</f>
        <v>0</v>
      </c>
      <c r="K21" s="46" t="n">
        <f aca="false">IF(AND($E$9&lt;=K$20+6,$F$9&gt;=K$20),1,0)</f>
        <v>0</v>
      </c>
      <c r="L21" s="46" t="n">
        <f aca="false">IF(AND($E$9&lt;=L$20+6,$F$9&gt;=L$20),1,0)</f>
        <v>0</v>
      </c>
    </row>
    <row r="22" customFormat="false" ht="15" hidden="false" customHeight="false" outlineLevel="0" collapsed="false">
      <c r="A22" s="3" t="s">
        <v>59</v>
      </c>
      <c r="B22" s="45" t="s">
        <v>18</v>
      </c>
      <c r="C22" s="46" t="n">
        <f aca="false">IF(AND($E$10&lt;=C$20+6,$F$10&gt;=C$20),1,0)</f>
        <v>0</v>
      </c>
      <c r="D22" s="46" t="n">
        <f aca="false">IF(AND($E$10&lt;=D$20+6,$F$10&gt;=D$20),1,0)</f>
        <v>1</v>
      </c>
      <c r="E22" s="46" t="n">
        <f aca="false">IF(AND($E$10&lt;=E$20+6,$F$10&gt;=E$20),1,0)</f>
        <v>0</v>
      </c>
      <c r="F22" s="46" t="n">
        <f aca="false">IF(AND($E$10&lt;=F$20+6,$F$10&gt;=F$20),1,0)</f>
        <v>0</v>
      </c>
      <c r="G22" s="46" t="n">
        <f aca="false">IF(AND($E$10&lt;=G$20+6,$F$10&gt;=G$20),1,0)</f>
        <v>0</v>
      </c>
      <c r="H22" s="46" t="n">
        <f aca="false">IF(AND($E$10&lt;=H$20+6,$F$10&gt;=H$20),1,0)</f>
        <v>0</v>
      </c>
      <c r="I22" s="46" t="n">
        <f aca="false">IF(AND($E$10&lt;=I$20+6,$F$10&gt;=I$20),1,0)</f>
        <v>0</v>
      </c>
      <c r="J22" s="46" t="n">
        <f aca="false">IF(AND($E$10&lt;=J$20+6,$F$10&gt;=J$20),1,0)</f>
        <v>0</v>
      </c>
      <c r="K22" s="46" t="n">
        <f aca="false">IF(AND($E$10&lt;=K$20+6,$F$10&gt;=K$20),1,0)</f>
        <v>0</v>
      </c>
      <c r="L22" s="46" t="n">
        <f aca="false">IF(AND($E$10&lt;=L$20+6,$F$10&gt;=L$20),1,0)</f>
        <v>0</v>
      </c>
    </row>
    <row r="23" customFormat="false" ht="15" hidden="false" customHeight="false" outlineLevel="0" collapsed="false">
      <c r="A23" s="3" t="s">
        <v>61</v>
      </c>
      <c r="B23" s="45" t="s">
        <v>62</v>
      </c>
      <c r="C23" s="46" t="n">
        <f aca="false">IF(AND($E$11&lt;=C$20+6,$F$11&gt;=C$20),1,0)</f>
        <v>0</v>
      </c>
      <c r="D23" s="46" t="n">
        <f aca="false">IF(AND($E$11&lt;=D$20+6,$F$11&gt;=D$20),1,0)</f>
        <v>1</v>
      </c>
      <c r="E23" s="46" t="n">
        <f aca="false">IF(AND($E$11&lt;=E$20+6,$F$11&gt;=E$20),1,0)</f>
        <v>1</v>
      </c>
      <c r="F23" s="46" t="n">
        <f aca="false">IF(AND($E$11&lt;=F$20+6,$F$11&gt;=F$20),1,0)</f>
        <v>1</v>
      </c>
      <c r="G23" s="46" t="n">
        <f aca="false">IF(AND($E$11&lt;=G$20+6,$F$11&gt;=G$20),1,0)</f>
        <v>0</v>
      </c>
      <c r="H23" s="46" t="n">
        <f aca="false">IF(AND($E$11&lt;=H$20+6,$F$11&gt;=H$20),1,0)</f>
        <v>0</v>
      </c>
      <c r="I23" s="46" t="n">
        <f aca="false">IF(AND($E$11&lt;=I$20+6,$F$11&gt;=I$20),1,0)</f>
        <v>0</v>
      </c>
      <c r="J23" s="46" t="n">
        <f aca="false">IF(AND($E$11&lt;=J$20+6,$F$11&gt;=J$20),1,0)</f>
        <v>0</v>
      </c>
      <c r="K23" s="46" t="n">
        <f aca="false">IF(AND($E$11&lt;=K$20+6,$F$11&gt;=K$20),1,0)</f>
        <v>0</v>
      </c>
      <c r="L23" s="46" t="n">
        <f aca="false">IF(AND($E$11&lt;=L$20+6,$F$11&gt;=L$20),1,0)</f>
        <v>0</v>
      </c>
    </row>
    <row r="24" customFormat="false" ht="15" hidden="false" customHeight="false" outlineLevel="0" collapsed="false">
      <c r="A24" s="3" t="s">
        <v>64</v>
      </c>
      <c r="B24" s="45" t="s">
        <v>65</v>
      </c>
      <c r="C24" s="46" t="n">
        <f aca="false">IF(AND($E$12&lt;=C$20+6,$F$12&gt;=C$20),1,0)</f>
        <v>0</v>
      </c>
      <c r="D24" s="46" t="n">
        <f aca="false">IF(AND($E$12&lt;=D$20+6,$F$12&gt;=D$20),1,0)</f>
        <v>0</v>
      </c>
      <c r="E24" s="46" t="n">
        <f aca="false">IF(AND($E$12&lt;=E$20+6,$F$12&gt;=E$20),1,0)</f>
        <v>0</v>
      </c>
      <c r="F24" s="46" t="n">
        <f aca="false">IF(AND($E$12&lt;=F$20+6,$F$12&gt;=F$20),1,0)</f>
        <v>1</v>
      </c>
      <c r="G24" s="46" t="n">
        <f aca="false">IF(AND($E$12&lt;=G$20+6,$F$12&gt;=G$20),1,0)</f>
        <v>1</v>
      </c>
      <c r="H24" s="46" t="n">
        <f aca="false">IF(AND($E$12&lt;=H$20+6,$F$12&gt;=H$20),1,0)</f>
        <v>1</v>
      </c>
      <c r="I24" s="46" t="n">
        <f aca="false">IF(AND($E$12&lt;=I$20+6,$F$12&gt;=I$20),1,0)</f>
        <v>0</v>
      </c>
      <c r="J24" s="46" t="n">
        <f aca="false">IF(AND($E$12&lt;=J$20+6,$F$12&gt;=J$20),1,0)</f>
        <v>0</v>
      </c>
      <c r="K24" s="46" t="n">
        <f aca="false">IF(AND($E$12&lt;=K$20+6,$F$12&gt;=K$20),1,0)</f>
        <v>0</v>
      </c>
      <c r="L24" s="46" t="n">
        <f aca="false">IF(AND($E$12&lt;=L$20+6,$F$12&gt;=L$20),1,0)</f>
        <v>0</v>
      </c>
    </row>
    <row r="25" customFormat="false" ht="15" hidden="false" customHeight="false" outlineLevel="0" collapsed="false">
      <c r="A25" s="3" t="s">
        <v>67</v>
      </c>
      <c r="B25" s="45" t="s">
        <v>68</v>
      </c>
      <c r="C25" s="46" t="n">
        <f aca="false">IF(AND($E$13&lt;=C$20+6,$F$13&gt;=C$20),1,0)</f>
        <v>0</v>
      </c>
      <c r="D25" s="46" t="n">
        <f aca="false">IF(AND($E$13&lt;=D$20+6,$F$13&gt;=D$20),1,0)</f>
        <v>0</v>
      </c>
      <c r="E25" s="46" t="n">
        <f aca="false">IF(AND($E$13&lt;=E$20+6,$F$13&gt;=E$20),1,0)</f>
        <v>0</v>
      </c>
      <c r="F25" s="46" t="n">
        <f aca="false">IF(AND($E$13&lt;=F$20+6,$F$13&gt;=F$20),1,0)</f>
        <v>0</v>
      </c>
      <c r="G25" s="46" t="n">
        <f aca="false">IF(AND($E$13&lt;=G$20+6,$F$13&gt;=G$20),1,0)</f>
        <v>0</v>
      </c>
      <c r="H25" s="46" t="n">
        <f aca="false">IF(AND($E$13&lt;=H$20+6,$F$13&gt;=H$20),1,0)</f>
        <v>1</v>
      </c>
      <c r="I25" s="46" t="n">
        <f aca="false">IF(AND($E$13&lt;=I$20+6,$F$13&gt;=I$20),1,0)</f>
        <v>1</v>
      </c>
      <c r="J25" s="46" t="n">
        <f aca="false">IF(AND($E$13&lt;=J$20+6,$F$13&gt;=J$20),1,0)</f>
        <v>0</v>
      </c>
      <c r="K25" s="46" t="n">
        <f aca="false">IF(AND($E$13&lt;=K$20+6,$F$13&gt;=K$20),1,0)</f>
        <v>0</v>
      </c>
      <c r="L25" s="46" t="n">
        <f aca="false">IF(AND($E$13&lt;=L$20+6,$F$13&gt;=L$20),1,0)</f>
        <v>0</v>
      </c>
    </row>
    <row r="26" customFormat="false" ht="15" hidden="false" customHeight="false" outlineLevel="0" collapsed="false">
      <c r="A26" s="3" t="s">
        <v>70</v>
      </c>
      <c r="B26" s="45" t="s">
        <v>71</v>
      </c>
      <c r="C26" s="46" t="n">
        <f aca="false">IF(AND($E$14&lt;=C$20+6,$F$14&gt;=C$20),1,0)</f>
        <v>0</v>
      </c>
      <c r="D26" s="46" t="n">
        <f aca="false">IF(AND($E$14&lt;=D$20+6,$F$14&gt;=D$20),1,0)</f>
        <v>0</v>
      </c>
      <c r="E26" s="46" t="n">
        <f aca="false">IF(AND($E$14&lt;=E$20+6,$F$14&gt;=E$20),1,0)</f>
        <v>0</v>
      </c>
      <c r="F26" s="46" t="n">
        <f aca="false">IF(AND($E$14&lt;=F$20+6,$F$14&gt;=F$20),1,0)</f>
        <v>0</v>
      </c>
      <c r="G26" s="46" t="n">
        <f aca="false">IF(AND($E$14&lt;=G$20+6,$F$14&gt;=G$20),1,0)</f>
        <v>0</v>
      </c>
      <c r="H26" s="46" t="n">
        <f aca="false">IF(AND($E$14&lt;=H$20+6,$F$14&gt;=H$20),1,0)</f>
        <v>0</v>
      </c>
      <c r="I26" s="46" t="n">
        <f aca="false">IF(AND($E$14&lt;=I$20+6,$F$14&gt;=I$20),1,0)</f>
        <v>0</v>
      </c>
      <c r="J26" s="46" t="n">
        <f aca="false">IF(AND($E$14&lt;=J$20+6,$F$14&gt;=J$20),1,0)</f>
        <v>1</v>
      </c>
      <c r="K26" s="46" t="n">
        <f aca="false">IF(AND($E$14&lt;=K$20+6,$F$14&gt;=K$20),1,0)</f>
        <v>1</v>
      </c>
      <c r="L26" s="46" t="n">
        <f aca="false">IF(AND($E$14&lt;=L$20+6,$F$14&gt;=L$20),1,0)</f>
        <v>0</v>
      </c>
    </row>
    <row r="28" customFormat="false" ht="15" hidden="false" customHeight="false" outlineLevel="0" collapsed="false">
      <c r="A28" s="3" t="s">
        <v>77</v>
      </c>
    </row>
    <row r="29" customFormat="false" ht="15" hidden="false" customHeight="false" outlineLevel="0" collapsed="false">
      <c r="A29" s="43" t="s">
        <v>45</v>
      </c>
      <c r="B29" s="43" t="s">
        <v>78</v>
      </c>
      <c r="C29" s="47" t="n">
        <f aca="false">EDATE(DATE(YEAR($C$4),MONTH($C$4),1),0)</f>
        <v>46296</v>
      </c>
      <c r="D29" s="47" t="n">
        <f aca="false">EDATE(DATE(YEAR($C$4),MONTH($C$4),1),1)</f>
        <v>46327</v>
      </c>
      <c r="E29" s="47" t="n">
        <f aca="false">EDATE(DATE(YEAR($C$4),MONTH($C$4),1),2)</f>
        <v>46357</v>
      </c>
      <c r="F29" s="47" t="n">
        <f aca="false">EDATE(DATE(YEAR($C$4),MONTH($C$4),1),3)</f>
        <v>46388</v>
      </c>
    </row>
    <row r="30" customFormat="false" ht="15" hidden="false" customHeight="false" outlineLevel="0" collapsed="false">
      <c r="A30" s="3" t="s">
        <v>56</v>
      </c>
      <c r="B30" s="45" t="s">
        <v>57</v>
      </c>
      <c r="C30" s="48" t="n">
        <f aca="false">$I$9*MAX(0,MIN($F$9,EOMONTH(C$29,0))-MAX($E$9,C$29)+1)/($F$9-$E$9+1)</f>
        <v>11572</v>
      </c>
      <c r="D30" s="48" t="n">
        <f aca="false">$I$9*MAX(0,MIN($F$9,EOMONTH(D$29,0))-MAX($E$9,D$29)+1)/($F$9-$E$9+1)</f>
        <v>0</v>
      </c>
      <c r="E30" s="48" t="n">
        <f aca="false">$I$9*MAX(0,MIN($F$9,EOMONTH(E$29,0))-MAX($E$9,E$29)+1)/($F$9-$E$9+1)</f>
        <v>0</v>
      </c>
      <c r="F30" s="48" t="n">
        <f aca="false">$I$9*MAX(0,MIN($F$9,EOMONTH(F$29,0))-MAX($E$9,F$29)+1)/($F$9-$E$9+1)</f>
        <v>0</v>
      </c>
    </row>
    <row r="31" customFormat="false" ht="15" hidden="false" customHeight="false" outlineLevel="0" collapsed="false">
      <c r="A31" s="3" t="s">
        <v>59</v>
      </c>
      <c r="B31" s="45" t="s">
        <v>18</v>
      </c>
      <c r="C31" s="48" t="n">
        <f aca="false">$I$10*MAX(0,MIN($F$10,EOMONTH(C$29,0))-MAX($E$10,C$29)+1)/($F$10-$E$10+1)</f>
        <v>374.600840336134</v>
      </c>
      <c r="D31" s="48" t="n">
        <f aca="false">$I$10*MAX(0,MIN($F$10,EOMONTH(D$29,0))-MAX($E$10,D$29)+1)/($F$10-$E$10+1)</f>
        <v>0</v>
      </c>
      <c r="E31" s="48" t="n">
        <f aca="false">$I$10*MAX(0,MIN($F$10,EOMONTH(E$29,0))-MAX($E$10,E$29)+1)/($F$10-$E$10+1)</f>
        <v>0</v>
      </c>
      <c r="F31" s="48" t="n">
        <f aca="false">$I$10*MAX(0,MIN($F$10,EOMONTH(F$29,0))-MAX($E$10,F$29)+1)/($F$10-$E$10+1)</f>
        <v>0</v>
      </c>
    </row>
    <row r="32" customFormat="false" ht="15" hidden="false" customHeight="false" outlineLevel="0" collapsed="false">
      <c r="A32" s="3" t="s">
        <v>61</v>
      </c>
      <c r="B32" s="45" t="s">
        <v>62</v>
      </c>
      <c r="C32" s="48" t="n">
        <f aca="false">$I$11*MAX(0,MIN($F$11,EOMONTH(C$29,0))-MAX($E$11,C$29)+1)/($F$11-$E$11+1)</f>
        <v>2850.50991836735</v>
      </c>
      <c r="D32" s="48" t="n">
        <f aca="false">$I$11*MAX(0,MIN($F$11,EOMONTH(D$29,0))-MAX($E$11,D$29)+1)/($F$11-$E$11+1)</f>
        <v>17103.0595102041</v>
      </c>
      <c r="E32" s="48" t="n">
        <f aca="false">$I$11*MAX(0,MIN($F$11,EOMONTH(E$29,0))-MAX($E$11,E$29)+1)/($F$11-$E$11+1)</f>
        <v>0</v>
      </c>
      <c r="F32" s="48" t="n">
        <f aca="false">$I$11*MAX(0,MIN($F$11,EOMONTH(F$29,0))-MAX($E$11,F$29)+1)/($F$11-$E$11+1)</f>
        <v>0</v>
      </c>
    </row>
    <row r="33" customFormat="false" ht="15" hidden="false" customHeight="false" outlineLevel="0" collapsed="false">
      <c r="A33" s="3" t="s">
        <v>64</v>
      </c>
      <c r="B33" s="45" t="s">
        <v>65</v>
      </c>
      <c r="C33" s="48" t="n">
        <f aca="false">$I$12*MAX(0,MIN($F$12,EOMONTH(C$29,0))-MAX($E$12,C$29)+1)/($F$12-$E$12+1)</f>
        <v>0</v>
      </c>
      <c r="D33" s="48" t="n">
        <f aca="false">$I$12*MAX(0,MIN($F$12,EOMONTH(D$29,0))-MAX($E$12,D$29)+1)/($F$12-$E$12+1)</f>
        <v>18738.1974768908</v>
      </c>
      <c r="E33" s="48" t="n">
        <f aca="false">$I$12*MAX(0,MIN($F$12,EOMONTH(E$29,0))-MAX($E$12,E$29)+1)/($F$12-$E$12+1)</f>
        <v>0</v>
      </c>
      <c r="F33" s="48" t="n">
        <f aca="false">$I$12*MAX(0,MIN($F$12,EOMONTH(F$29,0))-MAX($E$12,F$29)+1)/($F$12-$E$12+1)</f>
        <v>0</v>
      </c>
    </row>
    <row r="34" customFormat="false" ht="15" hidden="false" customHeight="false" outlineLevel="0" collapsed="false">
      <c r="A34" s="3" t="s">
        <v>67</v>
      </c>
      <c r="B34" s="45" t="s">
        <v>68</v>
      </c>
      <c r="C34" s="48" t="n">
        <f aca="false">$I$13*MAX(0,MIN($F$13,EOMONTH(C$29,0))-MAX($E$13,C$29)+1)/($F$13-$E$13+1)</f>
        <v>0</v>
      </c>
      <c r="D34" s="48" t="n">
        <f aca="false">$I$13*MAX(0,MIN($F$13,EOMONTH(D$29,0))-MAX($E$13,D$29)+1)/($F$13-$E$13+1)</f>
        <v>19465.5256512605</v>
      </c>
      <c r="E34" s="48" t="n">
        <f aca="false">$I$13*MAX(0,MIN($F$13,EOMONTH(E$29,0))-MAX($E$13,E$29)+1)/($F$13-$E$13+1)</f>
        <v>16221.2713760504</v>
      </c>
      <c r="F34" s="48" t="n">
        <f aca="false">$I$13*MAX(0,MIN($F$13,EOMONTH(F$29,0))-MAX($E$13,F$29)+1)/($F$13-$E$13+1)</f>
        <v>0</v>
      </c>
    </row>
    <row r="35" customFormat="false" ht="15" hidden="false" customHeight="false" outlineLevel="0" collapsed="false">
      <c r="A35" s="3" t="s">
        <v>70</v>
      </c>
      <c r="B35" s="45" t="s">
        <v>71</v>
      </c>
      <c r="C35" s="48" t="n">
        <f aca="false">$I$14*MAX(0,MIN($F$14,EOMONTH(C$29,0))-MAX($E$14,C$29)+1)/($F$14-$E$14+1)</f>
        <v>0</v>
      </c>
      <c r="D35" s="48" t="n">
        <f aca="false">$I$14*MAX(0,MIN($F$14,EOMONTH(D$29,0))-MAX($E$14,D$29)+1)/($F$14-$E$14+1)</f>
        <v>0</v>
      </c>
      <c r="E35" s="48" t="n">
        <f aca="false">$I$14*MAX(0,MIN($F$14,EOMONTH(E$29,0))-MAX($E$14,E$29)+1)/($F$14-$E$14+1)</f>
        <v>9614</v>
      </c>
      <c r="F35" s="48" t="n">
        <f aca="false">$I$14*MAX(0,MIN($F$14,EOMONTH(F$29,0))-MAX($E$14,F$29)+1)/($F$14-$E$14+1)</f>
        <v>0</v>
      </c>
    </row>
    <row r="36" customFormat="false" ht="15" hidden="false" customHeight="false" outlineLevel="0" collapsed="false">
      <c r="B36" s="3" t="s">
        <v>53</v>
      </c>
      <c r="C36" s="41" t="n">
        <f aca="false">SUM(C30:C35)</f>
        <v>14797.1107587035</v>
      </c>
      <c r="D36" s="41" t="n">
        <f aca="false">SUM(D30:D35)</f>
        <v>55306.7826383553</v>
      </c>
      <c r="E36" s="41" t="n">
        <f aca="false">SUM(E30:E35)</f>
        <v>25835.2713760504</v>
      </c>
      <c r="F36" s="41" t="n">
        <f aca="false">SUM(F30:F35)</f>
        <v>0</v>
      </c>
    </row>
    <row r="37" customFormat="false" ht="15" hidden="false" customHeight="false" outlineLevel="0" collapsed="false">
      <c r="B37" s="3" t="s">
        <v>54</v>
      </c>
      <c r="C37" s="42" t="n">
        <f aca="false">C36*Narxlar!$C$58</f>
        <v>176085618.028571</v>
      </c>
      <c r="D37" s="42" t="n">
        <f aca="false">D36*Narxlar!$C$58</f>
        <v>658150713.396429</v>
      </c>
      <c r="E37" s="42" t="n">
        <f aca="false">E36*Narxlar!$C$58</f>
        <v>307439729.375</v>
      </c>
      <c r="F37" s="42" t="n">
        <f aca="false">F36*Narxlar!$C$58</f>
        <v>0</v>
      </c>
    </row>
    <row r="39" customFormat="false" ht="15" hidden="false" customHeight="false" outlineLevel="0" collapsed="false">
      <c r="A39" s="3" t="s">
        <v>79</v>
      </c>
    </row>
    <row r="40" customFormat="false" ht="15" hidden="false" customHeight="false" outlineLevel="0" collapsed="false">
      <c r="A40" s="4" t="s">
        <v>80</v>
      </c>
      <c r="B40" s="4" t="s">
        <v>81</v>
      </c>
      <c r="C40" s="4" t="s">
        <v>82</v>
      </c>
      <c r="D40" s="4" t="s">
        <v>53</v>
      </c>
      <c r="E40" s="4" t="s">
        <v>83</v>
      </c>
      <c r="F40" s="4" t="s">
        <v>84</v>
      </c>
      <c r="G40" s="4" t="s">
        <v>85</v>
      </c>
      <c r="H40" s="4" t="s">
        <v>86</v>
      </c>
      <c r="I40" s="4" t="s">
        <v>87</v>
      </c>
      <c r="J40" s="4" t="s">
        <v>88</v>
      </c>
      <c r="K40" s="4" t="s">
        <v>89</v>
      </c>
      <c r="L40" s="4" t="s">
        <v>90</v>
      </c>
      <c r="M40" s="4" t="s">
        <v>91</v>
      </c>
      <c r="N40" s="4" t="s">
        <v>92</v>
      </c>
      <c r="O40" s="4" t="s">
        <v>93</v>
      </c>
      <c r="P40" s="4" t="s">
        <v>94</v>
      </c>
      <c r="Q40" s="4" t="s">
        <v>95</v>
      </c>
    </row>
    <row r="41" customFormat="false" ht="15" hidden="false" customHeight="false" outlineLevel="0" collapsed="false">
      <c r="A41" s="24" t="s">
        <v>96</v>
      </c>
      <c r="B41" s="49" t="s">
        <v>97</v>
      </c>
      <c r="C41" s="6" t="s">
        <v>15</v>
      </c>
      <c r="D41" s="50" t="n">
        <f aca="false">SUMIFS('Hisob (batafsil)'!$J$5:$J$371,'Hisob (batafsil)'!$K$5:$K$371,$A41)</f>
        <v>500</v>
      </c>
      <c r="E41" s="51" t="n">
        <v>0.5</v>
      </c>
      <c r="F41" s="51" t="n">
        <v>0</v>
      </c>
      <c r="G41" s="51" t="n">
        <v>0</v>
      </c>
      <c r="H41" s="51" t="n">
        <v>0</v>
      </c>
      <c r="I41" s="51" t="n">
        <v>0</v>
      </c>
      <c r="J41" s="51" t="n">
        <v>0.5</v>
      </c>
      <c r="K41" s="52" t="n">
        <f aca="false">SUM(E41:J41)</f>
        <v>1</v>
      </c>
      <c r="L41" s="53" t="n">
        <f aca="false">$D41*E41</f>
        <v>250</v>
      </c>
      <c r="M41" s="53" t="n">
        <f aca="false">$D41*F41</f>
        <v>0</v>
      </c>
      <c r="N41" s="53" t="n">
        <f aca="false">$D41*G41</f>
        <v>0</v>
      </c>
      <c r="O41" s="53" t="n">
        <f aca="false">$D41*H41</f>
        <v>0</v>
      </c>
      <c r="P41" s="53" t="n">
        <f aca="false">$D41*I41</f>
        <v>0</v>
      </c>
      <c r="Q41" s="53" t="n">
        <f aca="false">$D41*J41</f>
        <v>250</v>
      </c>
    </row>
    <row r="42" customFormat="false" ht="15" hidden="false" customHeight="false" outlineLevel="0" collapsed="false">
      <c r="A42" s="24" t="s">
        <v>98</v>
      </c>
      <c r="B42" s="49" t="s">
        <v>99</v>
      </c>
      <c r="C42" s="6" t="s">
        <v>15</v>
      </c>
      <c r="D42" s="50" t="n">
        <f aca="false">SUMIFS('Hisob (batafsil)'!$J$5:$J$371,'Hisob (batafsil)'!$K$5:$K$371,$A42)</f>
        <v>250</v>
      </c>
      <c r="E42" s="51" t="n">
        <v>0.5</v>
      </c>
      <c r="F42" s="51" t="n">
        <v>0</v>
      </c>
      <c r="G42" s="51" t="n">
        <v>0</v>
      </c>
      <c r="H42" s="51" t="n">
        <v>0</v>
      </c>
      <c r="I42" s="51" t="n">
        <v>0</v>
      </c>
      <c r="J42" s="51" t="n">
        <v>0.5</v>
      </c>
      <c r="K42" s="52" t="n">
        <f aca="false">SUM(E42:J42)</f>
        <v>1</v>
      </c>
      <c r="L42" s="53" t="n">
        <f aca="false">$D42*E42</f>
        <v>125</v>
      </c>
      <c r="M42" s="53" t="n">
        <f aca="false">$D42*F42</f>
        <v>0</v>
      </c>
      <c r="N42" s="53" t="n">
        <f aca="false">$D42*G42</f>
        <v>0</v>
      </c>
      <c r="O42" s="53" t="n">
        <f aca="false">$D42*H42</f>
        <v>0</v>
      </c>
      <c r="P42" s="53" t="n">
        <f aca="false">$D42*I42</f>
        <v>0</v>
      </c>
      <c r="Q42" s="53" t="n">
        <f aca="false">$D42*J42</f>
        <v>125</v>
      </c>
    </row>
    <row r="43" customFormat="false" ht="15" hidden="false" customHeight="false" outlineLevel="0" collapsed="false">
      <c r="A43" s="24" t="s">
        <v>100</v>
      </c>
      <c r="B43" s="49" t="s">
        <v>101</v>
      </c>
      <c r="C43" s="6" t="s">
        <v>15</v>
      </c>
      <c r="D43" s="50" t="n">
        <f aca="false">SUMIFS('Hisob (batafsil)'!$J$5:$J$371,'Hisob (batafsil)'!$K$5:$K$371,$A43)</f>
        <v>2500</v>
      </c>
      <c r="E43" s="51" t="n">
        <v>0.5</v>
      </c>
      <c r="F43" s="51" t="n">
        <v>0</v>
      </c>
      <c r="G43" s="51" t="n">
        <v>0</v>
      </c>
      <c r="H43" s="51" t="n">
        <v>0</v>
      </c>
      <c r="I43" s="51" t="n">
        <v>0</v>
      </c>
      <c r="J43" s="51" t="n">
        <v>0.5</v>
      </c>
      <c r="K43" s="52" t="n">
        <f aca="false">SUM(E43:J43)</f>
        <v>1</v>
      </c>
      <c r="L43" s="53" t="n">
        <f aca="false">$D43*E43</f>
        <v>1250</v>
      </c>
      <c r="M43" s="53" t="n">
        <f aca="false">$D43*F43</f>
        <v>0</v>
      </c>
      <c r="N43" s="53" t="n">
        <f aca="false">$D43*G43</f>
        <v>0</v>
      </c>
      <c r="O43" s="53" t="n">
        <f aca="false">$D43*H43</f>
        <v>0</v>
      </c>
      <c r="P43" s="53" t="n">
        <f aca="false">$D43*I43</f>
        <v>0</v>
      </c>
      <c r="Q43" s="53" t="n">
        <f aca="false">$D43*J43</f>
        <v>1250</v>
      </c>
    </row>
    <row r="44" customFormat="false" ht="15" hidden="false" customHeight="false" outlineLevel="0" collapsed="false">
      <c r="A44" s="24" t="s">
        <v>102</v>
      </c>
      <c r="B44" s="6" t="s">
        <v>103</v>
      </c>
      <c r="C44" s="6" t="s">
        <v>21</v>
      </c>
      <c r="D44" s="50" t="n">
        <f aca="false">SUMIFS('Hisob (batafsil)'!$J$5:$J$371,'Hisob (batafsil)'!$K$5:$K$371,$A44)</f>
        <v>10000</v>
      </c>
      <c r="E44" s="51" t="n">
        <v>0.5</v>
      </c>
      <c r="F44" s="51" t="n">
        <v>0</v>
      </c>
      <c r="G44" s="51" t="n">
        <v>0.5</v>
      </c>
      <c r="H44" s="51" t="n">
        <v>0</v>
      </c>
      <c r="I44" s="51" t="n">
        <v>0</v>
      </c>
      <c r="J44" s="51" t="n">
        <v>0</v>
      </c>
      <c r="K44" s="52" t="n">
        <f aca="false">SUM(E44:J44)</f>
        <v>1</v>
      </c>
      <c r="L44" s="53" t="n">
        <f aca="false">$D44*E44</f>
        <v>5000</v>
      </c>
      <c r="M44" s="53" t="n">
        <f aca="false">$D44*F44</f>
        <v>0</v>
      </c>
      <c r="N44" s="53" t="n">
        <f aca="false">$D44*G44</f>
        <v>5000</v>
      </c>
      <c r="O44" s="53" t="n">
        <f aca="false">$D44*H44</f>
        <v>0</v>
      </c>
      <c r="P44" s="53" t="n">
        <f aca="false">$D44*I44</f>
        <v>0</v>
      </c>
      <c r="Q44" s="53" t="n">
        <f aca="false">$D44*J44</f>
        <v>0</v>
      </c>
    </row>
    <row r="45" customFormat="false" ht="15" hidden="false" customHeight="false" outlineLevel="0" collapsed="false">
      <c r="A45" s="24" t="s">
        <v>104</v>
      </c>
      <c r="B45" s="49" t="s">
        <v>105</v>
      </c>
      <c r="C45" s="6" t="s">
        <v>22</v>
      </c>
      <c r="D45" s="50" t="n">
        <f aca="false">SUMIFS('Hisob (batafsil)'!$J$5:$J$371,'Hisob (batafsil)'!$K$5:$K$371,$A45)</f>
        <v>1500</v>
      </c>
      <c r="E45" s="51" t="n">
        <v>0.5</v>
      </c>
      <c r="F45" s="51" t="n">
        <v>0</v>
      </c>
      <c r="G45" s="51" t="n">
        <v>0</v>
      </c>
      <c r="H45" s="51" t="n">
        <v>0</v>
      </c>
      <c r="I45" s="51" t="n">
        <v>0</v>
      </c>
      <c r="J45" s="51" t="n">
        <v>0.5</v>
      </c>
      <c r="K45" s="52" t="n">
        <f aca="false">SUM(E45:J45)</f>
        <v>1</v>
      </c>
      <c r="L45" s="53" t="n">
        <f aca="false">$D45*E45</f>
        <v>750</v>
      </c>
      <c r="M45" s="53" t="n">
        <f aca="false">$D45*F45</f>
        <v>0</v>
      </c>
      <c r="N45" s="53" t="n">
        <f aca="false">$D45*G45</f>
        <v>0</v>
      </c>
      <c r="O45" s="53" t="n">
        <f aca="false">$D45*H45</f>
        <v>0</v>
      </c>
      <c r="P45" s="53" t="n">
        <f aca="false">$D45*I45</f>
        <v>0</v>
      </c>
      <c r="Q45" s="53" t="n">
        <f aca="false">$D45*J45</f>
        <v>750</v>
      </c>
    </row>
    <row r="46" customFormat="false" ht="15" hidden="false" customHeight="false" outlineLevel="0" collapsed="false">
      <c r="A46" s="24" t="s">
        <v>106</v>
      </c>
      <c r="B46" s="49" t="s">
        <v>107</v>
      </c>
      <c r="C46" s="6" t="s">
        <v>22</v>
      </c>
      <c r="D46" s="50" t="n">
        <f aca="false">SUMIFS('Hisob (batafsil)'!$J$5:$J$371,'Hisob (batafsil)'!$K$5:$K$371,$A46)</f>
        <v>500</v>
      </c>
      <c r="E46" s="51" t="n">
        <v>0.5</v>
      </c>
      <c r="F46" s="51" t="n">
        <v>0</v>
      </c>
      <c r="G46" s="51" t="n">
        <v>0</v>
      </c>
      <c r="H46" s="51" t="n">
        <v>0</v>
      </c>
      <c r="I46" s="51" t="n">
        <v>0</v>
      </c>
      <c r="J46" s="51" t="n">
        <v>0.5</v>
      </c>
      <c r="K46" s="52" t="n">
        <f aca="false">SUM(E46:J46)</f>
        <v>1</v>
      </c>
      <c r="L46" s="53" t="n">
        <f aca="false">$D46*E46</f>
        <v>250</v>
      </c>
      <c r="M46" s="53" t="n">
        <f aca="false">$D46*F46</f>
        <v>0</v>
      </c>
      <c r="N46" s="53" t="n">
        <f aca="false">$D46*G46</f>
        <v>0</v>
      </c>
      <c r="O46" s="53" t="n">
        <f aca="false">$D46*H46</f>
        <v>0</v>
      </c>
      <c r="P46" s="53" t="n">
        <f aca="false">$D46*I46</f>
        <v>0</v>
      </c>
      <c r="Q46" s="53" t="n">
        <f aca="false">$D46*J46</f>
        <v>250</v>
      </c>
    </row>
    <row r="47" customFormat="false" ht="15" hidden="false" customHeight="false" outlineLevel="0" collapsed="false">
      <c r="A47" s="24" t="s">
        <v>108</v>
      </c>
      <c r="B47" s="49" t="s">
        <v>109</v>
      </c>
      <c r="C47" s="6" t="s">
        <v>22</v>
      </c>
      <c r="D47" s="50" t="n">
        <f aca="false">SUMIFS('Hisob (batafsil)'!$J$5:$J$371,'Hisob (batafsil)'!$K$5:$K$371,$A47)</f>
        <v>650</v>
      </c>
      <c r="E47" s="51" t="n">
        <v>0.5</v>
      </c>
      <c r="F47" s="51" t="n">
        <v>0</v>
      </c>
      <c r="G47" s="51" t="n">
        <v>0</v>
      </c>
      <c r="H47" s="51" t="n">
        <v>0</v>
      </c>
      <c r="I47" s="51" t="n">
        <v>0</v>
      </c>
      <c r="J47" s="51" t="n">
        <v>0.5</v>
      </c>
      <c r="K47" s="52" t="n">
        <f aca="false">SUM(E47:J47)</f>
        <v>1</v>
      </c>
      <c r="L47" s="53" t="n">
        <f aca="false">$D47*E47</f>
        <v>325</v>
      </c>
      <c r="M47" s="53" t="n">
        <f aca="false">$D47*F47</f>
        <v>0</v>
      </c>
      <c r="N47" s="53" t="n">
        <f aca="false">$D47*G47</f>
        <v>0</v>
      </c>
      <c r="O47" s="53" t="n">
        <f aca="false">$D47*H47</f>
        <v>0</v>
      </c>
      <c r="P47" s="53" t="n">
        <f aca="false">$D47*I47</f>
        <v>0</v>
      </c>
      <c r="Q47" s="53" t="n">
        <f aca="false">$D47*J47</f>
        <v>325</v>
      </c>
    </row>
    <row r="48" customFormat="false" ht="15" hidden="false" customHeight="false" outlineLevel="0" collapsed="false">
      <c r="A48" s="24" t="s">
        <v>110</v>
      </c>
      <c r="B48" s="49" t="s">
        <v>111</v>
      </c>
      <c r="C48" s="6" t="s">
        <v>22</v>
      </c>
      <c r="D48" s="50" t="n">
        <f aca="false">SUMIFS('Hisob (batafsil)'!$J$5:$J$371,'Hisob (batafsil)'!$K$5:$K$371,$A48)</f>
        <v>900</v>
      </c>
      <c r="E48" s="51" t="n">
        <v>0.5</v>
      </c>
      <c r="F48" s="51" t="n">
        <v>0</v>
      </c>
      <c r="G48" s="51" t="n">
        <v>0</v>
      </c>
      <c r="H48" s="51" t="n">
        <v>0</v>
      </c>
      <c r="I48" s="51" t="n">
        <v>0</v>
      </c>
      <c r="J48" s="51" t="n">
        <v>0.5</v>
      </c>
      <c r="K48" s="52" t="n">
        <f aca="false">SUM(E48:J48)</f>
        <v>1</v>
      </c>
      <c r="L48" s="53" t="n">
        <f aca="false">$D48*E48</f>
        <v>450</v>
      </c>
      <c r="M48" s="53" t="n">
        <f aca="false">$D48*F48</f>
        <v>0</v>
      </c>
      <c r="N48" s="53" t="n">
        <f aca="false">$D48*G48</f>
        <v>0</v>
      </c>
      <c r="O48" s="53" t="n">
        <f aca="false">$D48*H48</f>
        <v>0</v>
      </c>
      <c r="P48" s="53" t="n">
        <f aca="false">$D48*I48</f>
        <v>0</v>
      </c>
      <c r="Q48" s="53" t="n">
        <f aca="false">$D48*J48</f>
        <v>450</v>
      </c>
    </row>
    <row r="49" customFormat="false" ht="15" hidden="false" customHeight="false" outlineLevel="0" collapsed="false">
      <c r="A49" s="24" t="s">
        <v>112</v>
      </c>
      <c r="B49" s="49" t="s">
        <v>113</v>
      </c>
      <c r="C49" s="6" t="s">
        <v>22</v>
      </c>
      <c r="D49" s="50" t="n">
        <f aca="false">SUMIFS('Hisob (batafsil)'!$J$5:$J$371,'Hisob (batafsil)'!$K$5:$K$371,$A49)</f>
        <v>100</v>
      </c>
      <c r="E49" s="51" t="n">
        <v>0.5</v>
      </c>
      <c r="F49" s="51" t="n">
        <v>0</v>
      </c>
      <c r="G49" s="51" t="n">
        <v>0</v>
      </c>
      <c r="H49" s="51" t="n">
        <v>0</v>
      </c>
      <c r="I49" s="51" t="n">
        <v>0</v>
      </c>
      <c r="J49" s="51" t="n">
        <v>0.5</v>
      </c>
      <c r="K49" s="52" t="n">
        <f aca="false">SUM(E49:J49)</f>
        <v>1</v>
      </c>
      <c r="L49" s="53" t="n">
        <f aca="false">$D49*E49</f>
        <v>50</v>
      </c>
      <c r="M49" s="53" t="n">
        <f aca="false">$D49*F49</f>
        <v>0</v>
      </c>
      <c r="N49" s="53" t="n">
        <f aca="false">$D49*G49</f>
        <v>0</v>
      </c>
      <c r="O49" s="53" t="n">
        <f aca="false">$D49*H49</f>
        <v>0</v>
      </c>
      <c r="P49" s="53" t="n">
        <f aca="false">$D49*I49</f>
        <v>0</v>
      </c>
      <c r="Q49" s="53" t="n">
        <f aca="false">$D49*J49</f>
        <v>50</v>
      </c>
    </row>
    <row r="50" customFormat="false" ht="15" hidden="false" customHeight="false" outlineLevel="0" collapsed="false">
      <c r="A50" s="24" t="s">
        <v>114</v>
      </c>
      <c r="B50" s="49" t="s">
        <v>115</v>
      </c>
      <c r="C50" s="6" t="s">
        <v>22</v>
      </c>
      <c r="D50" s="50" t="n">
        <f aca="false">SUMIFS('Hisob (batafsil)'!$J$5:$J$371,'Hisob (batafsil)'!$K$5:$K$371,$A50)</f>
        <v>880</v>
      </c>
      <c r="E50" s="51" t="n">
        <v>0.5</v>
      </c>
      <c r="F50" s="51" t="n">
        <v>0</v>
      </c>
      <c r="G50" s="51" t="n">
        <v>0</v>
      </c>
      <c r="H50" s="51" t="n">
        <v>0</v>
      </c>
      <c r="I50" s="51" t="n">
        <v>0</v>
      </c>
      <c r="J50" s="51" t="n">
        <v>0.5</v>
      </c>
      <c r="K50" s="52" t="n">
        <f aca="false">SUM(E50:J50)</f>
        <v>1</v>
      </c>
      <c r="L50" s="53" t="n">
        <f aca="false">$D50*E50</f>
        <v>440</v>
      </c>
      <c r="M50" s="53" t="n">
        <f aca="false">$D50*F50</f>
        <v>0</v>
      </c>
      <c r="N50" s="53" t="n">
        <f aca="false">$D50*G50</f>
        <v>0</v>
      </c>
      <c r="O50" s="53" t="n">
        <f aca="false">$D50*H50</f>
        <v>0</v>
      </c>
      <c r="P50" s="53" t="n">
        <f aca="false">$D50*I50</f>
        <v>0</v>
      </c>
      <c r="Q50" s="53" t="n">
        <f aca="false">$D50*J50</f>
        <v>440</v>
      </c>
    </row>
    <row r="51" customFormat="false" ht="15" hidden="false" customHeight="false" outlineLevel="0" collapsed="false">
      <c r="A51" s="24" t="s">
        <v>116</v>
      </c>
      <c r="B51" s="49" t="s">
        <v>117</v>
      </c>
      <c r="C51" s="6" t="s">
        <v>22</v>
      </c>
      <c r="D51" s="50" t="n">
        <f aca="false">SUMIFS('Hisob (batafsil)'!$J$5:$J$371,'Hisob (batafsil)'!$K$5:$K$371,$A51)</f>
        <v>360</v>
      </c>
      <c r="E51" s="51" t="n">
        <v>0.5</v>
      </c>
      <c r="F51" s="51" t="n">
        <v>0</v>
      </c>
      <c r="G51" s="51" t="n">
        <v>0</v>
      </c>
      <c r="H51" s="51" t="n">
        <v>0</v>
      </c>
      <c r="I51" s="51" t="n">
        <v>0</v>
      </c>
      <c r="J51" s="51" t="n">
        <v>0.5</v>
      </c>
      <c r="K51" s="52" t="n">
        <f aca="false">SUM(E51:J51)</f>
        <v>1</v>
      </c>
      <c r="L51" s="53" t="n">
        <f aca="false">$D51*E51</f>
        <v>180</v>
      </c>
      <c r="M51" s="53" t="n">
        <f aca="false">$D51*F51</f>
        <v>0</v>
      </c>
      <c r="N51" s="53" t="n">
        <f aca="false">$D51*G51</f>
        <v>0</v>
      </c>
      <c r="O51" s="53" t="n">
        <f aca="false">$D51*H51</f>
        <v>0</v>
      </c>
      <c r="P51" s="53" t="n">
        <f aca="false">$D51*I51</f>
        <v>0</v>
      </c>
      <c r="Q51" s="53" t="n">
        <f aca="false">$D51*J51</f>
        <v>180</v>
      </c>
    </row>
    <row r="52" customFormat="false" ht="15" hidden="false" customHeight="false" outlineLevel="0" collapsed="false">
      <c r="A52" s="24" t="s">
        <v>118</v>
      </c>
      <c r="B52" s="49" t="s">
        <v>119</v>
      </c>
      <c r="C52" s="6" t="s">
        <v>22</v>
      </c>
      <c r="D52" s="50" t="n">
        <f aca="false">SUMIFS('Hisob (batafsil)'!$J$5:$J$371,'Hisob (batafsil)'!$K$5:$K$371,$A52)</f>
        <v>700</v>
      </c>
      <c r="E52" s="51" t="n">
        <v>0.5</v>
      </c>
      <c r="F52" s="51" t="n">
        <v>0</v>
      </c>
      <c r="G52" s="51" t="n">
        <v>0</v>
      </c>
      <c r="H52" s="51" t="n">
        <v>0</v>
      </c>
      <c r="I52" s="51" t="n">
        <v>0</v>
      </c>
      <c r="J52" s="51" t="n">
        <v>0.5</v>
      </c>
      <c r="K52" s="52" t="n">
        <f aca="false">SUM(E52:J52)</f>
        <v>1</v>
      </c>
      <c r="L52" s="53" t="n">
        <f aca="false">$D52*E52</f>
        <v>350</v>
      </c>
      <c r="M52" s="53" t="n">
        <f aca="false">$D52*F52</f>
        <v>0</v>
      </c>
      <c r="N52" s="53" t="n">
        <f aca="false">$D52*G52</f>
        <v>0</v>
      </c>
      <c r="O52" s="53" t="n">
        <f aca="false">$D52*H52</f>
        <v>0</v>
      </c>
      <c r="P52" s="53" t="n">
        <f aca="false">$D52*I52</f>
        <v>0</v>
      </c>
      <c r="Q52" s="53" t="n">
        <f aca="false">$D52*J52</f>
        <v>350</v>
      </c>
    </row>
    <row r="53" customFormat="false" ht="15" hidden="false" customHeight="false" outlineLevel="0" collapsed="false">
      <c r="A53" s="24" t="s">
        <v>120</v>
      </c>
      <c r="B53" s="6" t="s">
        <v>121</v>
      </c>
      <c r="C53" s="6" t="s">
        <v>22</v>
      </c>
      <c r="D53" s="50" t="n">
        <f aca="false">SUMIFS('Hisob (batafsil)'!$J$5:$J$371,'Hisob (batafsil)'!$K$5:$K$371,$A53)</f>
        <v>1600</v>
      </c>
      <c r="E53" s="51" t="n">
        <v>0.5</v>
      </c>
      <c r="F53" s="51" t="n">
        <v>0</v>
      </c>
      <c r="G53" s="51" t="n">
        <v>0</v>
      </c>
      <c r="H53" s="51" t="n">
        <v>0</v>
      </c>
      <c r="I53" s="51" t="n">
        <v>0</v>
      </c>
      <c r="J53" s="51" t="n">
        <v>0.5</v>
      </c>
      <c r="K53" s="52" t="n">
        <f aca="false">SUM(E53:J53)</f>
        <v>1</v>
      </c>
      <c r="L53" s="53" t="n">
        <f aca="false">$D53*E53</f>
        <v>800</v>
      </c>
      <c r="M53" s="53" t="n">
        <f aca="false">$D53*F53</f>
        <v>0</v>
      </c>
      <c r="N53" s="53" t="n">
        <f aca="false">$D53*G53</f>
        <v>0</v>
      </c>
      <c r="O53" s="53" t="n">
        <f aca="false">$D53*H53</f>
        <v>0</v>
      </c>
      <c r="P53" s="53" t="n">
        <f aca="false">$D53*I53</f>
        <v>0</v>
      </c>
      <c r="Q53" s="53" t="n">
        <f aca="false">$D53*J53</f>
        <v>800</v>
      </c>
    </row>
    <row r="54" customFormat="false" ht="15" hidden="false" customHeight="false" outlineLevel="0" collapsed="false">
      <c r="A54" s="24" t="s">
        <v>122</v>
      </c>
      <c r="B54" s="49" t="s">
        <v>123</v>
      </c>
      <c r="C54" s="6" t="s">
        <v>22</v>
      </c>
      <c r="D54" s="50" t="n">
        <f aca="false">SUMIFS('Hisob (batafsil)'!$J$5:$J$371,'Hisob (batafsil)'!$K$5:$K$371,$A54)</f>
        <v>600</v>
      </c>
      <c r="E54" s="51" t="n">
        <v>0.5</v>
      </c>
      <c r="F54" s="51" t="n">
        <v>0</v>
      </c>
      <c r="G54" s="51" t="n">
        <v>0</v>
      </c>
      <c r="H54" s="51" t="n">
        <v>0</v>
      </c>
      <c r="I54" s="51" t="n">
        <v>0</v>
      </c>
      <c r="J54" s="51" t="n">
        <v>0.5</v>
      </c>
      <c r="K54" s="52" t="n">
        <f aca="false">SUM(E54:J54)</f>
        <v>1</v>
      </c>
      <c r="L54" s="53" t="n">
        <f aca="false">$D54*E54</f>
        <v>300</v>
      </c>
      <c r="M54" s="53" t="n">
        <f aca="false">$D54*F54</f>
        <v>0</v>
      </c>
      <c r="N54" s="53" t="n">
        <f aca="false">$D54*G54</f>
        <v>0</v>
      </c>
      <c r="O54" s="53" t="n">
        <f aca="false">$D54*H54</f>
        <v>0</v>
      </c>
      <c r="P54" s="53" t="n">
        <f aca="false">$D54*I54</f>
        <v>0</v>
      </c>
      <c r="Q54" s="53" t="n">
        <f aca="false">$D54*J54</f>
        <v>300</v>
      </c>
    </row>
    <row r="55" customFormat="false" ht="15" hidden="false" customHeight="false" outlineLevel="0" collapsed="false">
      <c r="A55" s="24" t="s">
        <v>124</v>
      </c>
      <c r="B55" s="6" t="s">
        <v>125</v>
      </c>
      <c r="C55" s="6" t="s">
        <v>18</v>
      </c>
      <c r="D55" s="50" t="n">
        <f aca="false">SUMIFS('Hisob (batafsil)'!$J$5:$J$371,'Hisob (batafsil)'!$K$5:$K$371,$A55)</f>
        <v>239.705882352941</v>
      </c>
      <c r="E55" s="51" t="n">
        <v>0</v>
      </c>
      <c r="F55" s="51" t="n">
        <v>1</v>
      </c>
      <c r="G55" s="51" t="n">
        <v>0</v>
      </c>
      <c r="H55" s="51" t="n">
        <v>0</v>
      </c>
      <c r="I55" s="51" t="n">
        <v>0</v>
      </c>
      <c r="J55" s="51" t="n">
        <v>0</v>
      </c>
      <c r="K55" s="52" t="n">
        <f aca="false">SUM(E55:J55)</f>
        <v>1</v>
      </c>
      <c r="L55" s="53" t="n">
        <f aca="false">$D55*E55</f>
        <v>0</v>
      </c>
      <c r="M55" s="53" t="n">
        <f aca="false">$D55*F55</f>
        <v>239.705882352941</v>
      </c>
      <c r="N55" s="53" t="n">
        <f aca="false">$D55*G55</f>
        <v>0</v>
      </c>
      <c r="O55" s="53" t="n">
        <f aca="false">$D55*H55</f>
        <v>0</v>
      </c>
      <c r="P55" s="53" t="n">
        <f aca="false">$D55*I55</f>
        <v>0</v>
      </c>
      <c r="Q55" s="53" t="n">
        <f aca="false">$D55*J55</f>
        <v>0</v>
      </c>
    </row>
    <row r="56" customFormat="false" ht="15" hidden="false" customHeight="false" outlineLevel="0" collapsed="false">
      <c r="A56" s="24" t="s">
        <v>126</v>
      </c>
      <c r="B56" s="6" t="s">
        <v>127</v>
      </c>
      <c r="C56" s="6" t="s">
        <v>18</v>
      </c>
      <c r="D56" s="50" t="n">
        <f aca="false">SUMIFS('Hisob (batafsil)'!$J$5:$J$371,'Hisob (batafsil)'!$K$5:$K$371,$A56)</f>
        <v>100.840336134454</v>
      </c>
      <c r="E56" s="51" t="n">
        <v>0</v>
      </c>
      <c r="F56" s="51" t="n">
        <v>1</v>
      </c>
      <c r="G56" s="51" t="n">
        <v>0</v>
      </c>
      <c r="H56" s="51" t="n">
        <v>0</v>
      </c>
      <c r="I56" s="51" t="n">
        <v>0</v>
      </c>
      <c r="J56" s="51" t="n">
        <v>0</v>
      </c>
      <c r="K56" s="52" t="n">
        <f aca="false">SUM(E56:J56)</f>
        <v>1</v>
      </c>
      <c r="L56" s="53" t="n">
        <f aca="false">$D56*E56</f>
        <v>0</v>
      </c>
      <c r="M56" s="53" t="n">
        <f aca="false">$D56*F56</f>
        <v>100.840336134454</v>
      </c>
      <c r="N56" s="53" t="n">
        <f aca="false">$D56*G56</f>
        <v>0</v>
      </c>
      <c r="O56" s="53" t="n">
        <f aca="false">$D56*H56</f>
        <v>0</v>
      </c>
      <c r="P56" s="53" t="n">
        <f aca="false">$D56*I56</f>
        <v>0</v>
      </c>
      <c r="Q56" s="53" t="n">
        <f aca="false">$D56*J56</f>
        <v>0</v>
      </c>
    </row>
    <row r="57" customFormat="false" ht="15" hidden="false" customHeight="false" outlineLevel="0" collapsed="false">
      <c r="A57" s="24" t="s">
        <v>128</v>
      </c>
      <c r="B57" s="6" t="s">
        <v>129</v>
      </c>
      <c r="C57" s="6" t="s">
        <v>9</v>
      </c>
      <c r="D57" s="50" t="n">
        <f aca="false">SUMIFS('Hisob (batafsil)'!$J$5:$J$371,'Hisob (batafsil)'!$K$5:$K$371,$A57)</f>
        <v>4077.36</v>
      </c>
      <c r="E57" s="51" t="n">
        <v>0</v>
      </c>
      <c r="F57" s="51" t="n">
        <v>0</v>
      </c>
      <c r="G57" s="51" t="n">
        <v>0.5</v>
      </c>
      <c r="H57" s="51" t="n">
        <v>0.5</v>
      </c>
      <c r="I57" s="51" t="n">
        <v>0</v>
      </c>
      <c r="J57" s="51" t="n">
        <v>0</v>
      </c>
      <c r="K57" s="52" t="n">
        <f aca="false">SUM(E57:J57)</f>
        <v>1</v>
      </c>
      <c r="L57" s="53" t="n">
        <f aca="false">$D57*E57</f>
        <v>0</v>
      </c>
      <c r="M57" s="53" t="n">
        <f aca="false">$D57*F57</f>
        <v>0</v>
      </c>
      <c r="N57" s="53" t="n">
        <f aca="false">$D57*G57</f>
        <v>2038.68</v>
      </c>
      <c r="O57" s="53" t="n">
        <f aca="false">$D57*H57</f>
        <v>2038.68</v>
      </c>
      <c r="P57" s="53" t="n">
        <f aca="false">$D57*I57</f>
        <v>0</v>
      </c>
      <c r="Q57" s="53" t="n">
        <f aca="false">$D57*J57</f>
        <v>0</v>
      </c>
    </row>
    <row r="58" customFormat="false" ht="15" hidden="false" customHeight="false" outlineLevel="0" collapsed="false">
      <c r="A58" s="24" t="s">
        <v>130</v>
      </c>
      <c r="B58" s="6" t="s">
        <v>131</v>
      </c>
      <c r="C58" s="6" t="s">
        <v>14</v>
      </c>
      <c r="D58" s="50" t="n">
        <f aca="false">SUMIFS('Hisob (batafsil)'!$J$5:$J$371,'Hisob (batafsil)'!$K$5:$K$371,$A58)</f>
        <v>454.5</v>
      </c>
      <c r="E58" s="51" t="n">
        <v>0</v>
      </c>
      <c r="F58" s="51" t="n">
        <v>0</v>
      </c>
      <c r="G58" s="51" t="n">
        <v>1</v>
      </c>
      <c r="H58" s="51" t="n">
        <v>0</v>
      </c>
      <c r="I58" s="51" t="n">
        <v>0</v>
      </c>
      <c r="J58" s="51" t="n">
        <v>0</v>
      </c>
      <c r="K58" s="52" t="n">
        <f aca="false">SUM(E58:J58)</f>
        <v>1</v>
      </c>
      <c r="L58" s="53" t="n">
        <f aca="false">$D58*E58</f>
        <v>0</v>
      </c>
      <c r="M58" s="53" t="n">
        <f aca="false">$D58*F58</f>
        <v>0</v>
      </c>
      <c r="N58" s="53" t="n">
        <f aca="false">$D58*G58</f>
        <v>454.5</v>
      </c>
      <c r="O58" s="53" t="n">
        <f aca="false">$D58*H58</f>
        <v>0</v>
      </c>
      <c r="P58" s="53" t="n">
        <f aca="false">$D58*I58</f>
        <v>0</v>
      </c>
      <c r="Q58" s="53" t="n">
        <f aca="false">$D58*J58</f>
        <v>0</v>
      </c>
    </row>
    <row r="59" customFormat="false" ht="15" hidden="false" customHeight="false" outlineLevel="0" collapsed="false">
      <c r="A59" s="24" t="s">
        <v>132</v>
      </c>
      <c r="B59" s="6" t="s">
        <v>133</v>
      </c>
      <c r="C59" s="6" t="s">
        <v>17</v>
      </c>
      <c r="D59" s="50" t="n">
        <f aca="false">SUMIFS('Hisob (batafsil)'!$J$5:$J$371,'Hisob (batafsil)'!$K$5:$K$371,$A59)</f>
        <v>1512.60504201681</v>
      </c>
      <c r="E59" s="51" t="n">
        <v>0</v>
      </c>
      <c r="F59" s="51" t="n">
        <v>0</v>
      </c>
      <c r="G59" s="51" t="n">
        <v>0.4</v>
      </c>
      <c r="H59" s="51" t="n">
        <v>0</v>
      </c>
      <c r="I59" s="51" t="n">
        <v>0.6</v>
      </c>
      <c r="J59" s="51" t="n">
        <v>0</v>
      </c>
      <c r="K59" s="52" t="n">
        <f aca="false">SUM(E59:J59)</f>
        <v>1</v>
      </c>
      <c r="L59" s="53" t="n">
        <f aca="false">$D59*E59</f>
        <v>0</v>
      </c>
      <c r="M59" s="53" t="n">
        <f aca="false">$D59*F59</f>
        <v>0</v>
      </c>
      <c r="N59" s="53" t="n">
        <f aca="false">$D59*G59</f>
        <v>605.042016806723</v>
      </c>
      <c r="O59" s="53" t="n">
        <f aca="false">$D59*H59</f>
        <v>0</v>
      </c>
      <c r="P59" s="53" t="n">
        <f aca="false">$D59*I59</f>
        <v>907.563025210084</v>
      </c>
      <c r="Q59" s="53" t="n">
        <f aca="false">$D59*J59</f>
        <v>0</v>
      </c>
    </row>
    <row r="60" customFormat="false" ht="15" hidden="false" customHeight="false" outlineLevel="0" collapsed="false">
      <c r="A60" s="24" t="s">
        <v>134</v>
      </c>
      <c r="B60" s="6" t="s">
        <v>135</v>
      </c>
      <c r="C60" s="6" t="s">
        <v>19</v>
      </c>
      <c r="D60" s="50" t="n">
        <f aca="false">SUMIFS('Hisob (batafsil)'!$J$5:$J$371,'Hisob (batafsil)'!$K$5:$K$371,$A60)</f>
        <v>1344.53781512605</v>
      </c>
      <c r="E60" s="51" t="n">
        <v>0</v>
      </c>
      <c r="F60" s="51" t="n">
        <v>0</v>
      </c>
      <c r="G60" s="51" t="n">
        <v>0.5</v>
      </c>
      <c r="H60" s="51" t="n">
        <v>0</v>
      </c>
      <c r="I60" s="51" t="n">
        <v>0.5</v>
      </c>
      <c r="J60" s="51" t="n">
        <v>0</v>
      </c>
      <c r="K60" s="52" t="n">
        <f aca="false">SUM(E60:J60)</f>
        <v>1</v>
      </c>
      <c r="L60" s="53" t="n">
        <f aca="false">$D60*E60</f>
        <v>0</v>
      </c>
      <c r="M60" s="53" t="n">
        <f aca="false">$D60*F60</f>
        <v>0</v>
      </c>
      <c r="N60" s="53" t="n">
        <f aca="false">$D60*G60</f>
        <v>672.268907563025</v>
      </c>
      <c r="O60" s="53" t="n">
        <f aca="false">$D60*H60</f>
        <v>0</v>
      </c>
      <c r="P60" s="53" t="n">
        <f aca="false">$D60*I60</f>
        <v>672.268907563025</v>
      </c>
      <c r="Q60" s="53" t="n">
        <f aca="false">$D60*J60</f>
        <v>0</v>
      </c>
    </row>
    <row r="61" customFormat="false" ht="15" hidden="false" customHeight="false" outlineLevel="0" collapsed="false">
      <c r="A61" s="24" t="s">
        <v>136</v>
      </c>
      <c r="B61" s="6" t="s">
        <v>137</v>
      </c>
      <c r="C61" s="6" t="s">
        <v>19</v>
      </c>
      <c r="D61" s="50" t="n">
        <f aca="false">SUMIFS('Hisob (batafsil)'!$J$5:$J$371,'Hisob (batafsil)'!$K$5:$K$371,$A61)</f>
        <v>84.0336134453782</v>
      </c>
      <c r="E61" s="51" t="n">
        <v>0</v>
      </c>
      <c r="F61" s="51" t="n">
        <v>0</v>
      </c>
      <c r="G61" s="51" t="n">
        <v>1</v>
      </c>
      <c r="H61" s="51" t="n">
        <v>0</v>
      </c>
      <c r="I61" s="51" t="n">
        <v>0</v>
      </c>
      <c r="J61" s="51" t="n">
        <v>0</v>
      </c>
      <c r="K61" s="52" t="n">
        <f aca="false">SUM(E61:J61)</f>
        <v>1</v>
      </c>
      <c r="L61" s="53" t="n">
        <f aca="false">$D61*E61</f>
        <v>0</v>
      </c>
      <c r="M61" s="53" t="n">
        <f aca="false">$D61*F61</f>
        <v>0</v>
      </c>
      <c r="N61" s="53" t="n">
        <f aca="false">$D61*G61</f>
        <v>84.0336134453782</v>
      </c>
      <c r="O61" s="53" t="n">
        <f aca="false">$D61*H61</f>
        <v>0</v>
      </c>
      <c r="P61" s="53" t="n">
        <f aca="false">$D61*I61</f>
        <v>0</v>
      </c>
      <c r="Q61" s="53" t="n">
        <f aca="false">$D61*J61</f>
        <v>0</v>
      </c>
    </row>
    <row r="62" customFormat="false" ht="15" hidden="false" customHeight="false" outlineLevel="0" collapsed="false">
      <c r="A62" s="24" t="s">
        <v>138</v>
      </c>
      <c r="B62" s="6" t="s">
        <v>139</v>
      </c>
      <c r="C62" s="6" t="s">
        <v>19</v>
      </c>
      <c r="D62" s="50" t="n">
        <f aca="false">SUMIFS('Hisob (batafsil)'!$J$5:$J$371,'Hisob (batafsil)'!$K$5:$K$371,$A62)</f>
        <v>40.3361344537815</v>
      </c>
      <c r="E62" s="51" t="n">
        <v>0</v>
      </c>
      <c r="F62" s="51" t="n">
        <v>0</v>
      </c>
      <c r="G62" s="51" t="n">
        <v>1</v>
      </c>
      <c r="H62" s="51" t="n">
        <v>0</v>
      </c>
      <c r="I62" s="51" t="n">
        <v>0</v>
      </c>
      <c r="J62" s="51" t="n">
        <v>0</v>
      </c>
      <c r="K62" s="52" t="n">
        <f aca="false">SUM(E62:J62)</f>
        <v>1</v>
      </c>
      <c r="L62" s="53" t="n">
        <f aca="false">$D62*E62</f>
        <v>0</v>
      </c>
      <c r="M62" s="53" t="n">
        <f aca="false">$D62*F62</f>
        <v>0</v>
      </c>
      <c r="N62" s="53" t="n">
        <f aca="false">$D62*G62</f>
        <v>40.3361344537815</v>
      </c>
      <c r="O62" s="53" t="n">
        <f aca="false">$D62*H62</f>
        <v>0</v>
      </c>
      <c r="P62" s="53" t="n">
        <f aca="false">$D62*I62</f>
        <v>0</v>
      </c>
      <c r="Q62" s="53" t="n">
        <f aca="false">$D62*J62</f>
        <v>0</v>
      </c>
    </row>
    <row r="63" customFormat="false" ht="15" hidden="false" customHeight="false" outlineLevel="0" collapsed="false">
      <c r="A63" s="24" t="s">
        <v>140</v>
      </c>
      <c r="B63" s="6" t="s">
        <v>141</v>
      </c>
      <c r="C63" s="6" t="s">
        <v>19</v>
      </c>
      <c r="D63" s="50" t="n">
        <f aca="false">SUMIFS('Hisob (batafsil)'!$J$5:$J$371,'Hisob (batafsil)'!$K$5:$K$371,$A63)</f>
        <v>42.0168067226891</v>
      </c>
      <c r="E63" s="51" t="n">
        <v>0</v>
      </c>
      <c r="F63" s="51" t="n">
        <v>0</v>
      </c>
      <c r="G63" s="51" t="n">
        <v>1</v>
      </c>
      <c r="H63" s="51" t="n">
        <v>0</v>
      </c>
      <c r="I63" s="51" t="n">
        <v>0</v>
      </c>
      <c r="J63" s="51" t="n">
        <v>0</v>
      </c>
      <c r="K63" s="52" t="n">
        <f aca="false">SUM(E63:J63)</f>
        <v>1</v>
      </c>
      <c r="L63" s="53" t="n">
        <f aca="false">$D63*E63</f>
        <v>0</v>
      </c>
      <c r="M63" s="53" t="n">
        <f aca="false">$D63*F63</f>
        <v>0</v>
      </c>
      <c r="N63" s="53" t="n">
        <f aca="false">$D63*G63</f>
        <v>42.0168067226891</v>
      </c>
      <c r="O63" s="53" t="n">
        <f aca="false">$D63*H63</f>
        <v>0</v>
      </c>
      <c r="P63" s="53" t="n">
        <f aca="false">$D63*I63</f>
        <v>0</v>
      </c>
      <c r="Q63" s="53" t="n">
        <f aca="false">$D63*J63</f>
        <v>0</v>
      </c>
    </row>
    <row r="64" customFormat="false" ht="15" hidden="false" customHeight="false" outlineLevel="0" collapsed="false">
      <c r="A64" s="24" t="s">
        <v>142</v>
      </c>
      <c r="B64" s="6" t="s">
        <v>143</v>
      </c>
      <c r="C64" s="6" t="s">
        <v>19</v>
      </c>
      <c r="D64" s="50" t="n">
        <f aca="false">SUMIFS('Hisob (batafsil)'!$J$5:$J$371,'Hisob (batafsil)'!$K$5:$K$371,$A64)</f>
        <v>336.134453781513</v>
      </c>
      <c r="E64" s="51" t="n">
        <v>0</v>
      </c>
      <c r="F64" s="51" t="n">
        <v>0</v>
      </c>
      <c r="G64" s="51" t="n">
        <v>1</v>
      </c>
      <c r="H64" s="51" t="n">
        <v>0</v>
      </c>
      <c r="I64" s="51" t="n">
        <v>0</v>
      </c>
      <c r="J64" s="51" t="n">
        <v>0</v>
      </c>
      <c r="K64" s="52" t="n">
        <f aca="false">SUM(E64:J64)</f>
        <v>1</v>
      </c>
      <c r="L64" s="53" t="n">
        <f aca="false">$D64*E64</f>
        <v>0</v>
      </c>
      <c r="M64" s="53" t="n">
        <f aca="false">$D64*F64</f>
        <v>0</v>
      </c>
      <c r="N64" s="53" t="n">
        <f aca="false">$D64*G64</f>
        <v>336.134453781513</v>
      </c>
      <c r="O64" s="53" t="n">
        <f aca="false">$D64*H64</f>
        <v>0</v>
      </c>
      <c r="P64" s="53" t="n">
        <f aca="false">$D64*I64</f>
        <v>0</v>
      </c>
      <c r="Q64" s="53" t="n">
        <f aca="false">$D64*J64</f>
        <v>0</v>
      </c>
    </row>
    <row r="65" customFormat="false" ht="15" hidden="false" customHeight="false" outlineLevel="0" collapsed="false">
      <c r="A65" s="24" t="s">
        <v>144</v>
      </c>
      <c r="B65" s="6" t="s">
        <v>145</v>
      </c>
      <c r="C65" s="6" t="s">
        <v>21</v>
      </c>
      <c r="D65" s="50" t="n">
        <f aca="false">SUMIFS('Hisob (batafsil)'!$J$5:$J$371,'Hisob (batafsil)'!$K$5:$K$371,$A65)</f>
        <v>4411.76470588235</v>
      </c>
      <c r="E65" s="51" t="n">
        <v>0</v>
      </c>
      <c r="F65" s="51" t="n">
        <v>0</v>
      </c>
      <c r="G65" s="51" t="n">
        <v>1</v>
      </c>
      <c r="H65" s="51" t="n">
        <v>0</v>
      </c>
      <c r="I65" s="51" t="n">
        <v>0</v>
      </c>
      <c r="J65" s="51" t="n">
        <v>0</v>
      </c>
      <c r="K65" s="52" t="n">
        <f aca="false">SUM(E65:J65)</f>
        <v>1</v>
      </c>
      <c r="L65" s="53" t="n">
        <f aca="false">$D65*E65</f>
        <v>0</v>
      </c>
      <c r="M65" s="53" t="n">
        <f aca="false">$D65*F65</f>
        <v>0</v>
      </c>
      <c r="N65" s="53" t="n">
        <f aca="false">$D65*G65</f>
        <v>4411.76470588235</v>
      </c>
      <c r="O65" s="53" t="n">
        <f aca="false">$D65*H65</f>
        <v>0</v>
      </c>
      <c r="P65" s="53" t="n">
        <f aca="false">$D65*I65</f>
        <v>0</v>
      </c>
      <c r="Q65" s="53" t="n">
        <f aca="false">$D65*J65</f>
        <v>0</v>
      </c>
    </row>
    <row r="66" customFormat="false" ht="15" hidden="false" customHeight="false" outlineLevel="0" collapsed="false">
      <c r="A66" s="24" t="s">
        <v>146</v>
      </c>
      <c r="B66" s="6" t="s">
        <v>147</v>
      </c>
      <c r="C66" s="6" t="s">
        <v>21</v>
      </c>
      <c r="D66" s="50" t="n">
        <f aca="false">SUMIFS('Hisob (batafsil)'!$J$5:$J$371,'Hisob (batafsil)'!$K$5:$K$371,$A66)</f>
        <v>900</v>
      </c>
      <c r="E66" s="51" t="n">
        <v>0</v>
      </c>
      <c r="F66" s="51" t="n">
        <v>0</v>
      </c>
      <c r="G66" s="51" t="n">
        <v>1</v>
      </c>
      <c r="H66" s="51" t="n">
        <v>0</v>
      </c>
      <c r="I66" s="51" t="n">
        <v>0</v>
      </c>
      <c r="J66" s="51" t="n">
        <v>0</v>
      </c>
      <c r="K66" s="52" t="n">
        <f aca="false">SUM(E66:J66)</f>
        <v>1</v>
      </c>
      <c r="L66" s="53" t="n">
        <f aca="false">$D66*E66</f>
        <v>0</v>
      </c>
      <c r="M66" s="53" t="n">
        <f aca="false">$D66*F66</f>
        <v>0</v>
      </c>
      <c r="N66" s="53" t="n">
        <f aca="false">$D66*G66</f>
        <v>900</v>
      </c>
      <c r="O66" s="53" t="n">
        <f aca="false">$D66*H66</f>
        <v>0</v>
      </c>
      <c r="P66" s="53" t="n">
        <f aca="false">$D66*I66</f>
        <v>0</v>
      </c>
      <c r="Q66" s="53" t="n">
        <f aca="false">$D66*J66</f>
        <v>0</v>
      </c>
    </row>
    <row r="67" customFormat="false" ht="15" hidden="false" customHeight="false" outlineLevel="0" collapsed="false">
      <c r="A67" s="24" t="s">
        <v>148</v>
      </c>
      <c r="B67" s="49" t="s">
        <v>149</v>
      </c>
      <c r="C67" s="6" t="s">
        <v>22</v>
      </c>
      <c r="D67" s="50" t="n">
        <f aca="false">SUMIFS('Hisob (batafsil)'!$J$5:$J$371,'Hisob (batafsil)'!$K$5:$K$371,$A67)</f>
        <v>700</v>
      </c>
      <c r="E67" s="51" t="n">
        <v>0</v>
      </c>
      <c r="F67" s="51" t="n">
        <v>0</v>
      </c>
      <c r="G67" s="51" t="n">
        <v>0.5</v>
      </c>
      <c r="H67" s="51" t="n">
        <v>0.5</v>
      </c>
      <c r="I67" s="51" t="n">
        <v>0</v>
      </c>
      <c r="J67" s="51" t="n">
        <v>0</v>
      </c>
      <c r="K67" s="52" t="n">
        <f aca="false">SUM(E67:J67)</f>
        <v>1</v>
      </c>
      <c r="L67" s="53" t="n">
        <f aca="false">$D67*E67</f>
        <v>0</v>
      </c>
      <c r="M67" s="53" t="n">
        <f aca="false">$D67*F67</f>
        <v>0</v>
      </c>
      <c r="N67" s="53" t="n">
        <f aca="false">$D67*G67</f>
        <v>350</v>
      </c>
      <c r="O67" s="53" t="n">
        <f aca="false">$D67*H67</f>
        <v>350</v>
      </c>
      <c r="P67" s="53" t="n">
        <f aca="false">$D67*I67</f>
        <v>0</v>
      </c>
      <c r="Q67" s="53" t="n">
        <f aca="false">$D67*J67</f>
        <v>0</v>
      </c>
    </row>
    <row r="68" customFormat="false" ht="15" hidden="false" customHeight="false" outlineLevel="0" collapsed="false">
      <c r="A68" s="24" t="s">
        <v>150</v>
      </c>
      <c r="B68" s="6" t="s">
        <v>151</v>
      </c>
      <c r="C68" s="6" t="s">
        <v>25</v>
      </c>
      <c r="D68" s="50" t="n">
        <f aca="false">SUMIFS('Hisob (batafsil)'!$J$5:$J$371,'Hisob (batafsil)'!$K$5:$K$371,$A68)</f>
        <v>495.63025210084</v>
      </c>
      <c r="E68" s="51" t="n">
        <v>0</v>
      </c>
      <c r="F68" s="51" t="n">
        <v>0</v>
      </c>
      <c r="G68" s="51" t="n">
        <v>1</v>
      </c>
      <c r="H68" s="51" t="n">
        <v>0</v>
      </c>
      <c r="I68" s="51" t="n">
        <v>0</v>
      </c>
      <c r="J68" s="51" t="n">
        <v>0</v>
      </c>
      <c r="K68" s="52" t="n">
        <f aca="false">SUM(E68:J68)</f>
        <v>1</v>
      </c>
      <c r="L68" s="53" t="n">
        <f aca="false">$D68*E68</f>
        <v>0</v>
      </c>
      <c r="M68" s="53" t="n">
        <f aca="false">$D68*F68</f>
        <v>0</v>
      </c>
      <c r="N68" s="53" t="n">
        <f aca="false">$D68*G68</f>
        <v>495.63025210084</v>
      </c>
      <c r="O68" s="53" t="n">
        <f aca="false">$D68*H68</f>
        <v>0</v>
      </c>
      <c r="P68" s="53" t="n">
        <f aca="false">$D68*I68</f>
        <v>0</v>
      </c>
      <c r="Q68" s="53" t="n">
        <f aca="false">$D68*J68</f>
        <v>0</v>
      </c>
    </row>
    <row r="69" customFormat="false" ht="15" hidden="false" customHeight="false" outlineLevel="0" collapsed="false">
      <c r="A69" s="24" t="s">
        <v>152</v>
      </c>
      <c r="B69" s="6" t="s">
        <v>153</v>
      </c>
      <c r="C69" s="6" t="s">
        <v>25</v>
      </c>
      <c r="D69" s="50" t="n">
        <f aca="false">SUMIFS('Hisob (batafsil)'!$J$5:$J$371,'Hisob (batafsil)'!$K$5:$K$371,$A69)</f>
        <v>642.436974789916</v>
      </c>
      <c r="E69" s="51" t="n">
        <v>0</v>
      </c>
      <c r="F69" s="51" t="n">
        <v>0</v>
      </c>
      <c r="G69" s="51" t="n">
        <v>1</v>
      </c>
      <c r="H69" s="51" t="n">
        <v>0</v>
      </c>
      <c r="I69" s="51" t="n">
        <v>0</v>
      </c>
      <c r="J69" s="51" t="n">
        <v>0</v>
      </c>
      <c r="K69" s="52" t="n">
        <f aca="false">SUM(E69:J69)</f>
        <v>1</v>
      </c>
      <c r="L69" s="53" t="n">
        <f aca="false">$D69*E69</f>
        <v>0</v>
      </c>
      <c r="M69" s="53" t="n">
        <f aca="false">$D69*F69</f>
        <v>0</v>
      </c>
      <c r="N69" s="53" t="n">
        <f aca="false">$D69*G69</f>
        <v>642.436974789916</v>
      </c>
      <c r="O69" s="53" t="n">
        <f aca="false">$D69*H69</f>
        <v>0</v>
      </c>
      <c r="P69" s="53" t="n">
        <f aca="false">$D69*I69</f>
        <v>0</v>
      </c>
      <c r="Q69" s="53" t="n">
        <f aca="false">$D69*J69</f>
        <v>0</v>
      </c>
    </row>
    <row r="70" customFormat="false" ht="15" hidden="false" customHeight="false" outlineLevel="0" collapsed="false">
      <c r="A70" s="24" t="s">
        <v>154</v>
      </c>
      <c r="B70" s="6" t="s">
        <v>155</v>
      </c>
      <c r="C70" s="6" t="s">
        <v>25</v>
      </c>
      <c r="D70" s="50" t="n">
        <f aca="false">SUMIFS('Hisob (batafsil)'!$J$5:$J$371,'Hisob (batafsil)'!$K$5:$K$371,$A70)</f>
        <v>191.596638655462</v>
      </c>
      <c r="E70" s="51" t="n">
        <v>0</v>
      </c>
      <c r="F70" s="51" t="n">
        <v>0</v>
      </c>
      <c r="G70" s="51" t="n">
        <v>0.5</v>
      </c>
      <c r="H70" s="51" t="n">
        <v>0</v>
      </c>
      <c r="I70" s="51" t="n">
        <v>0.5</v>
      </c>
      <c r="J70" s="51" t="n">
        <v>0</v>
      </c>
      <c r="K70" s="52" t="n">
        <f aca="false">SUM(E70:J70)</f>
        <v>1</v>
      </c>
      <c r="L70" s="53" t="n">
        <f aca="false">$D70*E70</f>
        <v>0</v>
      </c>
      <c r="M70" s="53" t="n">
        <f aca="false">$D70*F70</f>
        <v>0</v>
      </c>
      <c r="N70" s="53" t="n">
        <f aca="false">$D70*G70</f>
        <v>95.7983193277311</v>
      </c>
      <c r="O70" s="53" t="n">
        <f aca="false">$D70*H70</f>
        <v>0</v>
      </c>
      <c r="P70" s="53" t="n">
        <f aca="false">$D70*I70</f>
        <v>95.7983193277311</v>
      </c>
      <c r="Q70" s="53" t="n">
        <f aca="false">$D70*J70</f>
        <v>0</v>
      </c>
    </row>
    <row r="71" customFormat="false" ht="15" hidden="false" customHeight="false" outlineLevel="0" collapsed="false">
      <c r="A71" s="24" t="s">
        <v>156</v>
      </c>
      <c r="B71" s="6" t="s">
        <v>157</v>
      </c>
      <c r="C71" s="6" t="s">
        <v>26</v>
      </c>
      <c r="D71" s="50" t="n">
        <f aca="false">SUMIFS('Hisob (batafsil)'!$J$5:$J$371,'Hisob (batafsil)'!$K$5:$K$371,$A71)</f>
        <v>678.151260504202</v>
      </c>
      <c r="E71" s="51" t="n">
        <v>0</v>
      </c>
      <c r="F71" s="51" t="n">
        <v>0</v>
      </c>
      <c r="G71" s="51" t="n">
        <v>1</v>
      </c>
      <c r="H71" s="51" t="n">
        <v>0</v>
      </c>
      <c r="I71" s="51" t="n">
        <v>0</v>
      </c>
      <c r="J71" s="51" t="n">
        <v>0</v>
      </c>
      <c r="K71" s="52" t="n">
        <f aca="false">SUM(E71:J71)</f>
        <v>1</v>
      </c>
      <c r="L71" s="53" t="n">
        <f aca="false">$D71*E71</f>
        <v>0</v>
      </c>
      <c r="M71" s="53" t="n">
        <f aca="false">$D71*F71</f>
        <v>0</v>
      </c>
      <c r="N71" s="53" t="n">
        <f aca="false">$D71*G71</f>
        <v>678.151260504202</v>
      </c>
      <c r="O71" s="53" t="n">
        <f aca="false">$D71*H71</f>
        <v>0</v>
      </c>
      <c r="P71" s="53" t="n">
        <f aca="false">$D71*I71</f>
        <v>0</v>
      </c>
      <c r="Q71" s="53" t="n">
        <f aca="false">$D71*J71</f>
        <v>0</v>
      </c>
    </row>
    <row r="72" customFormat="false" ht="15" hidden="false" customHeight="false" outlineLevel="0" collapsed="false">
      <c r="A72" s="24" t="s">
        <v>158</v>
      </c>
      <c r="B72" s="6" t="s">
        <v>159</v>
      </c>
      <c r="C72" s="6" t="s">
        <v>26</v>
      </c>
      <c r="D72" s="50" t="n">
        <f aca="false">SUMIFS('Hisob (batafsil)'!$J$5:$J$371,'Hisob (batafsil)'!$K$5:$K$371,$A72)</f>
        <v>437.81512605042</v>
      </c>
      <c r="E72" s="51" t="n">
        <v>0</v>
      </c>
      <c r="F72" s="51" t="n">
        <v>0</v>
      </c>
      <c r="G72" s="51" t="n">
        <v>1</v>
      </c>
      <c r="H72" s="51" t="n">
        <v>0</v>
      </c>
      <c r="I72" s="51" t="n">
        <v>0</v>
      </c>
      <c r="J72" s="51" t="n">
        <v>0</v>
      </c>
      <c r="K72" s="52" t="n">
        <f aca="false">SUM(E72:J72)</f>
        <v>1</v>
      </c>
      <c r="L72" s="53" t="n">
        <f aca="false">$D72*E72</f>
        <v>0</v>
      </c>
      <c r="M72" s="53" t="n">
        <f aca="false">$D72*F72</f>
        <v>0</v>
      </c>
      <c r="N72" s="53" t="n">
        <f aca="false">$D72*G72</f>
        <v>437.81512605042</v>
      </c>
      <c r="O72" s="53" t="n">
        <f aca="false">$D72*H72</f>
        <v>0</v>
      </c>
      <c r="P72" s="53" t="n">
        <f aca="false">$D72*I72</f>
        <v>0</v>
      </c>
      <c r="Q72" s="53" t="n">
        <f aca="false">$D72*J72</f>
        <v>0</v>
      </c>
    </row>
    <row r="73" customFormat="false" ht="15" hidden="false" customHeight="false" outlineLevel="0" collapsed="false">
      <c r="A73" s="24" t="s">
        <v>160</v>
      </c>
      <c r="B73" s="6" t="s">
        <v>161</v>
      </c>
      <c r="C73" s="6" t="s">
        <v>26</v>
      </c>
      <c r="D73" s="50" t="n">
        <f aca="false">SUMIFS('Hisob (batafsil)'!$J$5:$J$371,'Hisob (batafsil)'!$K$5:$K$371,$A73)</f>
        <v>242.016806722689</v>
      </c>
      <c r="E73" s="51" t="n">
        <v>0</v>
      </c>
      <c r="F73" s="51" t="n">
        <v>0</v>
      </c>
      <c r="G73" s="51" t="n">
        <v>1</v>
      </c>
      <c r="H73" s="51" t="n">
        <v>0</v>
      </c>
      <c r="I73" s="51" t="n">
        <v>0</v>
      </c>
      <c r="J73" s="51" t="n">
        <v>0</v>
      </c>
      <c r="K73" s="52" t="n">
        <f aca="false">SUM(E73:J73)</f>
        <v>1</v>
      </c>
      <c r="L73" s="53" t="n">
        <f aca="false">$D73*E73</f>
        <v>0</v>
      </c>
      <c r="M73" s="53" t="n">
        <f aca="false">$D73*F73</f>
        <v>0</v>
      </c>
      <c r="N73" s="53" t="n">
        <f aca="false">$D73*G73</f>
        <v>242.016806722689</v>
      </c>
      <c r="O73" s="53" t="n">
        <f aca="false">$D73*H73</f>
        <v>0</v>
      </c>
      <c r="P73" s="53" t="n">
        <f aca="false">$D73*I73</f>
        <v>0</v>
      </c>
      <c r="Q73" s="53" t="n">
        <f aca="false">$D73*J73</f>
        <v>0</v>
      </c>
    </row>
    <row r="74" customFormat="false" ht="15" hidden="false" customHeight="false" outlineLevel="0" collapsed="false">
      <c r="A74" s="24" t="s">
        <v>162</v>
      </c>
      <c r="B74" s="6" t="s">
        <v>163</v>
      </c>
      <c r="C74" s="6" t="s">
        <v>26</v>
      </c>
      <c r="D74" s="50" t="n">
        <f aca="false">SUMIFS('Hisob (batafsil)'!$J$5:$J$371,'Hisob (batafsil)'!$K$5:$K$371,$A74)</f>
        <v>68.4453781512605</v>
      </c>
      <c r="E74" s="51" t="n">
        <v>0</v>
      </c>
      <c r="F74" s="51" t="n">
        <v>0</v>
      </c>
      <c r="G74" s="51" t="n">
        <v>1</v>
      </c>
      <c r="H74" s="51" t="n">
        <v>0</v>
      </c>
      <c r="I74" s="51" t="n">
        <v>0</v>
      </c>
      <c r="J74" s="51" t="n">
        <v>0</v>
      </c>
      <c r="K74" s="52" t="n">
        <f aca="false">SUM(E74:J74)</f>
        <v>1</v>
      </c>
      <c r="L74" s="53" t="n">
        <f aca="false">$D74*E74</f>
        <v>0</v>
      </c>
      <c r="M74" s="53" t="n">
        <f aca="false">$D74*F74</f>
        <v>0</v>
      </c>
      <c r="N74" s="53" t="n">
        <f aca="false">$D74*G74</f>
        <v>68.4453781512605</v>
      </c>
      <c r="O74" s="53" t="n">
        <f aca="false">$D74*H74</f>
        <v>0</v>
      </c>
      <c r="P74" s="53" t="n">
        <f aca="false">$D74*I74</f>
        <v>0</v>
      </c>
      <c r="Q74" s="53" t="n">
        <f aca="false">$D74*J74</f>
        <v>0</v>
      </c>
    </row>
    <row r="75" customFormat="false" ht="15" hidden="false" customHeight="false" outlineLevel="0" collapsed="false">
      <c r="A75" s="24" t="s">
        <v>164</v>
      </c>
      <c r="B75" s="6" t="s">
        <v>165</v>
      </c>
      <c r="C75" s="6" t="s">
        <v>26</v>
      </c>
      <c r="D75" s="50" t="n">
        <f aca="false">SUMIFS('Hisob (batafsil)'!$J$5:$J$371,'Hisob (batafsil)'!$K$5:$K$371,$A75)</f>
        <v>37.8151260504202</v>
      </c>
      <c r="E75" s="51" t="n">
        <v>0</v>
      </c>
      <c r="F75" s="51" t="n">
        <v>0</v>
      </c>
      <c r="G75" s="51" t="n">
        <v>1</v>
      </c>
      <c r="H75" s="51" t="n">
        <v>0</v>
      </c>
      <c r="I75" s="51" t="n">
        <v>0</v>
      </c>
      <c r="J75" s="51" t="n">
        <v>0</v>
      </c>
      <c r="K75" s="52" t="n">
        <f aca="false">SUM(E75:J75)</f>
        <v>1</v>
      </c>
      <c r="L75" s="53" t="n">
        <f aca="false">$D75*E75</f>
        <v>0</v>
      </c>
      <c r="M75" s="53" t="n">
        <f aca="false">$D75*F75</f>
        <v>0</v>
      </c>
      <c r="N75" s="53" t="n">
        <f aca="false">$D75*G75</f>
        <v>37.8151260504202</v>
      </c>
      <c r="O75" s="53" t="n">
        <f aca="false">$D75*H75</f>
        <v>0</v>
      </c>
      <c r="P75" s="53" t="n">
        <f aca="false">$D75*I75</f>
        <v>0</v>
      </c>
      <c r="Q75" s="53" t="n">
        <f aca="false">$D75*J75</f>
        <v>0</v>
      </c>
    </row>
    <row r="76" customFormat="false" ht="15" hidden="false" customHeight="false" outlineLevel="0" collapsed="false">
      <c r="A76" s="24" t="s">
        <v>166</v>
      </c>
      <c r="B76" s="6" t="s">
        <v>167</v>
      </c>
      <c r="C76" s="6" t="s">
        <v>26</v>
      </c>
      <c r="D76" s="50" t="n">
        <f aca="false">SUMIFS('Hisob (batafsil)'!$J$5:$J$371,'Hisob (batafsil)'!$K$5:$K$371,$A76)</f>
        <v>844.53781512605</v>
      </c>
      <c r="E76" s="51" t="n">
        <v>0</v>
      </c>
      <c r="F76" s="51" t="n">
        <v>0</v>
      </c>
      <c r="G76" s="51" t="n">
        <v>0.6</v>
      </c>
      <c r="H76" s="51" t="n">
        <v>0</v>
      </c>
      <c r="I76" s="51" t="n">
        <v>0.4</v>
      </c>
      <c r="J76" s="51" t="n">
        <v>0</v>
      </c>
      <c r="K76" s="52" t="n">
        <f aca="false">SUM(E76:J76)</f>
        <v>1</v>
      </c>
      <c r="L76" s="53" t="n">
        <f aca="false">$D76*E76</f>
        <v>0</v>
      </c>
      <c r="M76" s="53" t="n">
        <f aca="false">$D76*F76</f>
        <v>0</v>
      </c>
      <c r="N76" s="53" t="n">
        <f aca="false">$D76*G76</f>
        <v>506.72268907563</v>
      </c>
      <c r="O76" s="53" t="n">
        <f aca="false">$D76*H76</f>
        <v>0</v>
      </c>
      <c r="P76" s="53" t="n">
        <f aca="false">$D76*I76</f>
        <v>337.81512605042</v>
      </c>
      <c r="Q76" s="53" t="n">
        <f aca="false">$D76*J76</f>
        <v>0</v>
      </c>
    </row>
    <row r="77" customFormat="false" ht="15" hidden="false" customHeight="false" outlineLevel="0" collapsed="false">
      <c r="A77" s="24" t="s">
        <v>168</v>
      </c>
      <c r="B77" s="6" t="s">
        <v>8</v>
      </c>
      <c r="C77" s="6" t="s">
        <v>8</v>
      </c>
      <c r="D77" s="50" t="n">
        <f aca="false">SUMIFS('Hisob (batafsil)'!$J$5:$J$371,'Hisob (batafsil)'!$K$5:$K$371,$A77)</f>
        <v>7720.625</v>
      </c>
      <c r="E77" s="51" t="n">
        <v>0</v>
      </c>
      <c r="F77" s="51" t="n">
        <v>0</v>
      </c>
      <c r="G77" s="51" t="n">
        <v>0</v>
      </c>
      <c r="H77" s="51" t="n">
        <v>0.5</v>
      </c>
      <c r="I77" s="51" t="n">
        <v>0.5</v>
      </c>
      <c r="J77" s="51" t="n">
        <v>0</v>
      </c>
      <c r="K77" s="52" t="n">
        <f aca="false">SUM(E77:J77)</f>
        <v>1</v>
      </c>
      <c r="L77" s="53" t="n">
        <f aca="false">$D77*E77</f>
        <v>0</v>
      </c>
      <c r="M77" s="53" t="n">
        <f aca="false">$D77*F77</f>
        <v>0</v>
      </c>
      <c r="N77" s="53" t="n">
        <f aca="false">$D77*G77</f>
        <v>0</v>
      </c>
      <c r="O77" s="53" t="n">
        <f aca="false">$D77*H77</f>
        <v>3860.3125</v>
      </c>
      <c r="P77" s="53" t="n">
        <f aca="false">$D77*I77</f>
        <v>3860.3125</v>
      </c>
      <c r="Q77" s="53" t="n">
        <f aca="false">$D77*J77</f>
        <v>0</v>
      </c>
    </row>
    <row r="78" customFormat="false" ht="15" hidden="false" customHeight="false" outlineLevel="0" collapsed="false">
      <c r="A78" s="24" t="s">
        <v>169</v>
      </c>
      <c r="B78" s="6" t="s">
        <v>10</v>
      </c>
      <c r="C78" s="6" t="s">
        <v>10</v>
      </c>
      <c r="D78" s="50" t="n">
        <f aca="false">SUMIFS('Hisob (batafsil)'!$J$5:$J$371,'Hisob (batafsil)'!$K$5:$K$371,$A78)</f>
        <v>8292.035</v>
      </c>
      <c r="E78" s="51" t="n">
        <v>0</v>
      </c>
      <c r="F78" s="51" t="n">
        <v>0</v>
      </c>
      <c r="G78" s="51" t="n">
        <v>0</v>
      </c>
      <c r="H78" s="51" t="n">
        <v>1</v>
      </c>
      <c r="I78" s="51" t="n">
        <v>0</v>
      </c>
      <c r="J78" s="51" t="n">
        <v>0</v>
      </c>
      <c r="K78" s="52" t="n">
        <f aca="false">SUM(E78:J78)</f>
        <v>1</v>
      </c>
      <c r="L78" s="53" t="n">
        <f aca="false">$D78*E78</f>
        <v>0</v>
      </c>
      <c r="M78" s="53" t="n">
        <f aca="false">$D78*F78</f>
        <v>0</v>
      </c>
      <c r="N78" s="53" t="n">
        <f aca="false">$D78*G78</f>
        <v>0</v>
      </c>
      <c r="O78" s="53" t="n">
        <f aca="false">$D78*H78</f>
        <v>8292.035</v>
      </c>
      <c r="P78" s="53" t="n">
        <f aca="false">$D78*I78</f>
        <v>0</v>
      </c>
      <c r="Q78" s="53" t="n">
        <f aca="false">$D78*J78</f>
        <v>0</v>
      </c>
    </row>
    <row r="79" customFormat="false" ht="15" hidden="false" customHeight="false" outlineLevel="0" collapsed="false">
      <c r="A79" s="24" t="s">
        <v>170</v>
      </c>
      <c r="B79" s="6" t="s">
        <v>171</v>
      </c>
      <c r="C79" s="6" t="s">
        <v>20</v>
      </c>
      <c r="D79" s="50" t="n">
        <f aca="false">SUMIFS('Hisob (batafsil)'!$J$5:$J$371,'Hisob (batafsil)'!$K$5:$K$371,$A79)</f>
        <v>621.848739495798</v>
      </c>
      <c r="E79" s="51" t="n">
        <v>0</v>
      </c>
      <c r="F79" s="51" t="n">
        <v>0</v>
      </c>
      <c r="G79" s="51" t="n">
        <v>0</v>
      </c>
      <c r="H79" s="51" t="n">
        <v>1</v>
      </c>
      <c r="I79" s="51" t="n">
        <v>0</v>
      </c>
      <c r="J79" s="51" t="n">
        <v>0</v>
      </c>
      <c r="K79" s="52" t="n">
        <f aca="false">SUM(E79:J79)</f>
        <v>1</v>
      </c>
      <c r="L79" s="53" t="n">
        <f aca="false">$D79*E79</f>
        <v>0</v>
      </c>
      <c r="M79" s="53" t="n">
        <f aca="false">$D79*F79</f>
        <v>0</v>
      </c>
      <c r="N79" s="53" t="n">
        <f aca="false">$D79*G79</f>
        <v>0</v>
      </c>
      <c r="O79" s="53" t="n">
        <f aca="false">$D79*H79</f>
        <v>621.848739495798</v>
      </c>
      <c r="P79" s="53" t="n">
        <f aca="false">$D79*I79</f>
        <v>0</v>
      </c>
      <c r="Q79" s="53" t="n">
        <f aca="false">$D79*J79</f>
        <v>0</v>
      </c>
    </row>
    <row r="80" customFormat="false" ht="15" hidden="false" customHeight="false" outlineLevel="0" collapsed="false">
      <c r="A80" s="24" t="s">
        <v>172</v>
      </c>
      <c r="B80" s="6" t="s">
        <v>173</v>
      </c>
      <c r="C80" s="6" t="s">
        <v>20</v>
      </c>
      <c r="D80" s="50" t="n">
        <f aca="false">SUMIFS('Hisob (batafsil)'!$J$5:$J$371,'Hisob (batafsil)'!$K$5:$K$371,$A80)</f>
        <v>621.848739495798</v>
      </c>
      <c r="E80" s="51" t="n">
        <v>0</v>
      </c>
      <c r="F80" s="51" t="n">
        <v>0</v>
      </c>
      <c r="G80" s="51" t="n">
        <v>0</v>
      </c>
      <c r="H80" s="51" t="n">
        <v>1</v>
      </c>
      <c r="I80" s="51" t="n">
        <v>0</v>
      </c>
      <c r="J80" s="51" t="n">
        <v>0</v>
      </c>
      <c r="K80" s="52" t="n">
        <f aca="false">SUM(E80:J80)</f>
        <v>1</v>
      </c>
      <c r="L80" s="53" t="n">
        <f aca="false">$D80*E80</f>
        <v>0</v>
      </c>
      <c r="M80" s="53" t="n">
        <f aca="false">$D80*F80</f>
        <v>0</v>
      </c>
      <c r="N80" s="53" t="n">
        <f aca="false">$D80*G80</f>
        <v>0</v>
      </c>
      <c r="O80" s="53" t="n">
        <f aca="false">$D80*H80</f>
        <v>621.848739495798</v>
      </c>
      <c r="P80" s="53" t="n">
        <f aca="false">$D80*I80</f>
        <v>0</v>
      </c>
      <c r="Q80" s="53" t="n">
        <f aca="false">$D80*J80</f>
        <v>0</v>
      </c>
    </row>
    <row r="81" customFormat="false" ht="15" hidden="false" customHeight="false" outlineLevel="0" collapsed="false">
      <c r="A81" s="24" t="s">
        <v>174</v>
      </c>
      <c r="B81" s="6" t="s">
        <v>175</v>
      </c>
      <c r="C81" s="6" t="s">
        <v>21</v>
      </c>
      <c r="D81" s="50" t="n">
        <f aca="false">SUMIFS('Hisob (batafsil)'!$J$5:$J$371,'Hisob (batafsil)'!$K$5:$K$371,$A81)</f>
        <v>1000</v>
      </c>
      <c r="E81" s="51" t="n">
        <v>0</v>
      </c>
      <c r="F81" s="51" t="n">
        <v>0</v>
      </c>
      <c r="G81" s="51" t="n">
        <v>0</v>
      </c>
      <c r="H81" s="51" t="n">
        <v>1</v>
      </c>
      <c r="I81" s="51" t="n">
        <v>0</v>
      </c>
      <c r="J81" s="51" t="n">
        <v>0</v>
      </c>
      <c r="K81" s="52" t="n">
        <f aca="false">SUM(E81:J81)</f>
        <v>1</v>
      </c>
      <c r="L81" s="53" t="n">
        <f aca="false">$D81*E81</f>
        <v>0</v>
      </c>
      <c r="M81" s="53" t="n">
        <f aca="false">$D81*F81</f>
        <v>0</v>
      </c>
      <c r="N81" s="53" t="n">
        <f aca="false">$D81*G81</f>
        <v>0</v>
      </c>
      <c r="O81" s="53" t="n">
        <f aca="false">$D81*H81</f>
        <v>1000</v>
      </c>
      <c r="P81" s="53" t="n">
        <f aca="false">$D81*I81</f>
        <v>0</v>
      </c>
      <c r="Q81" s="53" t="n">
        <f aca="false">$D81*J81</f>
        <v>0</v>
      </c>
    </row>
    <row r="82" customFormat="false" ht="15" hidden="false" customHeight="false" outlineLevel="0" collapsed="false">
      <c r="A82" s="24" t="s">
        <v>176</v>
      </c>
      <c r="B82" s="49" t="s">
        <v>177</v>
      </c>
      <c r="C82" s="6" t="s">
        <v>22</v>
      </c>
      <c r="D82" s="50" t="n">
        <f aca="false">SUMIFS('Hisob (batafsil)'!$J$5:$J$371,'Hisob (batafsil)'!$K$5:$K$371,$A82)</f>
        <v>250</v>
      </c>
      <c r="E82" s="51" t="n">
        <v>0</v>
      </c>
      <c r="F82" s="51" t="n">
        <v>0</v>
      </c>
      <c r="G82" s="51" t="n">
        <v>0</v>
      </c>
      <c r="H82" s="51" t="n">
        <v>1</v>
      </c>
      <c r="I82" s="51" t="n">
        <v>0</v>
      </c>
      <c r="J82" s="51" t="n">
        <v>0</v>
      </c>
      <c r="K82" s="52" t="n">
        <f aca="false">SUM(E82:J82)</f>
        <v>1</v>
      </c>
      <c r="L82" s="53" t="n">
        <f aca="false">$D82*E82</f>
        <v>0</v>
      </c>
      <c r="M82" s="53" t="n">
        <f aca="false">$D82*F82</f>
        <v>0</v>
      </c>
      <c r="N82" s="53" t="n">
        <f aca="false">$D82*G82</f>
        <v>0</v>
      </c>
      <c r="O82" s="53" t="n">
        <f aca="false">$D82*H82</f>
        <v>250</v>
      </c>
      <c r="P82" s="53" t="n">
        <f aca="false">$D82*I82</f>
        <v>0</v>
      </c>
      <c r="Q82" s="53" t="n">
        <f aca="false">$D82*J82</f>
        <v>0</v>
      </c>
    </row>
    <row r="83" customFormat="false" ht="15" hidden="false" customHeight="false" outlineLevel="0" collapsed="false">
      <c r="A83" s="24" t="s">
        <v>178</v>
      </c>
      <c r="B83" s="6" t="s">
        <v>11</v>
      </c>
      <c r="C83" s="6" t="s">
        <v>11</v>
      </c>
      <c r="D83" s="50" t="n">
        <f aca="false">SUMIFS('Hisob (batafsil)'!$J$5:$J$371,'Hisob (batafsil)'!$K$5:$K$371,$A83)</f>
        <v>8256</v>
      </c>
      <c r="E83" s="51" t="n">
        <v>0</v>
      </c>
      <c r="F83" s="51" t="n">
        <v>0</v>
      </c>
      <c r="G83" s="51" t="n">
        <v>0</v>
      </c>
      <c r="H83" s="51" t="n">
        <v>0</v>
      </c>
      <c r="I83" s="51" t="n">
        <v>1</v>
      </c>
      <c r="J83" s="51" t="n">
        <v>0</v>
      </c>
      <c r="K83" s="52" t="n">
        <f aca="false">SUM(E83:J83)</f>
        <v>1</v>
      </c>
      <c r="L83" s="53" t="n">
        <f aca="false">$D83*E83</f>
        <v>0</v>
      </c>
      <c r="M83" s="53" t="n">
        <f aca="false">$D83*F83</f>
        <v>0</v>
      </c>
      <c r="N83" s="53" t="n">
        <f aca="false">$D83*G83</f>
        <v>0</v>
      </c>
      <c r="O83" s="53" t="n">
        <f aca="false">$D83*H83</f>
        <v>0</v>
      </c>
      <c r="P83" s="53" t="n">
        <f aca="false">$D83*I83</f>
        <v>8256</v>
      </c>
      <c r="Q83" s="53" t="n">
        <f aca="false">$D83*J83</f>
        <v>0</v>
      </c>
    </row>
    <row r="84" customFormat="false" ht="15" hidden="false" customHeight="false" outlineLevel="0" collapsed="false">
      <c r="A84" s="24" t="s">
        <v>179</v>
      </c>
      <c r="B84" s="6" t="s">
        <v>12</v>
      </c>
      <c r="C84" s="6" t="s">
        <v>12</v>
      </c>
      <c r="D84" s="50" t="n">
        <f aca="false">SUMIFS('Hisob (batafsil)'!$J$5:$J$371,'Hisob (batafsil)'!$K$5:$K$371,$A84)</f>
        <v>2322.6</v>
      </c>
      <c r="E84" s="51" t="n">
        <v>0</v>
      </c>
      <c r="F84" s="51" t="n">
        <v>0</v>
      </c>
      <c r="G84" s="51" t="n">
        <v>0</v>
      </c>
      <c r="H84" s="51" t="n">
        <v>0</v>
      </c>
      <c r="I84" s="51" t="n">
        <v>1</v>
      </c>
      <c r="J84" s="51" t="n">
        <v>0</v>
      </c>
      <c r="K84" s="52" t="n">
        <f aca="false">SUM(E84:J84)</f>
        <v>1</v>
      </c>
      <c r="L84" s="53" t="n">
        <f aca="false">$D84*E84</f>
        <v>0</v>
      </c>
      <c r="M84" s="53" t="n">
        <f aca="false">$D84*F84</f>
        <v>0</v>
      </c>
      <c r="N84" s="53" t="n">
        <f aca="false">$D84*G84</f>
        <v>0</v>
      </c>
      <c r="O84" s="53" t="n">
        <f aca="false">$D84*H84</f>
        <v>0</v>
      </c>
      <c r="P84" s="53" t="n">
        <f aca="false">$D84*I84</f>
        <v>2322.6</v>
      </c>
      <c r="Q84" s="53" t="n">
        <f aca="false">$D84*J84</f>
        <v>0</v>
      </c>
    </row>
    <row r="85" customFormat="false" ht="15" hidden="false" customHeight="false" outlineLevel="0" collapsed="false">
      <c r="A85" s="24" t="s">
        <v>180</v>
      </c>
      <c r="B85" s="6" t="s">
        <v>181</v>
      </c>
      <c r="C85" s="6" t="s">
        <v>13</v>
      </c>
      <c r="D85" s="50" t="n">
        <f aca="false">SUMIFS('Hisob (batafsil)'!$J$5:$J$371,'Hisob (batafsil)'!$K$5:$K$371,$A85)</f>
        <v>2016</v>
      </c>
      <c r="E85" s="51" t="n">
        <v>0</v>
      </c>
      <c r="F85" s="51" t="n">
        <v>0</v>
      </c>
      <c r="G85" s="51" t="n">
        <v>0</v>
      </c>
      <c r="H85" s="51" t="n">
        <v>0</v>
      </c>
      <c r="I85" s="51" t="n">
        <v>1</v>
      </c>
      <c r="J85" s="51" t="n">
        <v>0</v>
      </c>
      <c r="K85" s="52" t="n">
        <f aca="false">SUM(E85:J85)</f>
        <v>1</v>
      </c>
      <c r="L85" s="53" t="n">
        <f aca="false">$D85*E85</f>
        <v>0</v>
      </c>
      <c r="M85" s="53" t="n">
        <f aca="false">$D85*F85</f>
        <v>0</v>
      </c>
      <c r="N85" s="53" t="n">
        <f aca="false">$D85*G85</f>
        <v>0</v>
      </c>
      <c r="O85" s="53" t="n">
        <f aca="false">$D85*H85</f>
        <v>0</v>
      </c>
      <c r="P85" s="53" t="n">
        <f aca="false">$D85*I85</f>
        <v>2016</v>
      </c>
      <c r="Q85" s="53" t="n">
        <f aca="false">$D85*J85</f>
        <v>0</v>
      </c>
    </row>
    <row r="86" customFormat="false" ht="15" hidden="false" customHeight="false" outlineLevel="0" collapsed="false">
      <c r="A86" s="24" t="s">
        <v>182</v>
      </c>
      <c r="B86" s="6" t="s">
        <v>183</v>
      </c>
      <c r="C86" s="6" t="s">
        <v>13</v>
      </c>
      <c r="D86" s="50" t="n">
        <f aca="false">SUMIFS('Hisob (batafsil)'!$J$5:$J$371,'Hisob (batafsil)'!$K$5:$K$371,$A86)</f>
        <v>1008</v>
      </c>
      <c r="E86" s="51" t="n">
        <v>0</v>
      </c>
      <c r="F86" s="51" t="n">
        <v>0</v>
      </c>
      <c r="G86" s="51" t="n">
        <v>0</v>
      </c>
      <c r="H86" s="51" t="n">
        <v>0</v>
      </c>
      <c r="I86" s="51" t="n">
        <v>1</v>
      </c>
      <c r="J86" s="51" t="n">
        <v>0</v>
      </c>
      <c r="K86" s="52" t="n">
        <f aca="false">SUM(E86:J86)</f>
        <v>1</v>
      </c>
      <c r="L86" s="53" t="n">
        <f aca="false">$D86*E86</f>
        <v>0</v>
      </c>
      <c r="M86" s="53" t="n">
        <f aca="false">$D86*F86</f>
        <v>0</v>
      </c>
      <c r="N86" s="53" t="n">
        <f aca="false">$D86*G86</f>
        <v>0</v>
      </c>
      <c r="O86" s="53" t="n">
        <f aca="false">$D86*H86</f>
        <v>0</v>
      </c>
      <c r="P86" s="53" t="n">
        <f aca="false">$D86*I86</f>
        <v>1008</v>
      </c>
      <c r="Q86" s="53" t="n">
        <f aca="false">$D86*J86</f>
        <v>0</v>
      </c>
    </row>
    <row r="87" customFormat="false" ht="15" hidden="false" customHeight="false" outlineLevel="0" collapsed="false">
      <c r="A87" s="24" t="s">
        <v>184</v>
      </c>
      <c r="B87" s="6" t="s">
        <v>185</v>
      </c>
      <c r="C87" s="6" t="s">
        <v>14</v>
      </c>
      <c r="D87" s="50" t="n">
        <f aca="false">SUMIFS('Hisob (batafsil)'!$J$5:$J$371,'Hisob (batafsil)'!$K$5:$K$371,$A87)</f>
        <v>960</v>
      </c>
      <c r="E87" s="51" t="n">
        <v>0</v>
      </c>
      <c r="F87" s="51" t="n">
        <v>0</v>
      </c>
      <c r="G87" s="51" t="n">
        <v>0</v>
      </c>
      <c r="H87" s="51" t="n">
        <v>0</v>
      </c>
      <c r="I87" s="51" t="n">
        <v>1</v>
      </c>
      <c r="J87" s="51" t="n">
        <v>0</v>
      </c>
      <c r="K87" s="52" t="n">
        <f aca="false">SUM(E87:J87)</f>
        <v>1</v>
      </c>
      <c r="L87" s="53" t="n">
        <f aca="false">$D87*E87</f>
        <v>0</v>
      </c>
      <c r="M87" s="53" t="n">
        <f aca="false">$D87*F87</f>
        <v>0</v>
      </c>
      <c r="N87" s="53" t="n">
        <f aca="false">$D87*G87</f>
        <v>0</v>
      </c>
      <c r="O87" s="53" t="n">
        <f aca="false">$D87*H87</f>
        <v>0</v>
      </c>
      <c r="P87" s="53" t="n">
        <f aca="false">$D87*I87</f>
        <v>960</v>
      </c>
      <c r="Q87" s="53" t="n">
        <f aca="false">$D87*J87</f>
        <v>0</v>
      </c>
    </row>
    <row r="88" customFormat="false" ht="15" hidden="false" customHeight="false" outlineLevel="0" collapsed="false">
      <c r="A88" s="24" t="s">
        <v>186</v>
      </c>
      <c r="B88" s="6" t="s">
        <v>187</v>
      </c>
      <c r="C88" s="6" t="s">
        <v>14</v>
      </c>
      <c r="D88" s="50" t="n">
        <f aca="false">SUMIFS('Hisob (batafsil)'!$J$5:$J$371,'Hisob (batafsil)'!$K$5:$K$371,$A88)</f>
        <v>504</v>
      </c>
      <c r="E88" s="51" t="n">
        <v>0</v>
      </c>
      <c r="F88" s="51" t="n">
        <v>0</v>
      </c>
      <c r="G88" s="51" t="n">
        <v>0</v>
      </c>
      <c r="H88" s="51" t="n">
        <v>0</v>
      </c>
      <c r="I88" s="51" t="n">
        <v>1</v>
      </c>
      <c r="J88" s="51" t="n">
        <v>0</v>
      </c>
      <c r="K88" s="52" t="n">
        <f aca="false">SUM(E88:J88)</f>
        <v>1</v>
      </c>
      <c r="L88" s="53" t="n">
        <f aca="false">$D88*E88</f>
        <v>0</v>
      </c>
      <c r="M88" s="53" t="n">
        <f aca="false">$D88*F88</f>
        <v>0</v>
      </c>
      <c r="N88" s="53" t="n">
        <f aca="false">$D88*G88</f>
        <v>0</v>
      </c>
      <c r="O88" s="53" t="n">
        <f aca="false">$D88*H88</f>
        <v>0</v>
      </c>
      <c r="P88" s="53" t="n">
        <f aca="false">$D88*I88</f>
        <v>504</v>
      </c>
      <c r="Q88" s="53" t="n">
        <f aca="false">$D88*J88</f>
        <v>0</v>
      </c>
    </row>
    <row r="89" customFormat="false" ht="15" hidden="false" customHeight="false" outlineLevel="0" collapsed="false">
      <c r="A89" s="24" t="s">
        <v>188</v>
      </c>
      <c r="B89" s="6" t="s">
        <v>189</v>
      </c>
      <c r="C89" s="6" t="s">
        <v>14</v>
      </c>
      <c r="D89" s="50" t="n">
        <f aca="false">SUMIFS('Hisob (batafsil)'!$J$5:$J$371,'Hisob (batafsil)'!$K$5:$K$371,$A89)</f>
        <v>840</v>
      </c>
      <c r="E89" s="51" t="n">
        <v>0</v>
      </c>
      <c r="F89" s="51" t="n">
        <v>0</v>
      </c>
      <c r="G89" s="51" t="n">
        <v>0</v>
      </c>
      <c r="H89" s="51" t="n">
        <v>0</v>
      </c>
      <c r="I89" s="51" t="n">
        <v>1</v>
      </c>
      <c r="J89" s="51" t="n">
        <v>0</v>
      </c>
      <c r="K89" s="52" t="n">
        <f aca="false">SUM(E89:J89)</f>
        <v>1</v>
      </c>
      <c r="L89" s="53" t="n">
        <f aca="false">$D89*E89</f>
        <v>0</v>
      </c>
      <c r="M89" s="53" t="n">
        <f aca="false">$D89*F89</f>
        <v>0</v>
      </c>
      <c r="N89" s="53" t="n">
        <f aca="false">$D89*G89</f>
        <v>0</v>
      </c>
      <c r="O89" s="53" t="n">
        <f aca="false">$D89*H89</f>
        <v>0</v>
      </c>
      <c r="P89" s="53" t="n">
        <f aca="false">$D89*I89</f>
        <v>840</v>
      </c>
      <c r="Q89" s="53" t="n">
        <f aca="false">$D89*J89</f>
        <v>0</v>
      </c>
    </row>
    <row r="90" customFormat="false" ht="15" hidden="false" customHeight="false" outlineLevel="0" collapsed="false">
      <c r="A90" s="24" t="s">
        <v>190</v>
      </c>
      <c r="B90" s="6" t="s">
        <v>191</v>
      </c>
      <c r="C90" s="6" t="s">
        <v>14</v>
      </c>
      <c r="D90" s="50" t="n">
        <f aca="false">SUMIFS('Hisob (batafsil)'!$J$5:$J$371,'Hisob (batafsil)'!$K$5:$K$371,$A90)</f>
        <v>280</v>
      </c>
      <c r="E90" s="51" t="n">
        <v>0</v>
      </c>
      <c r="F90" s="51" t="n">
        <v>0</v>
      </c>
      <c r="G90" s="51" t="n">
        <v>0</v>
      </c>
      <c r="H90" s="51" t="n">
        <v>0</v>
      </c>
      <c r="I90" s="51" t="n">
        <v>1</v>
      </c>
      <c r="J90" s="51" t="n">
        <v>0</v>
      </c>
      <c r="K90" s="52" t="n">
        <f aca="false">SUM(E90:J90)</f>
        <v>1</v>
      </c>
      <c r="L90" s="53" t="n">
        <f aca="false">$D90*E90</f>
        <v>0</v>
      </c>
      <c r="M90" s="53" t="n">
        <f aca="false">$D90*F90</f>
        <v>0</v>
      </c>
      <c r="N90" s="53" t="n">
        <f aca="false">$D90*G90</f>
        <v>0</v>
      </c>
      <c r="O90" s="53" t="n">
        <f aca="false">$D90*H90</f>
        <v>0</v>
      </c>
      <c r="P90" s="53" t="n">
        <f aca="false">$D90*I90</f>
        <v>280</v>
      </c>
      <c r="Q90" s="53" t="n">
        <f aca="false">$D90*J90</f>
        <v>0</v>
      </c>
    </row>
    <row r="91" customFormat="false" ht="15" hidden="false" customHeight="false" outlineLevel="0" collapsed="false">
      <c r="A91" s="24" t="s">
        <v>192</v>
      </c>
      <c r="B91" s="49" t="s">
        <v>193</v>
      </c>
      <c r="C91" s="6" t="s">
        <v>14</v>
      </c>
      <c r="D91" s="50" t="n">
        <f aca="false">SUMIFS('Hisob (batafsil)'!$J$5:$J$371,'Hisob (batafsil)'!$K$5:$K$371,$A91)</f>
        <v>220</v>
      </c>
      <c r="E91" s="51" t="n">
        <v>0</v>
      </c>
      <c r="F91" s="51" t="n">
        <v>0</v>
      </c>
      <c r="G91" s="51" t="n">
        <v>0</v>
      </c>
      <c r="H91" s="51" t="n">
        <v>0</v>
      </c>
      <c r="I91" s="51" t="n">
        <v>1</v>
      </c>
      <c r="J91" s="51" t="n">
        <v>0</v>
      </c>
      <c r="K91" s="52" t="n">
        <f aca="false">SUM(E91:J91)</f>
        <v>1</v>
      </c>
      <c r="L91" s="53" t="n">
        <f aca="false">$D91*E91</f>
        <v>0</v>
      </c>
      <c r="M91" s="53" t="n">
        <f aca="false">$D91*F91</f>
        <v>0</v>
      </c>
      <c r="N91" s="53" t="n">
        <f aca="false">$D91*G91</f>
        <v>0</v>
      </c>
      <c r="O91" s="53" t="n">
        <f aca="false">$D91*H91</f>
        <v>0</v>
      </c>
      <c r="P91" s="53" t="n">
        <f aca="false">$D91*I91</f>
        <v>220</v>
      </c>
      <c r="Q91" s="53" t="n">
        <f aca="false">$D91*J91</f>
        <v>0</v>
      </c>
    </row>
    <row r="92" customFormat="false" ht="15" hidden="false" customHeight="false" outlineLevel="0" collapsed="false">
      <c r="A92" s="24" t="s">
        <v>194</v>
      </c>
      <c r="B92" s="6" t="s">
        <v>195</v>
      </c>
      <c r="C92" s="6" t="s">
        <v>14</v>
      </c>
      <c r="D92" s="50" t="n">
        <f aca="false">SUMIFS('Hisob (batafsil)'!$J$5:$J$371,'Hisob (batafsil)'!$K$5:$K$371,$A92)</f>
        <v>180</v>
      </c>
      <c r="E92" s="51" t="n">
        <v>0</v>
      </c>
      <c r="F92" s="51" t="n">
        <v>0</v>
      </c>
      <c r="G92" s="51" t="n">
        <v>0</v>
      </c>
      <c r="H92" s="51" t="n">
        <v>0</v>
      </c>
      <c r="I92" s="51" t="n">
        <v>1</v>
      </c>
      <c r="J92" s="51" t="n">
        <v>0</v>
      </c>
      <c r="K92" s="52" t="n">
        <f aca="false">SUM(E92:J92)</f>
        <v>1</v>
      </c>
      <c r="L92" s="53" t="n">
        <f aca="false">$D92*E92</f>
        <v>0</v>
      </c>
      <c r="M92" s="53" t="n">
        <f aca="false">$D92*F92</f>
        <v>0</v>
      </c>
      <c r="N92" s="53" t="n">
        <f aca="false">$D92*G92</f>
        <v>0</v>
      </c>
      <c r="O92" s="53" t="n">
        <f aca="false">$D92*H92</f>
        <v>0</v>
      </c>
      <c r="P92" s="53" t="n">
        <f aca="false">$D92*I92</f>
        <v>180</v>
      </c>
      <c r="Q92" s="53" t="n">
        <f aca="false">$D92*J92</f>
        <v>0</v>
      </c>
    </row>
    <row r="93" customFormat="false" ht="15" hidden="false" customHeight="false" outlineLevel="0" collapsed="false">
      <c r="A93" s="24" t="s">
        <v>196</v>
      </c>
      <c r="B93" s="6" t="s">
        <v>197</v>
      </c>
      <c r="C93" s="6" t="s">
        <v>16</v>
      </c>
      <c r="D93" s="50" t="n">
        <f aca="false">SUMIFS('Hisob (batafsil)'!$J$5:$J$371,'Hisob (batafsil)'!$K$5:$K$371,$A93)</f>
        <v>537.81512605042</v>
      </c>
      <c r="E93" s="51" t="n">
        <v>0</v>
      </c>
      <c r="F93" s="51" t="n">
        <v>0</v>
      </c>
      <c r="G93" s="51" t="n">
        <v>0</v>
      </c>
      <c r="H93" s="51" t="n">
        <v>0</v>
      </c>
      <c r="I93" s="51" t="n">
        <v>1</v>
      </c>
      <c r="J93" s="51" t="n">
        <v>0</v>
      </c>
      <c r="K93" s="52" t="n">
        <f aca="false">SUM(E93:J93)</f>
        <v>1</v>
      </c>
      <c r="L93" s="53" t="n">
        <f aca="false">$D93*E93</f>
        <v>0</v>
      </c>
      <c r="M93" s="53" t="n">
        <f aca="false">$D93*F93</f>
        <v>0</v>
      </c>
      <c r="N93" s="53" t="n">
        <f aca="false">$D93*G93</f>
        <v>0</v>
      </c>
      <c r="O93" s="53" t="n">
        <f aca="false">$D93*H93</f>
        <v>0</v>
      </c>
      <c r="P93" s="53" t="n">
        <f aca="false">$D93*I93</f>
        <v>537.81512605042</v>
      </c>
      <c r="Q93" s="53" t="n">
        <f aca="false">$D93*J93</f>
        <v>0</v>
      </c>
    </row>
    <row r="94" customFormat="false" ht="15" hidden="false" customHeight="false" outlineLevel="0" collapsed="false">
      <c r="A94" s="24" t="s">
        <v>198</v>
      </c>
      <c r="B94" s="6" t="s">
        <v>199</v>
      </c>
      <c r="C94" s="6" t="s">
        <v>19</v>
      </c>
      <c r="D94" s="50" t="n">
        <f aca="false">SUMIFS('Hisob (batafsil)'!$J$5:$J$371,'Hisob (batafsil)'!$K$5:$K$371,$A94)</f>
        <v>176.470588235294</v>
      </c>
      <c r="E94" s="51" t="n">
        <v>0</v>
      </c>
      <c r="F94" s="51" t="n">
        <v>0</v>
      </c>
      <c r="G94" s="51" t="n">
        <v>0</v>
      </c>
      <c r="H94" s="51" t="n">
        <v>0</v>
      </c>
      <c r="I94" s="51" t="n">
        <v>1</v>
      </c>
      <c r="J94" s="51" t="n">
        <v>0</v>
      </c>
      <c r="K94" s="52" t="n">
        <f aca="false">SUM(E94:J94)</f>
        <v>1</v>
      </c>
      <c r="L94" s="53" t="n">
        <f aca="false">$D94*E94</f>
        <v>0</v>
      </c>
      <c r="M94" s="53" t="n">
        <f aca="false">$D94*F94</f>
        <v>0</v>
      </c>
      <c r="N94" s="53" t="n">
        <f aca="false">$D94*G94</f>
        <v>0</v>
      </c>
      <c r="O94" s="53" t="n">
        <f aca="false">$D94*H94</f>
        <v>0</v>
      </c>
      <c r="P94" s="53" t="n">
        <f aca="false">$D94*I94</f>
        <v>176.470588235294</v>
      </c>
      <c r="Q94" s="53" t="n">
        <f aca="false">$D94*J94</f>
        <v>0</v>
      </c>
    </row>
    <row r="95" customFormat="false" ht="15" hidden="false" customHeight="false" outlineLevel="0" collapsed="false">
      <c r="A95" s="24" t="s">
        <v>200</v>
      </c>
      <c r="B95" s="6" t="s">
        <v>201</v>
      </c>
      <c r="C95" s="6" t="s">
        <v>19</v>
      </c>
      <c r="D95" s="50" t="n">
        <f aca="false">SUMIFS('Hisob (batafsil)'!$J$5:$J$371,'Hisob (batafsil)'!$K$5:$K$371,$A95)</f>
        <v>302.521008403361</v>
      </c>
      <c r="E95" s="51" t="n">
        <v>0</v>
      </c>
      <c r="F95" s="51" t="n">
        <v>0</v>
      </c>
      <c r="G95" s="51" t="n">
        <v>0</v>
      </c>
      <c r="H95" s="51" t="n">
        <v>0</v>
      </c>
      <c r="I95" s="51" t="n">
        <v>1</v>
      </c>
      <c r="J95" s="51" t="n">
        <v>0</v>
      </c>
      <c r="K95" s="52" t="n">
        <f aca="false">SUM(E95:J95)</f>
        <v>1</v>
      </c>
      <c r="L95" s="53" t="n">
        <f aca="false">$D95*E95</f>
        <v>0</v>
      </c>
      <c r="M95" s="53" t="n">
        <f aca="false">$D95*F95</f>
        <v>0</v>
      </c>
      <c r="N95" s="53" t="n">
        <f aca="false">$D95*G95</f>
        <v>0</v>
      </c>
      <c r="O95" s="53" t="n">
        <f aca="false">$D95*H95</f>
        <v>0</v>
      </c>
      <c r="P95" s="53" t="n">
        <f aca="false">$D95*I95</f>
        <v>302.521008403361</v>
      </c>
      <c r="Q95" s="53" t="n">
        <f aca="false">$D95*J95</f>
        <v>0</v>
      </c>
    </row>
    <row r="96" customFormat="false" ht="15" hidden="false" customHeight="false" outlineLevel="0" collapsed="false">
      <c r="A96" s="24" t="s">
        <v>202</v>
      </c>
      <c r="B96" s="6" t="s">
        <v>203</v>
      </c>
      <c r="C96" s="6" t="s">
        <v>19</v>
      </c>
      <c r="D96" s="50" t="n">
        <f aca="false">SUMIFS('Hisob (batafsil)'!$J$5:$J$371,'Hisob (batafsil)'!$K$5:$K$371,$A96)</f>
        <v>218.487394957983</v>
      </c>
      <c r="E96" s="51" t="n">
        <v>0</v>
      </c>
      <c r="F96" s="51" t="n">
        <v>0</v>
      </c>
      <c r="G96" s="51" t="n">
        <v>0</v>
      </c>
      <c r="H96" s="51" t="n">
        <v>0</v>
      </c>
      <c r="I96" s="51" t="n">
        <v>1</v>
      </c>
      <c r="J96" s="51" t="n">
        <v>0</v>
      </c>
      <c r="K96" s="52" t="n">
        <f aca="false">SUM(E96:J96)</f>
        <v>1</v>
      </c>
      <c r="L96" s="53" t="n">
        <f aca="false">$D96*E96</f>
        <v>0</v>
      </c>
      <c r="M96" s="53" t="n">
        <f aca="false">$D96*F96</f>
        <v>0</v>
      </c>
      <c r="N96" s="53" t="n">
        <f aca="false">$D96*G96</f>
        <v>0</v>
      </c>
      <c r="O96" s="53" t="n">
        <f aca="false">$D96*H96</f>
        <v>0</v>
      </c>
      <c r="P96" s="53" t="n">
        <f aca="false">$D96*I96</f>
        <v>218.487394957983</v>
      </c>
      <c r="Q96" s="53" t="n">
        <f aca="false">$D96*J96</f>
        <v>0</v>
      </c>
    </row>
    <row r="97" customFormat="false" ht="15" hidden="false" customHeight="false" outlineLevel="0" collapsed="false">
      <c r="A97" s="24" t="s">
        <v>204</v>
      </c>
      <c r="B97" s="6" t="s">
        <v>205</v>
      </c>
      <c r="C97" s="6" t="s">
        <v>19</v>
      </c>
      <c r="D97" s="50" t="n">
        <f aca="false">SUMIFS('Hisob (batafsil)'!$J$5:$J$371,'Hisob (batafsil)'!$K$5:$K$371,$A97)</f>
        <v>100.840336134454</v>
      </c>
      <c r="E97" s="51" t="n">
        <v>0</v>
      </c>
      <c r="F97" s="51" t="n">
        <v>0</v>
      </c>
      <c r="G97" s="51" t="n">
        <v>0</v>
      </c>
      <c r="H97" s="51" t="n">
        <v>0</v>
      </c>
      <c r="I97" s="51" t="n">
        <v>1</v>
      </c>
      <c r="J97" s="51" t="n">
        <v>0</v>
      </c>
      <c r="K97" s="52" t="n">
        <f aca="false">SUM(E97:J97)</f>
        <v>1</v>
      </c>
      <c r="L97" s="53" t="n">
        <f aca="false">$D97*E97</f>
        <v>0</v>
      </c>
      <c r="M97" s="53" t="n">
        <f aca="false">$D97*F97</f>
        <v>0</v>
      </c>
      <c r="N97" s="53" t="n">
        <f aca="false">$D97*G97</f>
        <v>0</v>
      </c>
      <c r="O97" s="53" t="n">
        <f aca="false">$D97*H97</f>
        <v>0</v>
      </c>
      <c r="P97" s="53" t="n">
        <f aca="false">$D97*I97</f>
        <v>100.840336134454</v>
      </c>
      <c r="Q97" s="53" t="n">
        <f aca="false">$D97*J97</f>
        <v>0</v>
      </c>
    </row>
    <row r="98" customFormat="false" ht="15" hidden="false" customHeight="false" outlineLevel="0" collapsed="false">
      <c r="A98" s="24" t="s">
        <v>206</v>
      </c>
      <c r="B98" s="6" t="s">
        <v>207</v>
      </c>
      <c r="C98" s="6" t="s">
        <v>19</v>
      </c>
      <c r="D98" s="50" t="n">
        <f aca="false">SUMIFS('Hisob (batafsil)'!$J$5:$J$371,'Hisob (batafsil)'!$K$5:$K$371,$A98)</f>
        <v>134.453781512605</v>
      </c>
      <c r="E98" s="51" t="n">
        <v>0</v>
      </c>
      <c r="F98" s="51" t="n">
        <v>0</v>
      </c>
      <c r="G98" s="51" t="n">
        <v>0</v>
      </c>
      <c r="H98" s="51" t="n">
        <v>0</v>
      </c>
      <c r="I98" s="51" t="n">
        <v>1</v>
      </c>
      <c r="J98" s="51" t="n">
        <v>0</v>
      </c>
      <c r="K98" s="52" t="n">
        <f aca="false">SUM(E98:J98)</f>
        <v>1</v>
      </c>
      <c r="L98" s="53" t="n">
        <f aca="false">$D98*E98</f>
        <v>0</v>
      </c>
      <c r="M98" s="53" t="n">
        <f aca="false">$D98*F98</f>
        <v>0</v>
      </c>
      <c r="N98" s="53" t="n">
        <f aca="false">$D98*G98</f>
        <v>0</v>
      </c>
      <c r="O98" s="53" t="n">
        <f aca="false">$D98*H98</f>
        <v>0</v>
      </c>
      <c r="P98" s="53" t="n">
        <f aca="false">$D98*I98</f>
        <v>134.453781512605</v>
      </c>
      <c r="Q98" s="53" t="n">
        <f aca="false">$D98*J98</f>
        <v>0</v>
      </c>
    </row>
    <row r="99" customFormat="false" ht="15" hidden="false" customHeight="false" outlineLevel="0" collapsed="false">
      <c r="A99" s="24" t="s">
        <v>208</v>
      </c>
      <c r="B99" s="6" t="s">
        <v>209</v>
      </c>
      <c r="C99" s="6" t="s">
        <v>19</v>
      </c>
      <c r="D99" s="50" t="n">
        <f aca="false">SUMIFS('Hisob (batafsil)'!$J$5:$J$371,'Hisob (batafsil)'!$K$5:$K$371,$A99)</f>
        <v>134.453781512605</v>
      </c>
      <c r="E99" s="51" t="n">
        <v>0</v>
      </c>
      <c r="F99" s="51" t="n">
        <v>0</v>
      </c>
      <c r="G99" s="51" t="n">
        <v>0</v>
      </c>
      <c r="H99" s="51" t="n">
        <v>0</v>
      </c>
      <c r="I99" s="51" t="n">
        <v>1</v>
      </c>
      <c r="J99" s="51" t="n">
        <v>0</v>
      </c>
      <c r="K99" s="52" t="n">
        <f aca="false">SUM(E99:J99)</f>
        <v>1</v>
      </c>
      <c r="L99" s="53" t="n">
        <f aca="false">$D99*E99</f>
        <v>0</v>
      </c>
      <c r="M99" s="53" t="n">
        <f aca="false">$D99*F99</f>
        <v>0</v>
      </c>
      <c r="N99" s="53" t="n">
        <f aca="false">$D99*G99</f>
        <v>0</v>
      </c>
      <c r="O99" s="53" t="n">
        <f aca="false">$D99*H99</f>
        <v>0</v>
      </c>
      <c r="P99" s="53" t="n">
        <f aca="false">$D99*I99</f>
        <v>134.453781512605</v>
      </c>
      <c r="Q99" s="53" t="n">
        <f aca="false">$D99*J99</f>
        <v>0</v>
      </c>
    </row>
    <row r="100" customFormat="false" ht="15" hidden="false" customHeight="false" outlineLevel="0" collapsed="false">
      <c r="A100" s="24" t="s">
        <v>210</v>
      </c>
      <c r="B100" s="6" t="s">
        <v>211</v>
      </c>
      <c r="C100" s="6" t="s">
        <v>19</v>
      </c>
      <c r="D100" s="50" t="n">
        <f aca="false">SUMIFS('Hisob (batafsil)'!$J$5:$J$371,'Hisob (batafsil)'!$K$5:$K$371,$A100)</f>
        <v>403.361344537815</v>
      </c>
      <c r="E100" s="51" t="n">
        <v>0</v>
      </c>
      <c r="F100" s="51" t="n">
        <v>0</v>
      </c>
      <c r="G100" s="51" t="n">
        <v>0</v>
      </c>
      <c r="H100" s="51" t="n">
        <v>0</v>
      </c>
      <c r="I100" s="51" t="n">
        <v>1</v>
      </c>
      <c r="J100" s="51" t="n">
        <v>0</v>
      </c>
      <c r="K100" s="52" t="n">
        <f aca="false">SUM(E100:J100)</f>
        <v>1</v>
      </c>
      <c r="L100" s="53" t="n">
        <f aca="false">$D100*E100</f>
        <v>0</v>
      </c>
      <c r="M100" s="53" t="n">
        <f aca="false">$D100*F100</f>
        <v>0</v>
      </c>
      <c r="N100" s="53" t="n">
        <f aca="false">$D100*G100</f>
        <v>0</v>
      </c>
      <c r="O100" s="53" t="n">
        <f aca="false">$D100*H100</f>
        <v>0</v>
      </c>
      <c r="P100" s="53" t="n">
        <f aca="false">$D100*I100</f>
        <v>403.361344537815</v>
      </c>
      <c r="Q100" s="53" t="n">
        <f aca="false">$D100*J100</f>
        <v>0</v>
      </c>
    </row>
    <row r="101" customFormat="false" ht="15" hidden="false" customHeight="false" outlineLevel="0" collapsed="false">
      <c r="A101" s="24" t="s">
        <v>212</v>
      </c>
      <c r="B101" s="6" t="s">
        <v>213</v>
      </c>
      <c r="C101" s="6" t="s">
        <v>21</v>
      </c>
      <c r="D101" s="50" t="n">
        <f aca="false">SUMIFS('Hisob (batafsil)'!$J$5:$J$371,'Hisob (batafsil)'!$K$5:$K$371,$A101)</f>
        <v>1080</v>
      </c>
      <c r="E101" s="51" t="n">
        <v>0</v>
      </c>
      <c r="F101" s="51" t="n">
        <v>0</v>
      </c>
      <c r="G101" s="51" t="n">
        <v>0</v>
      </c>
      <c r="H101" s="51" t="n">
        <v>0</v>
      </c>
      <c r="I101" s="51" t="n">
        <v>1</v>
      </c>
      <c r="J101" s="51" t="n">
        <v>0</v>
      </c>
      <c r="K101" s="52" t="n">
        <f aca="false">SUM(E101:J101)</f>
        <v>1</v>
      </c>
      <c r="L101" s="53" t="n">
        <f aca="false">$D101*E101</f>
        <v>0</v>
      </c>
      <c r="M101" s="53" t="n">
        <f aca="false">$D101*F101</f>
        <v>0</v>
      </c>
      <c r="N101" s="53" t="n">
        <f aca="false">$D101*G101</f>
        <v>0</v>
      </c>
      <c r="O101" s="53" t="n">
        <f aca="false">$D101*H101</f>
        <v>0</v>
      </c>
      <c r="P101" s="53" t="n">
        <f aca="false">$D101*I101</f>
        <v>1080</v>
      </c>
      <c r="Q101" s="53" t="n">
        <f aca="false">$D101*J101</f>
        <v>0</v>
      </c>
    </row>
    <row r="102" customFormat="false" ht="15" hidden="false" customHeight="false" outlineLevel="0" collapsed="false">
      <c r="A102" s="24" t="s">
        <v>214</v>
      </c>
      <c r="B102" s="6" t="s">
        <v>215</v>
      </c>
      <c r="C102" s="6" t="s">
        <v>21</v>
      </c>
      <c r="D102" s="50" t="n">
        <f aca="false">SUMIFS('Hisob (batafsil)'!$J$5:$J$371,'Hisob (batafsil)'!$K$5:$K$371,$A102)</f>
        <v>270</v>
      </c>
      <c r="E102" s="51" t="n">
        <v>0</v>
      </c>
      <c r="F102" s="51" t="n">
        <v>0</v>
      </c>
      <c r="G102" s="51" t="n">
        <v>0</v>
      </c>
      <c r="H102" s="51" t="n">
        <v>0</v>
      </c>
      <c r="I102" s="51" t="n">
        <v>1</v>
      </c>
      <c r="J102" s="51" t="n">
        <v>0</v>
      </c>
      <c r="K102" s="52" t="n">
        <f aca="false">SUM(E102:J102)</f>
        <v>1</v>
      </c>
      <c r="L102" s="53" t="n">
        <f aca="false">$D102*E102</f>
        <v>0</v>
      </c>
      <c r="M102" s="53" t="n">
        <f aca="false">$D102*F102</f>
        <v>0</v>
      </c>
      <c r="N102" s="53" t="n">
        <f aca="false">$D102*G102</f>
        <v>0</v>
      </c>
      <c r="O102" s="53" t="n">
        <f aca="false">$D102*H102</f>
        <v>0</v>
      </c>
      <c r="P102" s="53" t="n">
        <f aca="false">$D102*I102</f>
        <v>270</v>
      </c>
      <c r="Q102" s="53" t="n">
        <f aca="false">$D102*J102</f>
        <v>0</v>
      </c>
    </row>
    <row r="103" customFormat="false" ht="15" hidden="false" customHeight="false" outlineLevel="0" collapsed="false">
      <c r="A103" s="24" t="s">
        <v>216</v>
      </c>
      <c r="B103" s="6" t="s">
        <v>217</v>
      </c>
      <c r="C103" s="6" t="s">
        <v>21</v>
      </c>
      <c r="D103" s="50" t="n">
        <f aca="false">SUMIFS('Hisob (batafsil)'!$J$5:$J$371,'Hisob (batafsil)'!$K$5:$K$371,$A103)</f>
        <v>400</v>
      </c>
      <c r="E103" s="51" t="n">
        <v>0</v>
      </c>
      <c r="F103" s="51" t="n">
        <v>0</v>
      </c>
      <c r="G103" s="51" t="n">
        <v>0</v>
      </c>
      <c r="H103" s="51" t="n">
        <v>0</v>
      </c>
      <c r="I103" s="51" t="n">
        <v>1</v>
      </c>
      <c r="J103" s="51" t="n">
        <v>0</v>
      </c>
      <c r="K103" s="52" t="n">
        <f aca="false">SUM(E103:J103)</f>
        <v>1</v>
      </c>
      <c r="L103" s="53" t="n">
        <f aca="false">$D103*E103</f>
        <v>0</v>
      </c>
      <c r="M103" s="53" t="n">
        <f aca="false">$D103*F103</f>
        <v>0</v>
      </c>
      <c r="N103" s="53" t="n">
        <f aca="false">$D103*G103</f>
        <v>0</v>
      </c>
      <c r="O103" s="53" t="n">
        <f aca="false">$D103*H103</f>
        <v>0</v>
      </c>
      <c r="P103" s="53" t="n">
        <f aca="false">$D103*I103</f>
        <v>400</v>
      </c>
      <c r="Q103" s="53" t="n">
        <f aca="false">$D103*J103</f>
        <v>0</v>
      </c>
    </row>
    <row r="104" customFormat="false" ht="15" hidden="false" customHeight="false" outlineLevel="0" collapsed="false">
      <c r="A104" s="24" t="s">
        <v>218</v>
      </c>
      <c r="B104" s="6" t="s">
        <v>219</v>
      </c>
      <c r="C104" s="6" t="s">
        <v>22</v>
      </c>
      <c r="D104" s="50" t="n">
        <f aca="false">SUMIFS('Hisob (batafsil)'!$J$5:$J$371,'Hisob (batafsil)'!$K$5:$K$371,$A104)</f>
        <v>500</v>
      </c>
      <c r="E104" s="51" t="n">
        <v>0</v>
      </c>
      <c r="F104" s="51" t="n">
        <v>0</v>
      </c>
      <c r="G104" s="51" t="n">
        <v>0</v>
      </c>
      <c r="H104" s="51" t="n">
        <v>0</v>
      </c>
      <c r="I104" s="51" t="n">
        <v>1</v>
      </c>
      <c r="J104" s="51" t="n">
        <v>0</v>
      </c>
      <c r="K104" s="52" t="n">
        <f aca="false">SUM(E104:J104)</f>
        <v>1</v>
      </c>
      <c r="L104" s="53" t="n">
        <f aca="false">$D104*E104</f>
        <v>0</v>
      </c>
      <c r="M104" s="53" t="n">
        <f aca="false">$D104*F104</f>
        <v>0</v>
      </c>
      <c r="N104" s="53" t="n">
        <f aca="false">$D104*G104</f>
        <v>0</v>
      </c>
      <c r="O104" s="53" t="n">
        <f aca="false">$D104*H104</f>
        <v>0</v>
      </c>
      <c r="P104" s="53" t="n">
        <f aca="false">$D104*I104</f>
        <v>500</v>
      </c>
      <c r="Q104" s="53" t="n">
        <f aca="false">$D104*J104</f>
        <v>0</v>
      </c>
    </row>
    <row r="105" customFormat="false" ht="15" hidden="false" customHeight="false" outlineLevel="0" collapsed="false">
      <c r="A105" s="24" t="s">
        <v>220</v>
      </c>
      <c r="B105" s="6" t="s">
        <v>221</v>
      </c>
      <c r="C105" s="6" t="s">
        <v>22</v>
      </c>
      <c r="D105" s="50" t="n">
        <f aca="false">SUMIFS('Hisob (batafsil)'!$J$5:$J$371,'Hisob (batafsil)'!$K$5:$K$371,$A105)</f>
        <v>500</v>
      </c>
      <c r="E105" s="51" t="n">
        <v>0</v>
      </c>
      <c r="F105" s="51" t="n">
        <v>0</v>
      </c>
      <c r="G105" s="51" t="n">
        <v>0</v>
      </c>
      <c r="H105" s="51" t="n">
        <v>0</v>
      </c>
      <c r="I105" s="51" t="n">
        <v>1</v>
      </c>
      <c r="J105" s="51" t="n">
        <v>0</v>
      </c>
      <c r="K105" s="52" t="n">
        <f aca="false">SUM(E105:J105)</f>
        <v>1</v>
      </c>
      <c r="L105" s="53" t="n">
        <f aca="false">$D105*E105</f>
        <v>0</v>
      </c>
      <c r="M105" s="53" t="n">
        <f aca="false">$D105*F105</f>
        <v>0</v>
      </c>
      <c r="N105" s="53" t="n">
        <f aca="false">$D105*G105</f>
        <v>0</v>
      </c>
      <c r="O105" s="53" t="n">
        <f aca="false">$D105*H105</f>
        <v>0</v>
      </c>
      <c r="P105" s="53" t="n">
        <f aca="false">$D105*I105</f>
        <v>500</v>
      </c>
      <c r="Q105" s="53" t="n">
        <f aca="false">$D105*J105</f>
        <v>0</v>
      </c>
    </row>
    <row r="106" customFormat="false" ht="15" hidden="false" customHeight="false" outlineLevel="0" collapsed="false">
      <c r="A106" s="24" t="s">
        <v>222</v>
      </c>
      <c r="B106" s="49" t="s">
        <v>223</v>
      </c>
      <c r="C106" s="6" t="s">
        <v>22</v>
      </c>
      <c r="D106" s="50" t="n">
        <f aca="false">SUMIFS('Hisob (batafsil)'!$J$5:$J$371,'Hisob (batafsil)'!$K$5:$K$371,$A106)</f>
        <v>450</v>
      </c>
      <c r="E106" s="51" t="n">
        <v>0</v>
      </c>
      <c r="F106" s="51" t="n">
        <v>0</v>
      </c>
      <c r="G106" s="51" t="n">
        <v>0</v>
      </c>
      <c r="H106" s="51" t="n">
        <v>0</v>
      </c>
      <c r="I106" s="51" t="n">
        <v>1</v>
      </c>
      <c r="J106" s="51" t="n">
        <v>0</v>
      </c>
      <c r="K106" s="52" t="n">
        <f aca="false">SUM(E106:J106)</f>
        <v>1</v>
      </c>
      <c r="L106" s="53" t="n">
        <f aca="false">$D106*E106</f>
        <v>0</v>
      </c>
      <c r="M106" s="53" t="n">
        <f aca="false">$D106*F106</f>
        <v>0</v>
      </c>
      <c r="N106" s="53" t="n">
        <f aca="false">$D106*G106</f>
        <v>0</v>
      </c>
      <c r="O106" s="53" t="n">
        <f aca="false">$D106*H106</f>
        <v>0</v>
      </c>
      <c r="P106" s="53" t="n">
        <f aca="false">$D106*I106</f>
        <v>450</v>
      </c>
      <c r="Q106" s="53" t="n">
        <f aca="false">$D106*J106</f>
        <v>0</v>
      </c>
    </row>
    <row r="107" customFormat="false" ht="15" hidden="false" customHeight="false" outlineLevel="0" collapsed="false">
      <c r="A107" s="24" t="s">
        <v>224</v>
      </c>
      <c r="B107" s="49" t="s">
        <v>225</v>
      </c>
      <c r="C107" s="6" t="s">
        <v>22</v>
      </c>
      <c r="D107" s="50" t="n">
        <f aca="false">SUMIFS('Hisob (batafsil)'!$J$5:$J$371,'Hisob (batafsil)'!$K$5:$K$371,$A107)</f>
        <v>60</v>
      </c>
      <c r="E107" s="51" t="n">
        <v>0</v>
      </c>
      <c r="F107" s="51" t="n">
        <v>0</v>
      </c>
      <c r="G107" s="51" t="n">
        <v>0</v>
      </c>
      <c r="H107" s="51" t="n">
        <v>0</v>
      </c>
      <c r="I107" s="51" t="n">
        <v>1</v>
      </c>
      <c r="J107" s="51" t="n">
        <v>0</v>
      </c>
      <c r="K107" s="52" t="n">
        <f aca="false">SUM(E107:J107)</f>
        <v>1</v>
      </c>
      <c r="L107" s="53" t="n">
        <f aca="false">$D107*E107</f>
        <v>0</v>
      </c>
      <c r="M107" s="53" t="n">
        <f aca="false">$D107*F107</f>
        <v>0</v>
      </c>
      <c r="N107" s="53" t="n">
        <f aca="false">$D107*G107</f>
        <v>0</v>
      </c>
      <c r="O107" s="53" t="n">
        <f aca="false">$D107*H107</f>
        <v>0</v>
      </c>
      <c r="P107" s="53" t="n">
        <f aca="false">$D107*I107</f>
        <v>60</v>
      </c>
      <c r="Q107" s="53" t="n">
        <f aca="false">$D107*J107</f>
        <v>0</v>
      </c>
    </row>
    <row r="108" customFormat="false" ht="15" hidden="false" customHeight="false" outlineLevel="0" collapsed="false">
      <c r="A108" s="24" t="s">
        <v>226</v>
      </c>
      <c r="B108" s="6" t="s">
        <v>227</v>
      </c>
      <c r="C108" s="6" t="s">
        <v>24</v>
      </c>
      <c r="D108" s="50" t="n">
        <f aca="false">SUMIFS('Hisob (batafsil)'!$J$5:$J$371,'Hisob (batafsil)'!$K$5:$K$371,$A108)</f>
        <v>1650</v>
      </c>
      <c r="E108" s="51" t="n">
        <v>0</v>
      </c>
      <c r="F108" s="51" t="n">
        <v>0</v>
      </c>
      <c r="G108" s="51" t="n">
        <v>0</v>
      </c>
      <c r="H108" s="51" t="n">
        <v>0</v>
      </c>
      <c r="I108" s="51" t="n">
        <v>1</v>
      </c>
      <c r="J108" s="51" t="n">
        <v>0</v>
      </c>
      <c r="K108" s="52" t="n">
        <f aca="false">SUM(E108:J108)</f>
        <v>1</v>
      </c>
      <c r="L108" s="53" t="n">
        <f aca="false">$D108*E108</f>
        <v>0</v>
      </c>
      <c r="M108" s="53" t="n">
        <f aca="false">$D108*F108</f>
        <v>0</v>
      </c>
      <c r="N108" s="53" t="n">
        <f aca="false">$D108*G108</f>
        <v>0</v>
      </c>
      <c r="O108" s="53" t="n">
        <f aca="false">$D108*H108</f>
        <v>0</v>
      </c>
      <c r="P108" s="53" t="n">
        <f aca="false">$D108*I108</f>
        <v>1650</v>
      </c>
      <c r="Q108" s="53" t="n">
        <f aca="false">$D108*J108</f>
        <v>0</v>
      </c>
    </row>
    <row r="109" customFormat="false" ht="15" hidden="false" customHeight="false" outlineLevel="0" collapsed="false">
      <c r="A109" s="24" t="s">
        <v>228</v>
      </c>
      <c r="B109" s="6" t="s">
        <v>229</v>
      </c>
      <c r="C109" s="6" t="s">
        <v>24</v>
      </c>
      <c r="D109" s="50" t="n">
        <f aca="false">SUMIFS('Hisob (batafsil)'!$J$5:$J$371,'Hisob (batafsil)'!$K$5:$K$371,$A109)</f>
        <v>700</v>
      </c>
      <c r="E109" s="51" t="n">
        <v>0</v>
      </c>
      <c r="F109" s="51" t="n">
        <v>0</v>
      </c>
      <c r="G109" s="51" t="n">
        <v>0</v>
      </c>
      <c r="H109" s="51" t="n">
        <v>0</v>
      </c>
      <c r="I109" s="51" t="n">
        <v>1</v>
      </c>
      <c r="J109" s="51" t="n">
        <v>0</v>
      </c>
      <c r="K109" s="52" t="n">
        <f aca="false">SUM(E109:J109)</f>
        <v>1</v>
      </c>
      <c r="L109" s="53" t="n">
        <f aca="false">$D109*E109</f>
        <v>0</v>
      </c>
      <c r="M109" s="53" t="n">
        <f aca="false">$D109*F109</f>
        <v>0</v>
      </c>
      <c r="N109" s="53" t="n">
        <f aca="false">$D109*G109</f>
        <v>0</v>
      </c>
      <c r="O109" s="53" t="n">
        <f aca="false">$D109*H109</f>
        <v>0</v>
      </c>
      <c r="P109" s="53" t="n">
        <f aca="false">$D109*I109</f>
        <v>700</v>
      </c>
      <c r="Q109" s="53" t="n">
        <f aca="false">$D109*J109</f>
        <v>0</v>
      </c>
    </row>
    <row r="110" customFormat="false" ht="15" hidden="false" customHeight="false" outlineLevel="0" collapsed="false">
      <c r="A110" s="24" t="s">
        <v>230</v>
      </c>
      <c r="B110" s="6" t="s">
        <v>231</v>
      </c>
      <c r="C110" s="6" t="s">
        <v>25</v>
      </c>
      <c r="D110" s="50" t="n">
        <f aca="false">SUMIFS('Hisob (batafsil)'!$J$5:$J$371,'Hisob (batafsil)'!$K$5:$K$371,$A110)</f>
        <v>161.344537815126</v>
      </c>
      <c r="E110" s="51" t="n">
        <v>0</v>
      </c>
      <c r="F110" s="51" t="n">
        <v>0</v>
      </c>
      <c r="G110" s="51" t="n">
        <v>0</v>
      </c>
      <c r="H110" s="51" t="n">
        <v>0</v>
      </c>
      <c r="I110" s="51" t="n">
        <v>1</v>
      </c>
      <c r="J110" s="51" t="n">
        <v>0</v>
      </c>
      <c r="K110" s="52" t="n">
        <f aca="false">SUM(E110:J110)</f>
        <v>1</v>
      </c>
      <c r="L110" s="53" t="n">
        <f aca="false">$D110*E110</f>
        <v>0</v>
      </c>
      <c r="M110" s="53" t="n">
        <f aca="false">$D110*F110</f>
        <v>0</v>
      </c>
      <c r="N110" s="53" t="n">
        <f aca="false">$D110*G110</f>
        <v>0</v>
      </c>
      <c r="O110" s="53" t="n">
        <f aca="false">$D110*H110</f>
        <v>0</v>
      </c>
      <c r="P110" s="53" t="n">
        <f aca="false">$D110*I110</f>
        <v>161.344537815126</v>
      </c>
      <c r="Q110" s="53" t="n">
        <f aca="false">$D110*J110</f>
        <v>0</v>
      </c>
    </row>
    <row r="111" customFormat="false" ht="15" hidden="false" customHeight="false" outlineLevel="0" collapsed="false">
      <c r="A111" s="24" t="s">
        <v>232</v>
      </c>
      <c r="B111" s="6" t="s">
        <v>233</v>
      </c>
      <c r="C111" s="6" t="s">
        <v>25</v>
      </c>
      <c r="D111" s="50" t="n">
        <f aca="false">SUMIFS('Hisob (batafsil)'!$J$5:$J$371,'Hisob (batafsil)'!$K$5:$K$371,$A111)</f>
        <v>780</v>
      </c>
      <c r="E111" s="51" t="n">
        <v>0</v>
      </c>
      <c r="F111" s="51" t="n">
        <v>0</v>
      </c>
      <c r="G111" s="51" t="n">
        <v>0</v>
      </c>
      <c r="H111" s="51" t="n">
        <v>0</v>
      </c>
      <c r="I111" s="51" t="n">
        <v>1</v>
      </c>
      <c r="J111" s="51" t="n">
        <v>0</v>
      </c>
      <c r="K111" s="52" t="n">
        <f aca="false">SUM(E111:J111)</f>
        <v>1</v>
      </c>
      <c r="L111" s="53" t="n">
        <f aca="false">$D111*E111</f>
        <v>0</v>
      </c>
      <c r="M111" s="53" t="n">
        <f aca="false">$D111*F111</f>
        <v>0</v>
      </c>
      <c r="N111" s="53" t="n">
        <f aca="false">$D111*G111</f>
        <v>0</v>
      </c>
      <c r="O111" s="53" t="n">
        <f aca="false">$D111*H111</f>
        <v>0</v>
      </c>
      <c r="P111" s="53" t="n">
        <f aca="false">$D111*I111</f>
        <v>780</v>
      </c>
      <c r="Q111" s="53" t="n">
        <f aca="false">$D111*J111</f>
        <v>0</v>
      </c>
    </row>
    <row r="112" customFormat="false" ht="15" hidden="false" customHeight="false" outlineLevel="0" collapsed="false">
      <c r="A112" s="24" t="s">
        <v>234</v>
      </c>
      <c r="B112" s="6" t="s">
        <v>235</v>
      </c>
      <c r="C112" s="6" t="s">
        <v>25</v>
      </c>
      <c r="D112" s="50" t="n">
        <f aca="false">SUMIFS('Hisob (batafsil)'!$J$5:$J$371,'Hisob (batafsil)'!$K$5:$K$371,$A112)</f>
        <v>200</v>
      </c>
      <c r="E112" s="51" t="n">
        <v>0</v>
      </c>
      <c r="F112" s="51" t="n">
        <v>0</v>
      </c>
      <c r="G112" s="51" t="n">
        <v>0</v>
      </c>
      <c r="H112" s="51" t="n">
        <v>0</v>
      </c>
      <c r="I112" s="51" t="n">
        <v>1</v>
      </c>
      <c r="J112" s="51" t="n">
        <v>0</v>
      </c>
      <c r="K112" s="52" t="n">
        <f aca="false">SUM(E112:J112)</f>
        <v>1</v>
      </c>
      <c r="L112" s="53" t="n">
        <f aca="false">$D112*E112</f>
        <v>0</v>
      </c>
      <c r="M112" s="53" t="n">
        <f aca="false">$D112*F112</f>
        <v>0</v>
      </c>
      <c r="N112" s="53" t="n">
        <f aca="false">$D112*G112</f>
        <v>0</v>
      </c>
      <c r="O112" s="53" t="n">
        <f aca="false">$D112*H112</f>
        <v>0</v>
      </c>
      <c r="P112" s="53" t="n">
        <f aca="false">$D112*I112</f>
        <v>200</v>
      </c>
      <c r="Q112" s="53" t="n">
        <f aca="false">$D112*J112</f>
        <v>0</v>
      </c>
    </row>
    <row r="113" customFormat="false" ht="15" hidden="false" customHeight="false" outlineLevel="0" collapsed="false">
      <c r="A113" s="24" t="s">
        <v>236</v>
      </c>
      <c r="B113" s="6" t="s">
        <v>237</v>
      </c>
      <c r="C113" s="6" t="s">
        <v>25</v>
      </c>
      <c r="D113" s="50" t="n">
        <f aca="false">SUMIFS('Hisob (batafsil)'!$J$5:$J$371,'Hisob (batafsil)'!$K$5:$K$371,$A113)</f>
        <v>350</v>
      </c>
      <c r="E113" s="51" t="n">
        <v>0</v>
      </c>
      <c r="F113" s="51" t="n">
        <v>0</v>
      </c>
      <c r="G113" s="51" t="n">
        <v>0</v>
      </c>
      <c r="H113" s="51" t="n">
        <v>0</v>
      </c>
      <c r="I113" s="51" t="n">
        <v>1</v>
      </c>
      <c r="J113" s="51" t="n">
        <v>0</v>
      </c>
      <c r="K113" s="52" t="n">
        <f aca="false">SUM(E113:J113)</f>
        <v>1</v>
      </c>
      <c r="L113" s="53" t="n">
        <f aca="false">$D113*E113</f>
        <v>0</v>
      </c>
      <c r="M113" s="53" t="n">
        <f aca="false">$D113*F113</f>
        <v>0</v>
      </c>
      <c r="N113" s="53" t="n">
        <f aca="false">$D113*G113</f>
        <v>0</v>
      </c>
      <c r="O113" s="53" t="n">
        <f aca="false">$D113*H113</f>
        <v>0</v>
      </c>
      <c r="P113" s="53" t="n">
        <f aca="false">$D113*I113</f>
        <v>350</v>
      </c>
      <c r="Q113" s="53" t="n">
        <f aca="false">$D113*J113</f>
        <v>0</v>
      </c>
    </row>
    <row r="114" customFormat="false" ht="15" hidden="false" customHeight="false" outlineLevel="0" collapsed="false">
      <c r="A114" s="24" t="s">
        <v>238</v>
      </c>
      <c r="B114" s="6" t="s">
        <v>239</v>
      </c>
      <c r="C114" s="6" t="s">
        <v>25</v>
      </c>
      <c r="D114" s="50" t="n">
        <f aca="false">SUMIFS('Hisob (batafsil)'!$J$5:$J$371,'Hisob (batafsil)'!$K$5:$K$371,$A114)</f>
        <v>180</v>
      </c>
      <c r="E114" s="51" t="n">
        <v>0</v>
      </c>
      <c r="F114" s="51" t="n">
        <v>0</v>
      </c>
      <c r="G114" s="51" t="n">
        <v>0</v>
      </c>
      <c r="H114" s="51" t="n">
        <v>0</v>
      </c>
      <c r="I114" s="51" t="n">
        <v>1</v>
      </c>
      <c r="J114" s="51" t="n">
        <v>0</v>
      </c>
      <c r="K114" s="52" t="n">
        <f aca="false">SUM(E114:J114)</f>
        <v>1</v>
      </c>
      <c r="L114" s="53" t="n">
        <f aca="false">$D114*E114</f>
        <v>0</v>
      </c>
      <c r="M114" s="53" t="n">
        <f aca="false">$D114*F114</f>
        <v>0</v>
      </c>
      <c r="N114" s="53" t="n">
        <f aca="false">$D114*G114</f>
        <v>0</v>
      </c>
      <c r="O114" s="53" t="n">
        <f aca="false">$D114*H114</f>
        <v>0</v>
      </c>
      <c r="P114" s="53" t="n">
        <f aca="false">$D114*I114</f>
        <v>180</v>
      </c>
      <c r="Q114" s="53" t="n">
        <f aca="false">$D114*J114</f>
        <v>0</v>
      </c>
    </row>
    <row r="115" customFormat="false" ht="15" hidden="false" customHeight="false" outlineLevel="0" collapsed="false">
      <c r="A115" s="24" t="s">
        <v>240</v>
      </c>
      <c r="B115" s="6" t="s">
        <v>241</v>
      </c>
      <c r="C115" s="6" t="s">
        <v>26</v>
      </c>
      <c r="D115" s="50" t="n">
        <f aca="false">SUMIFS('Hisob (batafsil)'!$J$5:$J$371,'Hisob (batafsil)'!$K$5:$K$371,$A115)</f>
        <v>328.991596638655</v>
      </c>
      <c r="E115" s="51" t="n">
        <v>0</v>
      </c>
      <c r="F115" s="51" t="n">
        <v>0</v>
      </c>
      <c r="G115" s="51" t="n">
        <v>0</v>
      </c>
      <c r="H115" s="51" t="n">
        <v>0</v>
      </c>
      <c r="I115" s="51" t="n">
        <v>1</v>
      </c>
      <c r="J115" s="51" t="n">
        <v>0</v>
      </c>
      <c r="K115" s="52" t="n">
        <f aca="false">SUM(E115:J115)</f>
        <v>1</v>
      </c>
      <c r="L115" s="53" t="n">
        <f aca="false">$D115*E115</f>
        <v>0</v>
      </c>
      <c r="M115" s="53" t="n">
        <f aca="false">$D115*F115</f>
        <v>0</v>
      </c>
      <c r="N115" s="53" t="n">
        <f aca="false">$D115*G115</f>
        <v>0</v>
      </c>
      <c r="O115" s="53" t="n">
        <f aca="false">$D115*H115</f>
        <v>0</v>
      </c>
      <c r="P115" s="53" t="n">
        <f aca="false">$D115*I115</f>
        <v>328.991596638655</v>
      </c>
      <c r="Q115" s="53" t="n">
        <f aca="false">$D115*J115</f>
        <v>0</v>
      </c>
    </row>
    <row r="116" customFormat="false" ht="15" hidden="false" customHeight="false" outlineLevel="0" collapsed="false">
      <c r="A116" s="24" t="s">
        <v>242</v>
      </c>
      <c r="B116" s="6" t="s">
        <v>243</v>
      </c>
      <c r="C116" s="6" t="s">
        <v>26</v>
      </c>
      <c r="D116" s="50" t="n">
        <f aca="false">SUMIFS('Hisob (batafsil)'!$J$5:$J$371,'Hisob (batafsil)'!$K$5:$K$371,$A116)</f>
        <v>43.6974789915966</v>
      </c>
      <c r="E116" s="51" t="n">
        <v>0</v>
      </c>
      <c r="F116" s="51" t="n">
        <v>0</v>
      </c>
      <c r="G116" s="51" t="n">
        <v>0</v>
      </c>
      <c r="H116" s="51" t="n">
        <v>0</v>
      </c>
      <c r="I116" s="51" t="n">
        <v>1</v>
      </c>
      <c r="J116" s="51" t="n">
        <v>0</v>
      </c>
      <c r="K116" s="52" t="n">
        <f aca="false">SUM(E116:J116)</f>
        <v>1</v>
      </c>
      <c r="L116" s="53" t="n">
        <f aca="false">$D116*E116</f>
        <v>0</v>
      </c>
      <c r="M116" s="53" t="n">
        <f aca="false">$D116*F116</f>
        <v>0</v>
      </c>
      <c r="N116" s="53" t="n">
        <f aca="false">$D116*G116</f>
        <v>0</v>
      </c>
      <c r="O116" s="53" t="n">
        <f aca="false">$D116*H116</f>
        <v>0</v>
      </c>
      <c r="P116" s="53" t="n">
        <f aca="false">$D116*I116</f>
        <v>43.6974789915966</v>
      </c>
      <c r="Q116" s="53" t="n">
        <f aca="false">$D116*J116</f>
        <v>0</v>
      </c>
    </row>
    <row r="117" customFormat="false" ht="15" hidden="false" customHeight="false" outlineLevel="0" collapsed="false">
      <c r="A117" s="24" t="s">
        <v>244</v>
      </c>
      <c r="B117" s="6" t="s">
        <v>245</v>
      </c>
      <c r="C117" s="6" t="s">
        <v>26</v>
      </c>
      <c r="D117" s="50" t="n">
        <f aca="false">SUMIFS('Hisob (batafsil)'!$J$5:$J$371,'Hisob (batafsil)'!$K$5:$K$371,$A117)</f>
        <v>240.336134453781</v>
      </c>
      <c r="E117" s="51" t="n">
        <v>0</v>
      </c>
      <c r="F117" s="51" t="n">
        <v>0</v>
      </c>
      <c r="G117" s="51" t="n">
        <v>0</v>
      </c>
      <c r="H117" s="51" t="n">
        <v>0</v>
      </c>
      <c r="I117" s="51" t="n">
        <v>1</v>
      </c>
      <c r="J117" s="51" t="n">
        <v>0</v>
      </c>
      <c r="K117" s="52" t="n">
        <f aca="false">SUM(E117:J117)</f>
        <v>1</v>
      </c>
      <c r="L117" s="53" t="n">
        <f aca="false">$D117*E117</f>
        <v>0</v>
      </c>
      <c r="M117" s="53" t="n">
        <f aca="false">$D117*F117</f>
        <v>0</v>
      </c>
      <c r="N117" s="53" t="n">
        <f aca="false">$D117*G117</f>
        <v>0</v>
      </c>
      <c r="O117" s="53" t="n">
        <f aca="false">$D117*H117</f>
        <v>0</v>
      </c>
      <c r="P117" s="53" t="n">
        <f aca="false">$D117*I117</f>
        <v>240.336134453781</v>
      </c>
      <c r="Q117" s="53" t="n">
        <f aca="false">$D117*J117</f>
        <v>0</v>
      </c>
    </row>
    <row r="118" customFormat="false" ht="15" hidden="false" customHeight="false" outlineLevel="0" collapsed="false">
      <c r="A118" s="24" t="s">
        <v>246</v>
      </c>
      <c r="B118" s="6" t="s">
        <v>247</v>
      </c>
      <c r="C118" s="6" t="s">
        <v>26</v>
      </c>
      <c r="D118" s="50" t="n">
        <f aca="false">SUMIFS('Hisob (batafsil)'!$J$5:$J$371,'Hisob (batafsil)'!$K$5:$K$371,$A118)</f>
        <v>49.1596638655462</v>
      </c>
      <c r="E118" s="51" t="n">
        <v>0</v>
      </c>
      <c r="F118" s="51" t="n">
        <v>0</v>
      </c>
      <c r="G118" s="51" t="n">
        <v>0</v>
      </c>
      <c r="H118" s="51" t="n">
        <v>0</v>
      </c>
      <c r="I118" s="51" t="n">
        <v>1</v>
      </c>
      <c r="J118" s="51" t="n">
        <v>0</v>
      </c>
      <c r="K118" s="52" t="n">
        <f aca="false">SUM(E118:J118)</f>
        <v>1</v>
      </c>
      <c r="L118" s="53" t="n">
        <f aca="false">$D118*E118</f>
        <v>0</v>
      </c>
      <c r="M118" s="53" t="n">
        <f aca="false">$D118*F118</f>
        <v>0</v>
      </c>
      <c r="N118" s="53" t="n">
        <f aca="false">$D118*G118</f>
        <v>0</v>
      </c>
      <c r="O118" s="53" t="n">
        <f aca="false">$D118*H118</f>
        <v>0</v>
      </c>
      <c r="P118" s="53" t="n">
        <f aca="false">$D118*I118</f>
        <v>49.1596638655462</v>
      </c>
      <c r="Q118" s="53" t="n">
        <f aca="false">$D118*J118</f>
        <v>0</v>
      </c>
    </row>
    <row r="119" customFormat="false" ht="15" hidden="false" customHeight="false" outlineLevel="0" collapsed="false">
      <c r="A119" s="24" t="s">
        <v>248</v>
      </c>
      <c r="B119" s="6" t="s">
        <v>249</v>
      </c>
      <c r="C119" s="6" t="s">
        <v>26</v>
      </c>
      <c r="D119" s="50" t="n">
        <f aca="false">SUMIFS('Hisob (batafsil)'!$J$5:$J$371,'Hisob (batafsil)'!$K$5:$K$371,$A119)</f>
        <v>30.2521008403361</v>
      </c>
      <c r="E119" s="51" t="n">
        <v>0</v>
      </c>
      <c r="F119" s="51" t="n">
        <v>0</v>
      </c>
      <c r="G119" s="51" t="n">
        <v>0</v>
      </c>
      <c r="H119" s="51" t="n">
        <v>0</v>
      </c>
      <c r="I119" s="51" t="n">
        <v>1</v>
      </c>
      <c r="J119" s="51" t="n">
        <v>0</v>
      </c>
      <c r="K119" s="52" t="n">
        <f aca="false">SUM(E119:J119)</f>
        <v>1</v>
      </c>
      <c r="L119" s="53" t="n">
        <f aca="false">$D119*E119</f>
        <v>0</v>
      </c>
      <c r="M119" s="53" t="n">
        <f aca="false">$D119*F119</f>
        <v>0</v>
      </c>
      <c r="N119" s="53" t="n">
        <f aca="false">$D119*G119</f>
        <v>0</v>
      </c>
      <c r="O119" s="53" t="n">
        <f aca="false">$D119*H119</f>
        <v>0</v>
      </c>
      <c r="P119" s="53" t="n">
        <f aca="false">$D119*I119</f>
        <v>30.2521008403361</v>
      </c>
      <c r="Q119" s="53" t="n">
        <f aca="false">$D119*J119</f>
        <v>0</v>
      </c>
    </row>
    <row r="120" customFormat="false" ht="15" hidden="false" customHeight="false" outlineLevel="0" collapsed="false">
      <c r="A120" s="24" t="s">
        <v>250</v>
      </c>
      <c r="B120" s="49" t="s">
        <v>251</v>
      </c>
      <c r="C120" s="6" t="s">
        <v>22</v>
      </c>
      <c r="D120" s="50" t="n">
        <f aca="false">SUMIFS('Hisob (batafsil)'!$J$5:$J$371,'Hisob (batafsil)'!$K$5:$K$371,$A120)</f>
        <v>600</v>
      </c>
      <c r="E120" s="51" t="n">
        <v>0</v>
      </c>
      <c r="F120" s="51" t="n">
        <v>0</v>
      </c>
      <c r="G120" s="51" t="n">
        <v>0</v>
      </c>
      <c r="H120" s="51" t="n">
        <v>0</v>
      </c>
      <c r="I120" s="51" t="n">
        <v>0</v>
      </c>
      <c r="J120" s="51" t="n">
        <v>1</v>
      </c>
      <c r="K120" s="52" t="n">
        <f aca="false">SUM(E120:J120)</f>
        <v>1</v>
      </c>
      <c r="L120" s="53" t="n">
        <f aca="false">$D120*E120</f>
        <v>0</v>
      </c>
      <c r="M120" s="53" t="n">
        <f aca="false">$D120*F120</f>
        <v>0</v>
      </c>
      <c r="N120" s="53" t="n">
        <f aca="false">$D120*G120</f>
        <v>0</v>
      </c>
      <c r="O120" s="53" t="n">
        <f aca="false">$D120*H120</f>
        <v>0</v>
      </c>
      <c r="P120" s="53" t="n">
        <f aca="false">$D120*I120</f>
        <v>0</v>
      </c>
      <c r="Q120" s="53" t="n">
        <f aca="false">$D120*J120</f>
        <v>600</v>
      </c>
    </row>
    <row r="121" customFormat="false" ht="15" hidden="false" customHeight="false" outlineLevel="0" collapsed="false">
      <c r="A121" s="24" t="s">
        <v>252</v>
      </c>
      <c r="B121" s="49" t="s">
        <v>253</v>
      </c>
      <c r="C121" s="6" t="s">
        <v>22</v>
      </c>
      <c r="D121" s="50" t="n">
        <f aca="false">SUMIFS('Hisob (batafsil)'!$J$5:$J$371,'Hisob (batafsil)'!$K$5:$K$371,$A121)</f>
        <v>300</v>
      </c>
      <c r="E121" s="51" t="n">
        <v>0</v>
      </c>
      <c r="F121" s="51" t="n">
        <v>0</v>
      </c>
      <c r="G121" s="51" t="n">
        <v>0</v>
      </c>
      <c r="H121" s="51" t="n">
        <v>0</v>
      </c>
      <c r="I121" s="51" t="n">
        <v>0</v>
      </c>
      <c r="J121" s="51" t="n">
        <v>1</v>
      </c>
      <c r="K121" s="52" t="n">
        <f aca="false">SUM(E121:J121)</f>
        <v>1</v>
      </c>
      <c r="L121" s="53" t="n">
        <f aca="false">$D121*E121</f>
        <v>0</v>
      </c>
      <c r="M121" s="53" t="n">
        <f aca="false">$D121*F121</f>
        <v>0</v>
      </c>
      <c r="N121" s="53" t="n">
        <f aca="false">$D121*G121</f>
        <v>0</v>
      </c>
      <c r="O121" s="53" t="n">
        <f aca="false">$D121*H121</f>
        <v>0</v>
      </c>
      <c r="P121" s="53" t="n">
        <f aca="false">$D121*I121</f>
        <v>0</v>
      </c>
      <c r="Q121" s="53" t="n">
        <f aca="false">$D121*J121</f>
        <v>300</v>
      </c>
    </row>
    <row r="122" customFormat="false" ht="15" hidden="false" customHeight="false" outlineLevel="0" collapsed="false">
      <c r="A122" s="24" t="s">
        <v>254</v>
      </c>
      <c r="B122" s="6" t="s">
        <v>255</v>
      </c>
      <c r="C122" s="6" t="s">
        <v>22</v>
      </c>
      <c r="D122" s="50" t="n">
        <f aca="false">SUMIFS('Hisob (batafsil)'!$J$5:$J$371,'Hisob (batafsil)'!$K$5:$K$371,$A122)</f>
        <v>600</v>
      </c>
      <c r="E122" s="51" t="n">
        <v>0</v>
      </c>
      <c r="F122" s="51" t="n">
        <v>0</v>
      </c>
      <c r="G122" s="51" t="n">
        <v>0</v>
      </c>
      <c r="H122" s="51" t="n">
        <v>0</v>
      </c>
      <c r="I122" s="51" t="n">
        <v>0</v>
      </c>
      <c r="J122" s="51" t="n">
        <v>1</v>
      </c>
      <c r="K122" s="52" t="n">
        <f aca="false">SUM(E122:J122)</f>
        <v>1</v>
      </c>
      <c r="L122" s="53" t="n">
        <f aca="false">$D122*E122</f>
        <v>0</v>
      </c>
      <c r="M122" s="53" t="n">
        <f aca="false">$D122*F122</f>
        <v>0</v>
      </c>
      <c r="N122" s="53" t="n">
        <f aca="false">$D122*G122</f>
        <v>0</v>
      </c>
      <c r="O122" s="53" t="n">
        <f aca="false">$D122*H122</f>
        <v>0</v>
      </c>
      <c r="P122" s="53" t="n">
        <f aca="false">$D122*I122</f>
        <v>0</v>
      </c>
      <c r="Q122" s="53" t="n">
        <f aca="false">$D122*J122</f>
        <v>600</v>
      </c>
    </row>
    <row r="123" customFormat="false" ht="15" hidden="false" customHeight="false" outlineLevel="0" collapsed="false">
      <c r="A123" s="24" t="s">
        <v>256</v>
      </c>
      <c r="B123" s="49" t="s">
        <v>257</v>
      </c>
      <c r="C123" s="6" t="s">
        <v>22</v>
      </c>
      <c r="D123" s="50" t="n">
        <f aca="false">SUMIFS('Hisob (batafsil)'!$J$5:$J$371,'Hisob (batafsil)'!$K$5:$K$371,$A123)</f>
        <v>450</v>
      </c>
      <c r="E123" s="51" t="n">
        <v>0</v>
      </c>
      <c r="F123" s="51" t="n">
        <v>0</v>
      </c>
      <c r="G123" s="51" t="n">
        <v>0</v>
      </c>
      <c r="H123" s="51" t="n">
        <v>0</v>
      </c>
      <c r="I123" s="51" t="n">
        <v>0</v>
      </c>
      <c r="J123" s="51" t="n">
        <v>1</v>
      </c>
      <c r="K123" s="52" t="n">
        <f aca="false">SUM(E123:J123)</f>
        <v>1</v>
      </c>
      <c r="L123" s="53" t="n">
        <f aca="false">$D123*E123</f>
        <v>0</v>
      </c>
      <c r="M123" s="53" t="n">
        <f aca="false">$D123*F123</f>
        <v>0</v>
      </c>
      <c r="N123" s="53" t="n">
        <f aca="false">$D123*G123</f>
        <v>0</v>
      </c>
      <c r="O123" s="53" t="n">
        <f aca="false">$D123*H123</f>
        <v>0</v>
      </c>
      <c r="P123" s="53" t="n">
        <f aca="false">$D123*I123</f>
        <v>0</v>
      </c>
      <c r="Q123" s="53" t="n">
        <f aca="false">$D123*J123</f>
        <v>450</v>
      </c>
    </row>
    <row r="124" customFormat="false" ht="15" hidden="false" customHeight="false" outlineLevel="0" collapsed="false">
      <c r="A124" s="24" t="s">
        <v>258</v>
      </c>
      <c r="B124" s="49" t="s">
        <v>259</v>
      </c>
      <c r="C124" s="6" t="s">
        <v>22</v>
      </c>
      <c r="D124" s="50" t="n">
        <f aca="false">SUMIFS('Hisob (batafsil)'!$J$5:$J$371,'Hisob (batafsil)'!$K$5:$K$371,$A124)</f>
        <v>500</v>
      </c>
      <c r="E124" s="51" t="n">
        <v>0</v>
      </c>
      <c r="F124" s="51" t="n">
        <v>0</v>
      </c>
      <c r="G124" s="51" t="n">
        <v>0</v>
      </c>
      <c r="H124" s="51" t="n">
        <v>0</v>
      </c>
      <c r="I124" s="51" t="n">
        <v>0</v>
      </c>
      <c r="J124" s="51" t="n">
        <v>1</v>
      </c>
      <c r="K124" s="52" t="n">
        <f aca="false">SUM(E124:J124)</f>
        <v>1</v>
      </c>
      <c r="L124" s="53" t="n">
        <f aca="false">$D124*E124</f>
        <v>0</v>
      </c>
      <c r="M124" s="53" t="n">
        <f aca="false">$D124*F124</f>
        <v>0</v>
      </c>
      <c r="N124" s="53" t="n">
        <f aca="false">$D124*G124</f>
        <v>0</v>
      </c>
      <c r="O124" s="53" t="n">
        <f aca="false">$D124*H124</f>
        <v>0</v>
      </c>
      <c r="P124" s="53" t="n">
        <f aca="false">$D124*I124</f>
        <v>0</v>
      </c>
      <c r="Q124" s="53" t="n">
        <f aca="false">$D124*J124</f>
        <v>500</v>
      </c>
    </row>
    <row r="125" customFormat="false" ht="15" hidden="false" customHeight="false" outlineLevel="0" collapsed="false">
      <c r="A125" s="24" t="s">
        <v>260</v>
      </c>
      <c r="B125" s="49" t="s">
        <v>261</v>
      </c>
      <c r="C125" s="6" t="s">
        <v>22</v>
      </c>
      <c r="D125" s="50" t="n">
        <f aca="false">SUMIFS('Hisob (batafsil)'!$J$5:$J$371,'Hisob (batafsil)'!$K$5:$K$371,$A125)</f>
        <v>300</v>
      </c>
      <c r="E125" s="51" t="n">
        <v>0</v>
      </c>
      <c r="F125" s="51" t="n">
        <v>0</v>
      </c>
      <c r="G125" s="51" t="n">
        <v>0</v>
      </c>
      <c r="H125" s="51" t="n">
        <v>0</v>
      </c>
      <c r="I125" s="51" t="n">
        <v>0</v>
      </c>
      <c r="J125" s="51" t="n">
        <v>1</v>
      </c>
      <c r="K125" s="52" t="n">
        <f aca="false">SUM(E125:J125)</f>
        <v>1</v>
      </c>
      <c r="L125" s="53" t="n">
        <f aca="false">$D125*E125</f>
        <v>0</v>
      </c>
      <c r="M125" s="53" t="n">
        <f aca="false">$D125*F125</f>
        <v>0</v>
      </c>
      <c r="N125" s="53" t="n">
        <f aca="false">$D125*G125</f>
        <v>0</v>
      </c>
      <c r="O125" s="53" t="n">
        <f aca="false">$D125*H125</f>
        <v>0</v>
      </c>
      <c r="P125" s="53" t="n">
        <f aca="false">$D125*I125</f>
        <v>0</v>
      </c>
      <c r="Q125" s="53" t="n">
        <f aca="false">$D125*J125</f>
        <v>300</v>
      </c>
    </row>
    <row r="126" customFormat="false" ht="15" hidden="false" customHeight="false" outlineLevel="0" collapsed="false">
      <c r="A126" s="24" t="s">
        <v>262</v>
      </c>
      <c r="B126" s="49" t="s">
        <v>263</v>
      </c>
      <c r="C126" s="6" t="s">
        <v>22</v>
      </c>
      <c r="D126" s="50" t="n">
        <f aca="false">SUMIFS('Hisob (batafsil)'!$J$5:$J$371,'Hisob (batafsil)'!$K$5:$K$371,$A126)</f>
        <v>100</v>
      </c>
      <c r="E126" s="51" t="n">
        <v>0</v>
      </c>
      <c r="F126" s="51" t="n">
        <v>0</v>
      </c>
      <c r="G126" s="51" t="n">
        <v>0</v>
      </c>
      <c r="H126" s="51" t="n">
        <v>0</v>
      </c>
      <c r="I126" s="51" t="n">
        <v>0</v>
      </c>
      <c r="J126" s="51" t="n">
        <v>1</v>
      </c>
      <c r="K126" s="52" t="n">
        <f aca="false">SUM(E126:J126)</f>
        <v>1</v>
      </c>
      <c r="L126" s="53" t="n">
        <f aca="false">$D126*E126</f>
        <v>0</v>
      </c>
      <c r="M126" s="53" t="n">
        <f aca="false">$D126*F126</f>
        <v>0</v>
      </c>
      <c r="N126" s="53" t="n">
        <f aca="false">$D126*G126</f>
        <v>0</v>
      </c>
      <c r="O126" s="53" t="n">
        <f aca="false">$D126*H126</f>
        <v>0</v>
      </c>
      <c r="P126" s="53" t="n">
        <f aca="false">$D126*I126</f>
        <v>0</v>
      </c>
      <c r="Q126" s="53" t="n">
        <f aca="false">$D126*J126</f>
        <v>100</v>
      </c>
    </row>
    <row r="127" customFormat="false" ht="15" hidden="false" customHeight="false" outlineLevel="0" collapsed="false">
      <c r="A127" s="24" t="s">
        <v>264</v>
      </c>
      <c r="B127" s="49" t="s">
        <v>265</v>
      </c>
      <c r="C127" s="6" t="s">
        <v>23</v>
      </c>
      <c r="D127" s="50" t="n">
        <f aca="false">SUMIFS('Hisob (batafsil)'!$J$5:$J$371,'Hisob (batafsil)'!$K$5:$K$371,$A127)</f>
        <v>120</v>
      </c>
      <c r="E127" s="51" t="n">
        <v>0</v>
      </c>
      <c r="F127" s="51" t="n">
        <v>0</v>
      </c>
      <c r="G127" s="51" t="n">
        <v>0</v>
      </c>
      <c r="H127" s="51" t="n">
        <v>0</v>
      </c>
      <c r="I127" s="51" t="n">
        <v>0</v>
      </c>
      <c r="J127" s="51" t="n">
        <v>1</v>
      </c>
      <c r="K127" s="52" t="n">
        <f aca="false">SUM(E127:J127)</f>
        <v>1</v>
      </c>
      <c r="L127" s="53" t="n">
        <f aca="false">$D127*E127</f>
        <v>0</v>
      </c>
      <c r="M127" s="53" t="n">
        <f aca="false">$D127*F127</f>
        <v>0</v>
      </c>
      <c r="N127" s="53" t="n">
        <f aca="false">$D127*G127</f>
        <v>0</v>
      </c>
      <c r="O127" s="53" t="n">
        <f aca="false">$D127*H127</f>
        <v>0</v>
      </c>
      <c r="P127" s="53" t="n">
        <f aca="false">$D127*I127</f>
        <v>0</v>
      </c>
      <c r="Q127" s="53" t="n">
        <f aca="false">$D127*J127</f>
        <v>120</v>
      </c>
    </row>
    <row r="128" customFormat="false" ht="15" hidden="false" customHeight="false" outlineLevel="0" collapsed="false">
      <c r="A128" s="24" t="s">
        <v>266</v>
      </c>
      <c r="B128" s="49" t="s">
        <v>267</v>
      </c>
      <c r="C128" s="6" t="s">
        <v>23</v>
      </c>
      <c r="D128" s="50" t="n">
        <f aca="false">SUMIFS('Hisob (batafsil)'!$J$5:$J$371,'Hisob (batafsil)'!$K$5:$K$371,$A128)</f>
        <v>250</v>
      </c>
      <c r="E128" s="51" t="n">
        <v>0</v>
      </c>
      <c r="F128" s="51" t="n">
        <v>0</v>
      </c>
      <c r="G128" s="51" t="n">
        <v>0</v>
      </c>
      <c r="H128" s="51" t="n">
        <v>0</v>
      </c>
      <c r="I128" s="51" t="n">
        <v>0</v>
      </c>
      <c r="J128" s="51" t="n">
        <v>1</v>
      </c>
      <c r="K128" s="52" t="n">
        <f aca="false">SUM(E128:J128)</f>
        <v>1</v>
      </c>
      <c r="L128" s="53" t="n">
        <f aca="false">$D128*E128</f>
        <v>0</v>
      </c>
      <c r="M128" s="53" t="n">
        <f aca="false">$D128*F128</f>
        <v>0</v>
      </c>
      <c r="N128" s="53" t="n">
        <f aca="false">$D128*G128</f>
        <v>0</v>
      </c>
      <c r="O128" s="53" t="n">
        <f aca="false">$D128*H128</f>
        <v>0</v>
      </c>
      <c r="P128" s="53" t="n">
        <f aca="false">$D128*I128</f>
        <v>0</v>
      </c>
      <c r="Q128" s="53" t="n">
        <f aca="false">$D128*J128</f>
        <v>250</v>
      </c>
    </row>
    <row r="129" customFormat="false" ht="15" hidden="false" customHeight="false" outlineLevel="0" collapsed="false">
      <c r="A129" s="11"/>
      <c r="B129" s="11" t="s">
        <v>27</v>
      </c>
      <c r="C129" s="11"/>
      <c r="D129" s="41" t="n">
        <f aca="false">SUM(D41:D128)</f>
        <v>87217.4225210084</v>
      </c>
      <c r="E129" s="11"/>
      <c r="F129" s="11"/>
      <c r="G129" s="11"/>
      <c r="H129" s="11"/>
      <c r="I129" s="11"/>
      <c r="J129" s="11"/>
      <c r="K129" s="11"/>
      <c r="L129" s="41" t="n">
        <f aca="false">SUM(L41:L128)</f>
        <v>10520</v>
      </c>
      <c r="M129" s="41" t="n">
        <f aca="false">SUM(M41:M128)</f>
        <v>340.546218487395</v>
      </c>
      <c r="N129" s="41" t="n">
        <f aca="false">SUM(N41:N128)</f>
        <v>18139.6085714286</v>
      </c>
      <c r="O129" s="41" t="n">
        <f aca="false">SUM(O41:O128)</f>
        <v>17034.7249789916</v>
      </c>
      <c r="P129" s="41" t="n">
        <f aca="false">SUM(P41:P128)</f>
        <v>32442.5427521008</v>
      </c>
      <c r="Q129" s="41" t="n">
        <f aca="false">SUM(Q41:Q128)</f>
        <v>8740</v>
      </c>
    </row>
    <row r="130" customFormat="false" ht="15" hidden="false" customHeight="false" outlineLevel="0" collapsed="false">
      <c r="B130" s="2" t="s">
        <v>268</v>
      </c>
      <c r="D130" s="27" t="n">
        <f aca="false">D129-Yakuniy!$C$25</f>
        <v>0</v>
      </c>
    </row>
    <row r="132" customFormat="false" ht="15" hidden="false" customHeight="false" outlineLevel="0" collapsed="false">
      <c r="A132" s="2" t="s">
        <v>269</v>
      </c>
    </row>
    <row r="133" customFormat="false" ht="15" hidden="false" customHeight="false" outlineLevel="0" collapsed="false">
      <c r="A133" s="2" t="s">
        <v>270</v>
      </c>
    </row>
    <row r="134" customFormat="false" ht="15" hidden="false" customHeight="false" outlineLevel="0" collapsed="false">
      <c r="A134" s="2" t="s">
        <v>271</v>
      </c>
    </row>
    <row r="135" customFormat="false" ht="15" hidden="false" customHeight="false" outlineLevel="0" collapsed="false">
      <c r="A135" s="2" t="s">
        <v>272</v>
      </c>
    </row>
    <row r="136" customFormat="false" ht="15" hidden="false" customHeight="false" outlineLevel="0" collapsed="false">
      <c r="A136" s="2" t="s">
        <v>273</v>
      </c>
    </row>
  </sheetData>
  <conditionalFormatting sqref="C21:L26">
    <cfRule type="expression" priority="2" aboveAverage="0" equalAverage="0" bottom="0" percent="0" rank="0" text="" dxfId="0">
      <formula>C21=1</formula>
    </cfRule>
  </conditionalFormatting>
  <conditionalFormatting sqref="K41:K128">
    <cfRule type="expression" priority="3" aboveAverage="0" equalAverage="0" bottom="0" percent="0" rank="0" text="" dxfId="1">
      <formula>ABS(K41-1)&gt;0.0001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5" min="2" style="0" width="12"/>
    <col collapsed="false" customWidth="true" hidden="false" outlineLevel="0" max="26" min="26" style="0" width="14"/>
  </cols>
  <sheetData>
    <row r="1" customFormat="false" ht="17.35" hidden="false" customHeight="false" outlineLevel="0" collapsed="false">
      <c r="A1" s="1" t="s">
        <v>274</v>
      </c>
    </row>
    <row r="2" customFormat="false" ht="15" hidden="false" customHeight="false" outlineLevel="0" collapsed="false">
      <c r="A2" s="2" t="s">
        <v>275</v>
      </c>
    </row>
    <row r="4" customFormat="false" ht="31.5" hidden="false" customHeight="true" outlineLevel="0" collapsed="false">
      <c r="A4" s="4" t="s">
        <v>276</v>
      </c>
      <c r="B4" s="4" t="s">
        <v>277</v>
      </c>
      <c r="C4" s="4" t="s">
        <v>278</v>
      </c>
      <c r="D4" s="4" t="s">
        <v>279</v>
      </c>
      <c r="E4" s="4" t="s">
        <v>280</v>
      </c>
      <c r="F4" s="4" t="s">
        <v>281</v>
      </c>
      <c r="G4" s="4" t="s">
        <v>282</v>
      </c>
      <c r="H4" s="4" t="s">
        <v>283</v>
      </c>
      <c r="I4" s="4" t="s">
        <v>284</v>
      </c>
      <c r="J4" s="4" t="s">
        <v>285</v>
      </c>
      <c r="K4" s="4" t="s">
        <v>286</v>
      </c>
      <c r="L4" s="4" t="s">
        <v>287</v>
      </c>
      <c r="M4" s="4" t="s">
        <v>288</v>
      </c>
      <c r="N4" s="4" t="s">
        <v>289</v>
      </c>
      <c r="O4" s="4" t="s">
        <v>290</v>
      </c>
      <c r="P4" s="4" t="s">
        <v>291</v>
      </c>
      <c r="Q4" s="4" t="s">
        <v>292</v>
      </c>
      <c r="R4" s="4" t="s">
        <v>293</v>
      </c>
      <c r="S4" s="4" t="s">
        <v>294</v>
      </c>
      <c r="T4" s="4" t="s">
        <v>295</v>
      </c>
      <c r="U4" s="4" t="s">
        <v>296</v>
      </c>
      <c r="V4" s="4" t="s">
        <v>297</v>
      </c>
      <c r="W4" s="4" t="s">
        <v>298</v>
      </c>
      <c r="X4" s="4" t="s">
        <v>299</v>
      </c>
      <c r="Y4" s="4" t="s">
        <v>300</v>
      </c>
      <c r="Z4" s="4" t="s">
        <v>53</v>
      </c>
    </row>
    <row r="5" customFormat="false" ht="15" hidden="false" customHeight="false" outlineLevel="0" collapsed="false">
      <c r="A5" s="54" t="s">
        <v>32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</row>
    <row r="6" customFormat="false" ht="15" hidden="false" customHeight="false" outlineLevel="0" collapsed="false">
      <c r="A6" s="6" t="s">
        <v>301</v>
      </c>
      <c r="B6" s="56" t="n">
        <f aca="false">SUMIFS('Hisob (batafsil)'!$G$5:$G$371,'Hisob (batafsil)'!$B$5:$B$371,$A6,'Hisob (batafsil)'!$C$5:$C$371,"Shisha devor")</f>
        <v>0</v>
      </c>
      <c r="C6" s="50" t="n">
        <f aca="false">SUMIFS('Hisob (batafsil)'!$J$5:$J$371,'Hisob (batafsil)'!$B$5:$B$371,$A6,'Hisob (batafsil)'!$C$5:$C$371,"Shisha devor")</f>
        <v>0</v>
      </c>
      <c r="D6" s="56" t="n">
        <f aca="false">SUMIFS('Hisob (batafsil)'!$G$5:$G$371,'Hisob (batafsil)'!$B$5:$B$371,$A6,'Hisob (batafsil)'!$C$5:$C$371,"Gips karton (GKL)")</f>
        <v>0</v>
      </c>
      <c r="E6" s="50" t="n">
        <f aca="false">SUMIFS('Hisob (batafsil)'!$J$5:$J$371,'Hisob (batafsil)'!$B$5:$B$371,$A6,'Hisob (batafsil)'!$C$5:$C$371,"Gips karton (GKL)")</f>
        <v>0</v>
      </c>
      <c r="F6" s="56" t="n">
        <f aca="false">SUMIFS('Hisob (batafsil)'!$G$5:$G$371,'Hisob (batafsil)'!$B$5:$B$371,$A6,'Hisob (batafsil)'!$C$5:$C$371,"Bambuk panel")</f>
        <v>0</v>
      </c>
      <c r="G6" s="50" t="n">
        <f aca="false">SUMIFS('Hisob (batafsil)'!$J$5:$J$371,'Hisob (batafsil)'!$B$5:$B$371,$A6,'Hisob (batafsil)'!$C$5:$C$371,"Bambuk panel")</f>
        <v>0</v>
      </c>
      <c r="H6" s="57" t="n">
        <f aca="false">SUMIFS('Hisob (batafsil)'!$G$5:$G$371,'Hisob (batafsil)'!$B$5:$B$371,$A6,'Hisob (batafsil)'!$C$5:$C$371,"Interaktiv doska")</f>
        <v>0</v>
      </c>
      <c r="I6" s="50" t="n">
        <f aca="false">SUMIFS('Hisob (batafsil)'!$J$5:$J$371,'Hisob (batafsil)'!$B$5:$B$371,$A6,'Hisob (batafsil)'!$C$5:$C$371,"Interaktiv doska")</f>
        <v>0</v>
      </c>
      <c r="J6" s="56" t="n">
        <f aca="false">SUMIFS('Hisob (batafsil)'!$G$5:$G$371,'Hisob (batafsil)'!$B$5:$B$371,$A6,'Hisob (batafsil)'!$C$5:$C$371,"Perila")</f>
        <v>0</v>
      </c>
      <c r="K6" s="50" t="n">
        <f aca="false">SUMIFS('Hisob (batafsil)'!$J$5:$J$371,'Hisob (batafsil)'!$B$5:$B$371,$A6,'Hisob (batafsil)'!$C$5:$C$371,"Perila")</f>
        <v>0</v>
      </c>
      <c r="L6" s="50" t="n">
        <f aca="false">SUMIFS('Hisob (batafsil)'!$J$5:$J$371,'Hisob (batafsil)'!$B$5:$B$371,$A6,'Hisob (batafsil)'!$C$5:$C$371,"Yoritish")</f>
        <v>0</v>
      </c>
      <c r="M6" s="50" t="n">
        <f aca="false">SUMIFS('Hisob (batafsil)'!$J$5:$J$371,'Hisob (batafsil)'!$B$5:$B$371,$A6,'Hisob (batafsil)'!$C$5:$C$371,"Kamera tizimi")</f>
        <v>0</v>
      </c>
      <c r="N6" s="50" t="n">
        <f aca="false">SUMIFS('Hisob (batafsil)'!$J$5:$J$371,'Hisob (batafsil)'!$B$5:$B$371,$A6,'Hisob (batafsil)'!$C$5:$C$371,"Logotip")</f>
        <v>750</v>
      </c>
      <c r="O6" s="50" t="n">
        <f aca="false">SUMIFS('Hisob (batafsil)'!$J$5:$J$371,'Hisob (batafsil)'!$B$5:$B$371,$A6,'Hisob (batafsil)'!$C$5:$C$371,"Matli plyonka")</f>
        <v>0</v>
      </c>
      <c r="P6" s="50" t="n">
        <f aca="false">SUMIFS('Hisob (batafsil)'!$J$5:$J$371,'Hisob (batafsil)'!$B$5:$B$371,$A6,'Hisob (batafsil)'!$C$5:$C$371,"Yong'in xavfsizligi")</f>
        <v>0</v>
      </c>
      <c r="Q6" s="50" t="n">
        <f aca="false">SUMIFS('Hisob (batafsil)'!$J$5:$J$371,'Hisob (batafsil)'!$B$5:$B$371,$A6,'Hisob (batafsil)'!$C$5:$C$371,"Buzish ishlari")</f>
        <v>0</v>
      </c>
      <c r="R6" s="50" t="n">
        <f aca="false">SUMIFS('Hisob (batafsil)'!$J$5:$J$371,'Hisob (batafsil)'!$B$5:$B$371,$A6,'Hisob (batafsil)'!$C$5:$C$371,"Santexnika")</f>
        <v>0</v>
      </c>
      <c r="S6" s="50" t="n">
        <f aca="false">SUMIFS('Hisob (batafsil)'!$J$5:$J$371,'Hisob (batafsil)'!$B$5:$B$371,$A6,'Hisob (batafsil)'!$C$5:$C$371,"Kafel")</f>
        <v>0</v>
      </c>
      <c r="T6" s="50" t="n">
        <f aca="false">SUMIFS('Hisob (batafsil)'!$J$5:$J$371,'Hisob (batafsil)'!$B$5:$B$371,$A6,'Hisob (batafsil)'!$C$5:$C$371,"Konditsioner va ventilyatsiya")</f>
        <v>0</v>
      </c>
      <c r="U6" s="50" t="n">
        <f aca="false">SUMIFS('Hisob (batafsil)'!$J$5:$J$371,'Hisob (batafsil)'!$B$5:$B$371,$A6,'Hisob (batafsil)'!$C$5:$C$371,"Mebel va interyer")</f>
        <v>2680</v>
      </c>
      <c r="V6" s="50" t="n">
        <f aca="false">SUMIFS('Hisob (batafsil)'!$J$5:$J$371,'Hisob (batafsil)'!$B$5:$B$371,$A6,'Hisob (batafsil)'!$C$5:$C$371,"E'lon va e'tirof doskalari")</f>
        <v>0</v>
      </c>
      <c r="W6" s="50" t="n">
        <f aca="false">SUMIFS('Hisob (batafsil)'!$J$5:$J$371,'Hisob (batafsil)'!$B$5:$B$371,$A6,'Hisob (batafsil)'!$C$5:$C$371,"Eshiklar")</f>
        <v>0</v>
      </c>
      <c r="X6" s="50" t="n">
        <f aca="false">SUMIFS('Hisob (batafsil)'!$J$5:$J$371,'Hisob (batafsil)'!$B$5:$B$371,$A6,'Hisob (batafsil)'!$C$5:$C$371,"Internet va Wi-Fi")</f>
        <v>0</v>
      </c>
      <c r="Y6" s="50" t="n">
        <f aca="false">SUMIFS('Hisob (batafsil)'!$J$5:$J$371,'Hisob (batafsil)'!$B$5:$B$371,$A6,'Hisob (batafsil)'!$C$5:$C$371,"Elektr")</f>
        <v>0</v>
      </c>
      <c r="Z6" s="58" t="n">
        <f aca="false">C6+E6+G6+I6+K6+L6+M6+N6+O6+P6+Q6+R6+S6+T6+U6+V6+W6+X6+Y6</f>
        <v>3430</v>
      </c>
    </row>
    <row r="7" customFormat="false" ht="15" hidden="false" customHeight="false" outlineLevel="0" collapsed="false">
      <c r="A7" s="11" t="s">
        <v>302</v>
      </c>
      <c r="B7" s="59" t="n">
        <f aca="false">SUM(B6:B6)</f>
        <v>0</v>
      </c>
      <c r="C7" s="41" t="n">
        <f aca="false">SUM(C6:C6)</f>
        <v>0</v>
      </c>
      <c r="D7" s="59" t="n">
        <f aca="false">SUM(D6:D6)</f>
        <v>0</v>
      </c>
      <c r="E7" s="41" t="n">
        <f aca="false">SUM(E6:E6)</f>
        <v>0</v>
      </c>
      <c r="F7" s="59" t="n">
        <f aca="false">SUM(F6:F6)</f>
        <v>0</v>
      </c>
      <c r="G7" s="41" t="n">
        <f aca="false">SUM(G6:G6)</f>
        <v>0</v>
      </c>
      <c r="H7" s="60" t="n">
        <f aca="false">SUM(H6:H6)</f>
        <v>0</v>
      </c>
      <c r="I7" s="41" t="n">
        <f aca="false">SUM(I6:I6)</f>
        <v>0</v>
      </c>
      <c r="J7" s="59" t="n">
        <f aca="false">SUM(J6:J6)</f>
        <v>0</v>
      </c>
      <c r="K7" s="41" t="n">
        <f aca="false">SUM(K6:K6)</f>
        <v>0</v>
      </c>
      <c r="L7" s="41" t="n">
        <f aca="false">SUM(L6:L6)</f>
        <v>0</v>
      </c>
      <c r="M7" s="41" t="n">
        <f aca="false">SUM(M6:M6)</f>
        <v>0</v>
      </c>
      <c r="N7" s="41" t="n">
        <f aca="false">SUM(N6:N6)</f>
        <v>750</v>
      </c>
      <c r="O7" s="41" t="n">
        <f aca="false">SUM(O6:O6)</f>
        <v>0</v>
      </c>
      <c r="P7" s="41" t="n">
        <f aca="false">SUM(P6:P6)</f>
        <v>0</v>
      </c>
      <c r="Q7" s="41" t="n">
        <f aca="false">SUM(Q6:Q6)</f>
        <v>0</v>
      </c>
      <c r="R7" s="41" t="n">
        <f aca="false">SUM(R6:R6)</f>
        <v>0</v>
      </c>
      <c r="S7" s="41" t="n">
        <f aca="false">SUM(S6:S6)</f>
        <v>0</v>
      </c>
      <c r="T7" s="41" t="n">
        <f aca="false">SUM(T6:T6)</f>
        <v>0</v>
      </c>
      <c r="U7" s="41" t="n">
        <f aca="false">SUM(U6:U6)</f>
        <v>2680</v>
      </c>
      <c r="V7" s="41" t="n">
        <f aca="false">SUM(V6:V6)</f>
        <v>0</v>
      </c>
      <c r="W7" s="41" t="n">
        <f aca="false">SUM(W6:W6)</f>
        <v>0</v>
      </c>
      <c r="X7" s="41" t="n">
        <f aca="false">SUM(X6:X6)</f>
        <v>0</v>
      </c>
      <c r="Y7" s="41" t="n">
        <f aca="false">SUM(Y6:Y6)</f>
        <v>0</v>
      </c>
      <c r="Z7" s="41" t="n">
        <f aca="false">SUM(Z6:Z6)</f>
        <v>3430</v>
      </c>
    </row>
    <row r="9" customFormat="false" ht="15" hidden="false" customHeight="false" outlineLevel="0" collapsed="false">
      <c r="A9" s="54" t="s">
        <v>33</v>
      </c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</row>
    <row r="10" customFormat="false" ht="15" hidden="false" customHeight="false" outlineLevel="0" collapsed="false">
      <c r="A10" s="6" t="s">
        <v>303</v>
      </c>
      <c r="B10" s="56" t="n">
        <f aca="false">SUMIFS('Hisob (batafsil)'!$G$5:$G$371,'Hisob (batafsil)'!$B$5:$B$371,$A10,'Hisob (batafsil)'!$C$5:$C$371,"Shisha devor")</f>
        <v>13.75</v>
      </c>
      <c r="C10" s="50" t="n">
        <f aca="false">SUMIFS('Hisob (batafsil)'!$J$5:$J$371,'Hisob (batafsil)'!$B$5:$B$371,$A10,'Hisob (batafsil)'!$C$5:$C$371,"Shisha devor")</f>
        <v>756.25</v>
      </c>
      <c r="D10" s="56" t="n">
        <f aca="false">SUMIFS('Hisob (batafsil)'!$G$5:$G$371,'Hisob (batafsil)'!$B$5:$B$371,$A10,'Hisob (batafsil)'!$C$5:$C$371,"Gips karton (GKL)")</f>
        <v>7.25</v>
      </c>
      <c r="E10" s="50" t="n">
        <f aca="false">SUMIFS('Hisob (batafsil)'!$J$5:$J$371,'Hisob (batafsil)'!$B$5:$B$371,$A10,'Hisob (batafsil)'!$C$5:$C$371,"Gips karton (GKL)")</f>
        <v>87</v>
      </c>
      <c r="F10" s="56" t="n">
        <f aca="false">SUMIFS('Hisob (batafsil)'!$G$5:$G$371,'Hisob (batafsil)'!$B$5:$B$371,$A10,'Hisob (batafsil)'!$C$5:$C$371,"Bambuk panel")</f>
        <v>53.9</v>
      </c>
      <c r="G10" s="50" t="n">
        <f aca="false">SUMIFS('Hisob (batafsil)'!$J$5:$J$371,'Hisob (batafsil)'!$B$5:$B$371,$A10,'Hisob (batafsil)'!$C$5:$C$371,"Bambuk panel")</f>
        <v>835.45</v>
      </c>
      <c r="H10" s="57" t="n">
        <f aca="false">SUMIFS('Hisob (batafsil)'!$G$5:$G$371,'Hisob (batafsil)'!$B$5:$B$371,$A10,'Hisob (batafsil)'!$C$5:$C$371,"Interaktiv doska")</f>
        <v>1</v>
      </c>
      <c r="I10" s="50" t="n">
        <f aca="false">SUMIFS('Hisob (batafsil)'!$J$5:$J$371,'Hisob (batafsil)'!$B$5:$B$371,$A10,'Hisob (batafsil)'!$C$5:$C$371,"Interaktiv doska")</f>
        <v>1032</v>
      </c>
      <c r="J10" s="56" t="n">
        <f aca="false">SUMIFS('Hisob (batafsil)'!$G$5:$G$371,'Hisob (batafsil)'!$B$5:$B$371,$A10,'Hisob (batafsil)'!$C$5:$C$371,"Perila")</f>
        <v>0</v>
      </c>
      <c r="K10" s="50" t="n">
        <f aca="false">SUMIFS('Hisob (batafsil)'!$J$5:$J$371,'Hisob (batafsil)'!$B$5:$B$371,$A10,'Hisob (batafsil)'!$C$5:$C$371,"Perila")</f>
        <v>0</v>
      </c>
      <c r="L10" s="50" t="n">
        <f aca="false">SUMIFS('Hisob (batafsil)'!$J$5:$J$371,'Hisob (batafsil)'!$B$5:$B$371,$A10,'Hisob (batafsil)'!$C$5:$C$371,"Yoritish")</f>
        <v>168</v>
      </c>
      <c r="M10" s="50" t="n">
        <f aca="false">SUMIFS('Hisob (batafsil)'!$J$5:$J$371,'Hisob (batafsil)'!$B$5:$B$371,$A10,'Hisob (batafsil)'!$C$5:$C$371,"Kamera tizimi")</f>
        <v>0</v>
      </c>
      <c r="N10" s="50" t="n">
        <f aca="false">SUMIFS('Hisob (batafsil)'!$J$5:$J$371,'Hisob (batafsil)'!$B$5:$B$371,$A10,'Hisob (batafsil)'!$C$5:$C$371,"Logotip")</f>
        <v>0</v>
      </c>
      <c r="O10" s="50" t="n">
        <f aca="false">SUMIFS('Hisob (batafsil)'!$J$5:$J$371,'Hisob (batafsil)'!$B$5:$B$371,$A10,'Hisob (batafsil)'!$C$5:$C$371,"Matli plyonka")</f>
        <v>0</v>
      </c>
      <c r="P10" s="50" t="n">
        <f aca="false">SUMIFS('Hisob (batafsil)'!$J$5:$J$371,'Hisob (batafsil)'!$B$5:$B$371,$A10,'Hisob (batafsil)'!$C$5:$C$371,"Yong'in xavfsizligi")</f>
        <v>0</v>
      </c>
      <c r="Q10" s="50" t="n">
        <f aca="false">SUMIFS('Hisob (batafsil)'!$J$5:$J$371,'Hisob (batafsil)'!$B$5:$B$371,$A10,'Hisob (batafsil)'!$C$5:$C$371,"Buzish ishlari")</f>
        <v>0</v>
      </c>
      <c r="R10" s="50" t="n">
        <f aca="false">SUMIFS('Hisob (batafsil)'!$J$5:$J$371,'Hisob (batafsil)'!$B$5:$B$371,$A10,'Hisob (batafsil)'!$C$5:$C$371,"Santexnika")</f>
        <v>0</v>
      </c>
      <c r="S10" s="50" t="n">
        <f aca="false">SUMIFS('Hisob (batafsil)'!$J$5:$J$371,'Hisob (batafsil)'!$B$5:$B$371,$A10,'Hisob (batafsil)'!$C$5:$C$371,"Kafel")</f>
        <v>0</v>
      </c>
      <c r="T10" s="50" t="n">
        <f aca="false">SUMIFS('Hisob (batafsil)'!$J$5:$J$371,'Hisob (batafsil)'!$B$5:$B$371,$A10,'Hisob (batafsil)'!$C$5:$C$371,"Konditsioner va ventilyatsiya")</f>
        <v>0</v>
      </c>
      <c r="U10" s="50" t="n">
        <f aca="false">SUMIFS('Hisob (batafsil)'!$J$5:$J$371,'Hisob (batafsil)'!$B$5:$B$371,$A10,'Hisob (batafsil)'!$C$5:$C$371,"Mebel va interyer")</f>
        <v>0</v>
      </c>
      <c r="V10" s="50" t="n">
        <f aca="false">SUMIFS('Hisob (batafsil)'!$J$5:$J$371,'Hisob (batafsil)'!$B$5:$B$371,$A10,'Hisob (batafsil)'!$C$5:$C$371,"E'lon va e'tirof doskalari")</f>
        <v>0</v>
      </c>
      <c r="W10" s="50" t="n">
        <f aca="false">SUMIFS('Hisob (batafsil)'!$J$5:$J$371,'Hisob (batafsil)'!$B$5:$B$371,$A10,'Hisob (batafsil)'!$C$5:$C$371,"Eshiklar")</f>
        <v>150</v>
      </c>
      <c r="X10" s="50" t="n">
        <f aca="false">SUMIFS('Hisob (batafsil)'!$J$5:$J$371,'Hisob (batafsil)'!$B$5:$B$371,$A10,'Hisob (batafsil)'!$C$5:$C$371,"Internet va Wi-Fi")</f>
        <v>0</v>
      </c>
      <c r="Y10" s="50" t="n">
        <f aca="false">SUMIFS('Hisob (batafsil)'!$J$5:$J$371,'Hisob (batafsil)'!$B$5:$B$371,$A10,'Hisob (batafsil)'!$C$5:$C$371,"Elektr")</f>
        <v>0</v>
      </c>
      <c r="Z10" s="58" t="n">
        <f aca="false">C10+E10+G10+I10+K10+L10+M10+N10+O10+P10+Q10+R10+S10+T10+U10+V10+W10+X10+Y10</f>
        <v>3028.7</v>
      </c>
    </row>
    <row r="11" customFormat="false" ht="15" hidden="false" customHeight="false" outlineLevel="0" collapsed="false">
      <c r="A11" s="6" t="s">
        <v>304</v>
      </c>
      <c r="B11" s="56" t="n">
        <f aca="false">SUMIFS('Hisob (batafsil)'!$G$5:$G$371,'Hisob (batafsil)'!$B$5:$B$371,$A11,'Hisob (batafsil)'!$C$5:$C$371,"Shisha devor")</f>
        <v>14</v>
      </c>
      <c r="C11" s="50" t="n">
        <f aca="false">SUMIFS('Hisob (batafsil)'!$J$5:$J$371,'Hisob (batafsil)'!$B$5:$B$371,$A11,'Hisob (batafsil)'!$C$5:$C$371,"Shisha devor")</f>
        <v>770</v>
      </c>
      <c r="D11" s="56" t="n">
        <f aca="false">SUMIFS('Hisob (batafsil)'!$G$5:$G$371,'Hisob (batafsil)'!$B$5:$B$371,$A11,'Hisob (batafsil)'!$C$5:$C$371,"Gips karton (GKL)")</f>
        <v>6.3</v>
      </c>
      <c r="E11" s="50" t="n">
        <f aca="false">SUMIFS('Hisob (batafsil)'!$J$5:$J$371,'Hisob (batafsil)'!$B$5:$B$371,$A11,'Hisob (batafsil)'!$C$5:$C$371,"Gips karton (GKL)")</f>
        <v>75.6</v>
      </c>
      <c r="F11" s="56" t="n">
        <f aca="false">SUMIFS('Hisob (batafsil)'!$G$5:$G$371,'Hisob (batafsil)'!$B$5:$B$371,$A11,'Hisob (batafsil)'!$C$5:$C$371,"Bambuk panel")</f>
        <v>53.9</v>
      </c>
      <c r="G11" s="50" t="n">
        <f aca="false">SUMIFS('Hisob (batafsil)'!$J$5:$J$371,'Hisob (batafsil)'!$B$5:$B$371,$A11,'Hisob (batafsil)'!$C$5:$C$371,"Bambuk panel")</f>
        <v>835.45</v>
      </c>
      <c r="H11" s="57" t="n">
        <f aca="false">SUMIFS('Hisob (batafsil)'!$G$5:$G$371,'Hisob (batafsil)'!$B$5:$B$371,$A11,'Hisob (batafsil)'!$C$5:$C$371,"Interaktiv doska")</f>
        <v>1</v>
      </c>
      <c r="I11" s="50" t="n">
        <f aca="false">SUMIFS('Hisob (batafsil)'!$J$5:$J$371,'Hisob (batafsil)'!$B$5:$B$371,$A11,'Hisob (batafsil)'!$C$5:$C$371,"Interaktiv doska")</f>
        <v>1032</v>
      </c>
      <c r="J11" s="56" t="n">
        <f aca="false">SUMIFS('Hisob (batafsil)'!$G$5:$G$371,'Hisob (batafsil)'!$B$5:$B$371,$A11,'Hisob (batafsil)'!$C$5:$C$371,"Perila")</f>
        <v>0</v>
      </c>
      <c r="K11" s="50" t="n">
        <f aca="false">SUMIFS('Hisob (batafsil)'!$J$5:$J$371,'Hisob (batafsil)'!$B$5:$B$371,$A11,'Hisob (batafsil)'!$C$5:$C$371,"Perila")</f>
        <v>0</v>
      </c>
      <c r="L11" s="50" t="n">
        <f aca="false">SUMIFS('Hisob (batafsil)'!$J$5:$J$371,'Hisob (batafsil)'!$B$5:$B$371,$A11,'Hisob (batafsil)'!$C$5:$C$371,"Yoritish")</f>
        <v>168</v>
      </c>
      <c r="M11" s="50" t="n">
        <f aca="false">SUMIFS('Hisob (batafsil)'!$J$5:$J$371,'Hisob (batafsil)'!$B$5:$B$371,$A11,'Hisob (batafsil)'!$C$5:$C$371,"Kamera tizimi")</f>
        <v>0</v>
      </c>
      <c r="N11" s="50" t="n">
        <f aca="false">SUMIFS('Hisob (batafsil)'!$J$5:$J$371,'Hisob (batafsil)'!$B$5:$B$371,$A11,'Hisob (batafsil)'!$C$5:$C$371,"Logotip")</f>
        <v>0</v>
      </c>
      <c r="O11" s="50" t="n">
        <f aca="false">SUMIFS('Hisob (batafsil)'!$J$5:$J$371,'Hisob (batafsil)'!$B$5:$B$371,$A11,'Hisob (batafsil)'!$C$5:$C$371,"Matli plyonka")</f>
        <v>0</v>
      </c>
      <c r="P11" s="50" t="n">
        <f aca="false">SUMIFS('Hisob (batafsil)'!$J$5:$J$371,'Hisob (batafsil)'!$B$5:$B$371,$A11,'Hisob (batafsil)'!$C$5:$C$371,"Yong'in xavfsizligi")</f>
        <v>0</v>
      </c>
      <c r="Q11" s="50" t="n">
        <f aca="false">SUMIFS('Hisob (batafsil)'!$J$5:$J$371,'Hisob (batafsil)'!$B$5:$B$371,$A11,'Hisob (batafsil)'!$C$5:$C$371,"Buzish ishlari")</f>
        <v>0</v>
      </c>
      <c r="R11" s="50" t="n">
        <f aca="false">SUMIFS('Hisob (batafsil)'!$J$5:$J$371,'Hisob (batafsil)'!$B$5:$B$371,$A11,'Hisob (batafsil)'!$C$5:$C$371,"Santexnika")</f>
        <v>0</v>
      </c>
      <c r="S11" s="50" t="n">
        <f aca="false">SUMIFS('Hisob (batafsil)'!$J$5:$J$371,'Hisob (batafsil)'!$B$5:$B$371,$A11,'Hisob (batafsil)'!$C$5:$C$371,"Kafel")</f>
        <v>0</v>
      </c>
      <c r="T11" s="50" t="n">
        <f aca="false">SUMIFS('Hisob (batafsil)'!$J$5:$J$371,'Hisob (batafsil)'!$B$5:$B$371,$A11,'Hisob (batafsil)'!$C$5:$C$371,"Konditsioner va ventilyatsiya")</f>
        <v>0</v>
      </c>
      <c r="U11" s="50" t="n">
        <f aca="false">SUMIFS('Hisob (batafsil)'!$J$5:$J$371,'Hisob (batafsil)'!$B$5:$B$371,$A11,'Hisob (batafsil)'!$C$5:$C$371,"Mebel va interyer")</f>
        <v>0</v>
      </c>
      <c r="V11" s="50" t="n">
        <f aca="false">SUMIFS('Hisob (batafsil)'!$J$5:$J$371,'Hisob (batafsil)'!$B$5:$B$371,$A11,'Hisob (batafsil)'!$C$5:$C$371,"E'lon va e'tirof doskalari")</f>
        <v>0</v>
      </c>
      <c r="W11" s="50" t="n">
        <f aca="false">SUMIFS('Hisob (batafsil)'!$J$5:$J$371,'Hisob (batafsil)'!$B$5:$B$371,$A11,'Hisob (batafsil)'!$C$5:$C$371,"Eshiklar")</f>
        <v>150</v>
      </c>
      <c r="X11" s="50" t="n">
        <f aca="false">SUMIFS('Hisob (batafsil)'!$J$5:$J$371,'Hisob (batafsil)'!$B$5:$B$371,$A11,'Hisob (batafsil)'!$C$5:$C$371,"Internet va Wi-Fi")</f>
        <v>0</v>
      </c>
      <c r="Y11" s="50" t="n">
        <f aca="false">SUMIFS('Hisob (batafsil)'!$J$5:$J$371,'Hisob (batafsil)'!$B$5:$B$371,$A11,'Hisob (batafsil)'!$C$5:$C$371,"Elektr")</f>
        <v>0</v>
      </c>
      <c r="Z11" s="58" t="n">
        <f aca="false">C11+E11+G11+I11+K11+L11+M11+N11+O11+P11+Q11+R11+S11+T11+U11+V11+W11+X11+Y11</f>
        <v>3031.05</v>
      </c>
    </row>
    <row r="12" customFormat="false" ht="15" hidden="false" customHeight="false" outlineLevel="0" collapsed="false">
      <c r="A12" s="6" t="s">
        <v>305</v>
      </c>
      <c r="B12" s="56" t="n">
        <f aca="false">SUMIFS('Hisob (batafsil)'!$G$5:$G$371,'Hisob (batafsil)'!$B$5:$B$371,$A12,'Hisob (batafsil)'!$C$5:$C$371,"Shisha devor")</f>
        <v>6.75</v>
      </c>
      <c r="C12" s="50" t="n">
        <f aca="false">SUMIFS('Hisob (batafsil)'!$J$5:$J$371,'Hisob (batafsil)'!$B$5:$B$371,$A12,'Hisob (batafsil)'!$C$5:$C$371,"Shisha devor")</f>
        <v>371.25</v>
      </c>
      <c r="D12" s="56" t="n">
        <f aca="false">SUMIFS('Hisob (batafsil)'!$G$5:$G$371,'Hisob (batafsil)'!$B$5:$B$371,$A12,'Hisob (batafsil)'!$C$5:$C$371,"Gips karton (GKL)")</f>
        <v>22.035</v>
      </c>
      <c r="E12" s="50" t="n">
        <f aca="false">SUMIFS('Hisob (batafsil)'!$J$5:$J$371,'Hisob (batafsil)'!$B$5:$B$371,$A12,'Hisob (batafsil)'!$C$5:$C$371,"Gips karton (GKL)")</f>
        <v>264.42</v>
      </c>
      <c r="F12" s="56" t="n">
        <f aca="false">SUMIFS('Hisob (batafsil)'!$G$5:$G$371,'Hisob (batafsil)'!$B$5:$B$371,$A12,'Hisob (batafsil)'!$C$5:$C$371,"Bambuk panel")</f>
        <v>53.9</v>
      </c>
      <c r="G12" s="50" t="n">
        <f aca="false">SUMIFS('Hisob (batafsil)'!$J$5:$J$371,'Hisob (batafsil)'!$B$5:$B$371,$A12,'Hisob (batafsil)'!$C$5:$C$371,"Bambuk panel")</f>
        <v>835.45</v>
      </c>
      <c r="H12" s="57" t="n">
        <f aca="false">SUMIFS('Hisob (batafsil)'!$G$5:$G$371,'Hisob (batafsil)'!$B$5:$B$371,$A12,'Hisob (batafsil)'!$C$5:$C$371,"Interaktiv doska")</f>
        <v>1</v>
      </c>
      <c r="I12" s="50" t="n">
        <f aca="false">SUMIFS('Hisob (batafsil)'!$J$5:$J$371,'Hisob (batafsil)'!$B$5:$B$371,$A12,'Hisob (batafsil)'!$C$5:$C$371,"Interaktiv doska")</f>
        <v>1032</v>
      </c>
      <c r="J12" s="56" t="n">
        <f aca="false">SUMIFS('Hisob (batafsil)'!$G$5:$G$371,'Hisob (batafsil)'!$B$5:$B$371,$A12,'Hisob (batafsil)'!$C$5:$C$371,"Perila")</f>
        <v>0</v>
      </c>
      <c r="K12" s="50" t="n">
        <f aca="false">SUMIFS('Hisob (batafsil)'!$J$5:$J$371,'Hisob (batafsil)'!$B$5:$B$371,$A12,'Hisob (batafsil)'!$C$5:$C$371,"Perila")</f>
        <v>0</v>
      </c>
      <c r="L12" s="50" t="n">
        <f aca="false">SUMIFS('Hisob (batafsil)'!$J$5:$J$371,'Hisob (batafsil)'!$B$5:$B$371,$A12,'Hisob (batafsil)'!$C$5:$C$371,"Yoritish")</f>
        <v>168</v>
      </c>
      <c r="M12" s="50" t="n">
        <f aca="false">SUMIFS('Hisob (batafsil)'!$J$5:$J$371,'Hisob (batafsil)'!$B$5:$B$371,$A12,'Hisob (batafsil)'!$C$5:$C$371,"Kamera tizimi")</f>
        <v>0</v>
      </c>
      <c r="N12" s="50" t="n">
        <f aca="false">SUMIFS('Hisob (batafsil)'!$J$5:$J$371,'Hisob (batafsil)'!$B$5:$B$371,$A12,'Hisob (batafsil)'!$C$5:$C$371,"Logotip")</f>
        <v>0</v>
      </c>
      <c r="O12" s="50" t="n">
        <f aca="false">SUMIFS('Hisob (batafsil)'!$J$5:$J$371,'Hisob (batafsil)'!$B$5:$B$371,$A12,'Hisob (batafsil)'!$C$5:$C$371,"Matli plyonka")</f>
        <v>0</v>
      </c>
      <c r="P12" s="50" t="n">
        <f aca="false">SUMIFS('Hisob (batafsil)'!$J$5:$J$371,'Hisob (batafsil)'!$B$5:$B$371,$A12,'Hisob (batafsil)'!$C$5:$C$371,"Yong'in xavfsizligi")</f>
        <v>0</v>
      </c>
      <c r="Q12" s="50" t="n">
        <f aca="false">SUMIFS('Hisob (batafsil)'!$J$5:$J$371,'Hisob (batafsil)'!$B$5:$B$371,$A12,'Hisob (batafsil)'!$C$5:$C$371,"Buzish ishlari")</f>
        <v>0</v>
      </c>
      <c r="R12" s="50" t="n">
        <f aca="false">SUMIFS('Hisob (batafsil)'!$J$5:$J$371,'Hisob (batafsil)'!$B$5:$B$371,$A12,'Hisob (batafsil)'!$C$5:$C$371,"Santexnika")</f>
        <v>0</v>
      </c>
      <c r="S12" s="50" t="n">
        <f aca="false">SUMIFS('Hisob (batafsil)'!$J$5:$J$371,'Hisob (batafsil)'!$B$5:$B$371,$A12,'Hisob (batafsil)'!$C$5:$C$371,"Kafel")</f>
        <v>0</v>
      </c>
      <c r="T12" s="50" t="n">
        <f aca="false">SUMIFS('Hisob (batafsil)'!$J$5:$J$371,'Hisob (batafsil)'!$B$5:$B$371,$A12,'Hisob (batafsil)'!$C$5:$C$371,"Konditsioner va ventilyatsiya")</f>
        <v>0</v>
      </c>
      <c r="U12" s="50" t="n">
        <f aca="false">SUMIFS('Hisob (batafsil)'!$J$5:$J$371,'Hisob (batafsil)'!$B$5:$B$371,$A12,'Hisob (batafsil)'!$C$5:$C$371,"Mebel va interyer")</f>
        <v>0</v>
      </c>
      <c r="V12" s="50" t="n">
        <f aca="false">SUMIFS('Hisob (batafsil)'!$J$5:$J$371,'Hisob (batafsil)'!$B$5:$B$371,$A12,'Hisob (batafsil)'!$C$5:$C$371,"E'lon va e'tirof doskalari")</f>
        <v>0</v>
      </c>
      <c r="W12" s="50" t="n">
        <f aca="false">SUMIFS('Hisob (batafsil)'!$J$5:$J$371,'Hisob (batafsil)'!$B$5:$B$371,$A12,'Hisob (batafsil)'!$C$5:$C$371,"Eshiklar")</f>
        <v>150</v>
      </c>
      <c r="X12" s="50" t="n">
        <f aca="false">SUMIFS('Hisob (batafsil)'!$J$5:$J$371,'Hisob (batafsil)'!$B$5:$B$371,$A12,'Hisob (batafsil)'!$C$5:$C$371,"Internet va Wi-Fi")</f>
        <v>0</v>
      </c>
      <c r="Y12" s="50" t="n">
        <f aca="false">SUMIFS('Hisob (batafsil)'!$J$5:$J$371,'Hisob (batafsil)'!$B$5:$B$371,$A12,'Hisob (batafsil)'!$C$5:$C$371,"Elektr")</f>
        <v>0</v>
      </c>
      <c r="Z12" s="58" t="n">
        <f aca="false">C12+E12+G12+I12+K12+L12+M12+N12+O12+P12+Q12+R12+S12+T12+U12+V12+W12+X12+Y12</f>
        <v>2821.12</v>
      </c>
    </row>
    <row r="13" customFormat="false" ht="15" hidden="false" customHeight="false" outlineLevel="0" collapsed="false">
      <c r="A13" s="6" t="s">
        <v>306</v>
      </c>
      <c r="B13" s="56" t="n">
        <f aca="false">SUMIFS('Hisob (batafsil)'!$G$5:$G$371,'Hisob (batafsil)'!$B$5:$B$371,$A13,'Hisob (batafsil)'!$C$5:$C$371,"Shisha devor")</f>
        <v>14</v>
      </c>
      <c r="C13" s="50" t="n">
        <f aca="false">SUMIFS('Hisob (batafsil)'!$J$5:$J$371,'Hisob (batafsil)'!$B$5:$B$371,$A13,'Hisob (batafsil)'!$C$5:$C$371,"Shisha devor")</f>
        <v>770</v>
      </c>
      <c r="D13" s="56" t="n">
        <f aca="false">SUMIFS('Hisob (batafsil)'!$G$5:$G$371,'Hisob (batafsil)'!$B$5:$B$371,$A13,'Hisob (batafsil)'!$C$5:$C$371,"Gips karton (GKL)")</f>
        <v>35.77</v>
      </c>
      <c r="E13" s="50" t="n">
        <f aca="false">SUMIFS('Hisob (batafsil)'!$J$5:$J$371,'Hisob (batafsil)'!$B$5:$B$371,$A13,'Hisob (batafsil)'!$C$5:$C$371,"Gips karton (GKL)")</f>
        <v>429.24</v>
      </c>
      <c r="F13" s="56" t="n">
        <f aca="false">SUMIFS('Hisob (batafsil)'!$G$5:$G$371,'Hisob (batafsil)'!$B$5:$B$371,$A13,'Hisob (batafsil)'!$C$5:$C$371,"Bambuk panel")</f>
        <v>39.2</v>
      </c>
      <c r="G13" s="50" t="n">
        <f aca="false">SUMIFS('Hisob (batafsil)'!$J$5:$J$371,'Hisob (batafsil)'!$B$5:$B$371,$A13,'Hisob (batafsil)'!$C$5:$C$371,"Bambuk panel")</f>
        <v>607.6</v>
      </c>
      <c r="H13" s="57" t="n">
        <f aca="false">SUMIFS('Hisob (batafsil)'!$G$5:$G$371,'Hisob (batafsil)'!$B$5:$B$371,$A13,'Hisob (batafsil)'!$C$5:$C$371,"Interaktiv doska")</f>
        <v>1</v>
      </c>
      <c r="I13" s="50" t="n">
        <f aca="false">SUMIFS('Hisob (batafsil)'!$J$5:$J$371,'Hisob (batafsil)'!$B$5:$B$371,$A13,'Hisob (batafsil)'!$C$5:$C$371,"Interaktiv doska")</f>
        <v>1032</v>
      </c>
      <c r="J13" s="56" t="n">
        <f aca="false">SUMIFS('Hisob (batafsil)'!$G$5:$G$371,'Hisob (batafsil)'!$B$5:$B$371,$A13,'Hisob (batafsil)'!$C$5:$C$371,"Perila")</f>
        <v>0</v>
      </c>
      <c r="K13" s="50" t="n">
        <f aca="false">SUMIFS('Hisob (batafsil)'!$J$5:$J$371,'Hisob (batafsil)'!$B$5:$B$371,$A13,'Hisob (batafsil)'!$C$5:$C$371,"Perila")</f>
        <v>0</v>
      </c>
      <c r="L13" s="50" t="n">
        <f aca="false">SUMIFS('Hisob (batafsil)'!$J$5:$J$371,'Hisob (batafsil)'!$B$5:$B$371,$A13,'Hisob (batafsil)'!$C$5:$C$371,"Yoritish")</f>
        <v>168</v>
      </c>
      <c r="M13" s="50" t="n">
        <f aca="false">SUMIFS('Hisob (batafsil)'!$J$5:$J$371,'Hisob (batafsil)'!$B$5:$B$371,$A13,'Hisob (batafsil)'!$C$5:$C$371,"Kamera tizimi")</f>
        <v>0</v>
      </c>
      <c r="N13" s="50" t="n">
        <f aca="false">SUMIFS('Hisob (batafsil)'!$J$5:$J$371,'Hisob (batafsil)'!$B$5:$B$371,$A13,'Hisob (batafsil)'!$C$5:$C$371,"Logotip")</f>
        <v>0</v>
      </c>
      <c r="O13" s="50" t="n">
        <f aca="false">SUMIFS('Hisob (batafsil)'!$J$5:$J$371,'Hisob (batafsil)'!$B$5:$B$371,$A13,'Hisob (batafsil)'!$C$5:$C$371,"Matli plyonka")</f>
        <v>0</v>
      </c>
      <c r="P13" s="50" t="n">
        <f aca="false">SUMIFS('Hisob (batafsil)'!$J$5:$J$371,'Hisob (batafsil)'!$B$5:$B$371,$A13,'Hisob (batafsil)'!$C$5:$C$371,"Yong'in xavfsizligi")</f>
        <v>0</v>
      </c>
      <c r="Q13" s="50" t="n">
        <f aca="false">SUMIFS('Hisob (batafsil)'!$J$5:$J$371,'Hisob (batafsil)'!$B$5:$B$371,$A13,'Hisob (batafsil)'!$C$5:$C$371,"Buzish ishlari")</f>
        <v>0</v>
      </c>
      <c r="R13" s="50" t="n">
        <f aca="false">SUMIFS('Hisob (batafsil)'!$J$5:$J$371,'Hisob (batafsil)'!$B$5:$B$371,$A13,'Hisob (batafsil)'!$C$5:$C$371,"Santexnika")</f>
        <v>0</v>
      </c>
      <c r="S13" s="50" t="n">
        <f aca="false">SUMIFS('Hisob (batafsil)'!$J$5:$J$371,'Hisob (batafsil)'!$B$5:$B$371,$A13,'Hisob (batafsil)'!$C$5:$C$371,"Kafel")</f>
        <v>0</v>
      </c>
      <c r="T13" s="50" t="n">
        <f aca="false">SUMIFS('Hisob (batafsil)'!$J$5:$J$371,'Hisob (batafsil)'!$B$5:$B$371,$A13,'Hisob (batafsil)'!$C$5:$C$371,"Konditsioner va ventilyatsiya")</f>
        <v>0</v>
      </c>
      <c r="U13" s="50" t="n">
        <f aca="false">SUMIFS('Hisob (batafsil)'!$J$5:$J$371,'Hisob (batafsil)'!$B$5:$B$371,$A13,'Hisob (batafsil)'!$C$5:$C$371,"Mebel va interyer")</f>
        <v>0</v>
      </c>
      <c r="V13" s="50" t="n">
        <f aca="false">SUMIFS('Hisob (batafsil)'!$J$5:$J$371,'Hisob (batafsil)'!$B$5:$B$371,$A13,'Hisob (batafsil)'!$C$5:$C$371,"E'lon va e'tirof doskalari")</f>
        <v>0</v>
      </c>
      <c r="W13" s="50" t="n">
        <f aca="false">SUMIFS('Hisob (batafsil)'!$J$5:$J$371,'Hisob (batafsil)'!$B$5:$B$371,$A13,'Hisob (batafsil)'!$C$5:$C$371,"Eshiklar")</f>
        <v>150</v>
      </c>
      <c r="X13" s="50" t="n">
        <f aca="false">SUMIFS('Hisob (batafsil)'!$J$5:$J$371,'Hisob (batafsil)'!$B$5:$B$371,$A13,'Hisob (batafsil)'!$C$5:$C$371,"Internet va Wi-Fi")</f>
        <v>0</v>
      </c>
      <c r="Y13" s="50" t="n">
        <f aca="false">SUMIFS('Hisob (batafsil)'!$J$5:$J$371,'Hisob (batafsil)'!$B$5:$B$371,$A13,'Hisob (batafsil)'!$C$5:$C$371,"Elektr")</f>
        <v>0</v>
      </c>
      <c r="Z13" s="58" t="n">
        <f aca="false">C13+E13+G13+I13+K13+L13+M13+N13+O13+P13+Q13+R13+S13+T13+U13+V13+W13+X13+Y13</f>
        <v>3156.84</v>
      </c>
    </row>
    <row r="14" customFormat="false" ht="15" hidden="false" customHeight="false" outlineLevel="0" collapsed="false">
      <c r="A14" s="6" t="s">
        <v>307</v>
      </c>
      <c r="B14" s="56" t="n">
        <f aca="false">SUMIFS('Hisob (batafsil)'!$G$5:$G$371,'Hisob (batafsil)'!$B$5:$B$371,$A14,'Hisob (batafsil)'!$C$5:$C$371,"Shisha devor")</f>
        <v>6.75</v>
      </c>
      <c r="C14" s="50" t="n">
        <f aca="false">SUMIFS('Hisob (batafsil)'!$J$5:$J$371,'Hisob (batafsil)'!$B$5:$B$371,$A14,'Hisob (batafsil)'!$C$5:$C$371,"Shisha devor")</f>
        <v>371.25</v>
      </c>
      <c r="D14" s="56" t="n">
        <f aca="false">SUMIFS('Hisob (batafsil)'!$G$5:$G$371,'Hisob (batafsil)'!$B$5:$B$371,$A14,'Hisob (batafsil)'!$C$5:$C$371,"Gips karton (GKL)")</f>
        <v>23</v>
      </c>
      <c r="E14" s="50" t="n">
        <f aca="false">SUMIFS('Hisob (batafsil)'!$J$5:$J$371,'Hisob (batafsil)'!$B$5:$B$371,$A14,'Hisob (batafsil)'!$C$5:$C$371,"Gips karton (GKL)")</f>
        <v>276</v>
      </c>
      <c r="F14" s="56" t="n">
        <f aca="false">SUMIFS('Hisob (batafsil)'!$G$5:$G$371,'Hisob (batafsil)'!$B$5:$B$371,$A14,'Hisob (batafsil)'!$C$5:$C$371,"Bambuk panel")</f>
        <v>53.9</v>
      </c>
      <c r="G14" s="50" t="n">
        <f aca="false">SUMIFS('Hisob (batafsil)'!$J$5:$J$371,'Hisob (batafsil)'!$B$5:$B$371,$A14,'Hisob (batafsil)'!$C$5:$C$371,"Bambuk panel")</f>
        <v>835.45</v>
      </c>
      <c r="H14" s="57" t="n">
        <f aca="false">SUMIFS('Hisob (batafsil)'!$G$5:$G$371,'Hisob (batafsil)'!$B$5:$B$371,$A14,'Hisob (batafsil)'!$C$5:$C$371,"Interaktiv doska")</f>
        <v>1</v>
      </c>
      <c r="I14" s="50" t="n">
        <f aca="false">SUMIFS('Hisob (batafsil)'!$J$5:$J$371,'Hisob (batafsil)'!$B$5:$B$371,$A14,'Hisob (batafsil)'!$C$5:$C$371,"Interaktiv doska")</f>
        <v>1032</v>
      </c>
      <c r="J14" s="56" t="n">
        <f aca="false">SUMIFS('Hisob (batafsil)'!$G$5:$G$371,'Hisob (batafsil)'!$B$5:$B$371,$A14,'Hisob (batafsil)'!$C$5:$C$371,"Perila")</f>
        <v>0</v>
      </c>
      <c r="K14" s="50" t="n">
        <f aca="false">SUMIFS('Hisob (batafsil)'!$J$5:$J$371,'Hisob (batafsil)'!$B$5:$B$371,$A14,'Hisob (batafsil)'!$C$5:$C$371,"Perila")</f>
        <v>0</v>
      </c>
      <c r="L14" s="50" t="n">
        <f aca="false">SUMIFS('Hisob (batafsil)'!$J$5:$J$371,'Hisob (batafsil)'!$B$5:$B$371,$A14,'Hisob (batafsil)'!$C$5:$C$371,"Yoritish")</f>
        <v>168</v>
      </c>
      <c r="M14" s="50" t="n">
        <f aca="false">SUMIFS('Hisob (batafsil)'!$J$5:$J$371,'Hisob (batafsil)'!$B$5:$B$371,$A14,'Hisob (batafsil)'!$C$5:$C$371,"Kamera tizimi")</f>
        <v>0</v>
      </c>
      <c r="N14" s="50" t="n">
        <f aca="false">SUMIFS('Hisob (batafsil)'!$J$5:$J$371,'Hisob (batafsil)'!$B$5:$B$371,$A14,'Hisob (batafsil)'!$C$5:$C$371,"Logotip")</f>
        <v>0</v>
      </c>
      <c r="O14" s="50" t="n">
        <f aca="false">SUMIFS('Hisob (batafsil)'!$J$5:$J$371,'Hisob (batafsil)'!$B$5:$B$371,$A14,'Hisob (batafsil)'!$C$5:$C$371,"Matli plyonka")</f>
        <v>0</v>
      </c>
      <c r="P14" s="50" t="n">
        <f aca="false">SUMIFS('Hisob (batafsil)'!$J$5:$J$371,'Hisob (batafsil)'!$B$5:$B$371,$A14,'Hisob (batafsil)'!$C$5:$C$371,"Yong'in xavfsizligi")</f>
        <v>0</v>
      </c>
      <c r="Q14" s="50" t="n">
        <f aca="false">SUMIFS('Hisob (batafsil)'!$J$5:$J$371,'Hisob (batafsil)'!$B$5:$B$371,$A14,'Hisob (batafsil)'!$C$5:$C$371,"Buzish ishlari")</f>
        <v>0</v>
      </c>
      <c r="R14" s="50" t="n">
        <f aca="false">SUMIFS('Hisob (batafsil)'!$J$5:$J$371,'Hisob (batafsil)'!$B$5:$B$371,$A14,'Hisob (batafsil)'!$C$5:$C$371,"Santexnika")</f>
        <v>0</v>
      </c>
      <c r="S14" s="50" t="n">
        <f aca="false">SUMIFS('Hisob (batafsil)'!$J$5:$J$371,'Hisob (batafsil)'!$B$5:$B$371,$A14,'Hisob (batafsil)'!$C$5:$C$371,"Kafel")</f>
        <v>0</v>
      </c>
      <c r="T14" s="50" t="n">
        <f aca="false">SUMIFS('Hisob (batafsil)'!$J$5:$J$371,'Hisob (batafsil)'!$B$5:$B$371,$A14,'Hisob (batafsil)'!$C$5:$C$371,"Konditsioner va ventilyatsiya")</f>
        <v>0</v>
      </c>
      <c r="U14" s="50" t="n">
        <f aca="false">SUMIFS('Hisob (batafsil)'!$J$5:$J$371,'Hisob (batafsil)'!$B$5:$B$371,$A14,'Hisob (batafsil)'!$C$5:$C$371,"Mebel va interyer")</f>
        <v>0</v>
      </c>
      <c r="V14" s="50" t="n">
        <f aca="false">SUMIFS('Hisob (batafsil)'!$J$5:$J$371,'Hisob (batafsil)'!$B$5:$B$371,$A14,'Hisob (batafsil)'!$C$5:$C$371,"E'lon va e'tirof doskalari")</f>
        <v>0</v>
      </c>
      <c r="W14" s="50" t="n">
        <f aca="false">SUMIFS('Hisob (batafsil)'!$J$5:$J$371,'Hisob (batafsil)'!$B$5:$B$371,$A14,'Hisob (batafsil)'!$C$5:$C$371,"Eshiklar")</f>
        <v>150</v>
      </c>
      <c r="X14" s="50" t="n">
        <f aca="false">SUMIFS('Hisob (batafsil)'!$J$5:$J$371,'Hisob (batafsil)'!$B$5:$B$371,$A14,'Hisob (batafsil)'!$C$5:$C$371,"Internet va Wi-Fi")</f>
        <v>0</v>
      </c>
      <c r="Y14" s="50" t="n">
        <f aca="false">SUMIFS('Hisob (batafsil)'!$J$5:$J$371,'Hisob (batafsil)'!$B$5:$B$371,$A14,'Hisob (batafsil)'!$C$5:$C$371,"Elektr")</f>
        <v>0</v>
      </c>
      <c r="Z14" s="58" t="n">
        <f aca="false">C14+E14+G14+I14+K14+L14+M14+N14+O14+P14+Q14+R14+S14+T14+U14+V14+W14+X14+Y14</f>
        <v>2832.7</v>
      </c>
    </row>
    <row r="15" customFormat="false" ht="15" hidden="false" customHeight="false" outlineLevel="0" collapsed="false">
      <c r="A15" s="6" t="s">
        <v>308</v>
      </c>
      <c r="B15" s="56" t="n">
        <f aca="false">SUMIFS('Hisob (batafsil)'!$G$5:$G$371,'Hisob (batafsil)'!$B$5:$B$371,$A15,'Hisob (batafsil)'!$C$5:$C$371,"Shisha devor")</f>
        <v>14</v>
      </c>
      <c r="C15" s="50" t="n">
        <f aca="false">SUMIFS('Hisob (batafsil)'!$J$5:$J$371,'Hisob (batafsil)'!$B$5:$B$371,$A15,'Hisob (batafsil)'!$C$5:$C$371,"Shisha devor")</f>
        <v>770</v>
      </c>
      <c r="D15" s="56" t="n">
        <f aca="false">SUMIFS('Hisob (batafsil)'!$G$5:$G$371,'Hisob (batafsil)'!$B$5:$B$371,$A15,'Hisob (batafsil)'!$C$5:$C$371,"Gips karton (GKL)")</f>
        <v>25.55</v>
      </c>
      <c r="E15" s="50" t="n">
        <f aca="false">SUMIFS('Hisob (batafsil)'!$J$5:$J$371,'Hisob (batafsil)'!$B$5:$B$371,$A15,'Hisob (batafsil)'!$C$5:$C$371,"Gips karton (GKL)")</f>
        <v>306.6</v>
      </c>
      <c r="F15" s="56" t="n">
        <f aca="false">SUMIFS('Hisob (batafsil)'!$G$5:$G$371,'Hisob (batafsil)'!$B$5:$B$371,$A15,'Hisob (batafsil)'!$C$5:$C$371,"Bambuk panel")</f>
        <v>53.9</v>
      </c>
      <c r="G15" s="50" t="n">
        <f aca="false">SUMIFS('Hisob (batafsil)'!$J$5:$J$371,'Hisob (batafsil)'!$B$5:$B$371,$A15,'Hisob (batafsil)'!$C$5:$C$371,"Bambuk panel")</f>
        <v>835.45</v>
      </c>
      <c r="H15" s="57" t="n">
        <f aca="false">SUMIFS('Hisob (batafsil)'!$G$5:$G$371,'Hisob (batafsil)'!$B$5:$B$371,$A15,'Hisob (batafsil)'!$C$5:$C$371,"Interaktiv doska")</f>
        <v>1</v>
      </c>
      <c r="I15" s="50" t="n">
        <f aca="false">SUMIFS('Hisob (batafsil)'!$J$5:$J$371,'Hisob (batafsil)'!$B$5:$B$371,$A15,'Hisob (batafsil)'!$C$5:$C$371,"Interaktiv doska")</f>
        <v>1032</v>
      </c>
      <c r="J15" s="56" t="n">
        <f aca="false">SUMIFS('Hisob (batafsil)'!$G$5:$G$371,'Hisob (batafsil)'!$B$5:$B$371,$A15,'Hisob (batafsil)'!$C$5:$C$371,"Perila")</f>
        <v>0</v>
      </c>
      <c r="K15" s="50" t="n">
        <f aca="false">SUMIFS('Hisob (batafsil)'!$J$5:$J$371,'Hisob (batafsil)'!$B$5:$B$371,$A15,'Hisob (batafsil)'!$C$5:$C$371,"Perila")</f>
        <v>0</v>
      </c>
      <c r="L15" s="50" t="n">
        <f aca="false">SUMIFS('Hisob (batafsil)'!$J$5:$J$371,'Hisob (batafsil)'!$B$5:$B$371,$A15,'Hisob (batafsil)'!$C$5:$C$371,"Yoritish")</f>
        <v>168</v>
      </c>
      <c r="M15" s="50" t="n">
        <f aca="false">SUMIFS('Hisob (batafsil)'!$J$5:$J$371,'Hisob (batafsil)'!$B$5:$B$371,$A15,'Hisob (batafsil)'!$C$5:$C$371,"Kamera tizimi")</f>
        <v>0</v>
      </c>
      <c r="N15" s="50" t="n">
        <f aca="false">SUMIFS('Hisob (batafsil)'!$J$5:$J$371,'Hisob (batafsil)'!$B$5:$B$371,$A15,'Hisob (batafsil)'!$C$5:$C$371,"Logotip")</f>
        <v>0</v>
      </c>
      <c r="O15" s="50" t="n">
        <f aca="false">SUMIFS('Hisob (batafsil)'!$J$5:$J$371,'Hisob (batafsil)'!$B$5:$B$371,$A15,'Hisob (batafsil)'!$C$5:$C$371,"Matli plyonka")</f>
        <v>0</v>
      </c>
      <c r="P15" s="50" t="n">
        <f aca="false">SUMIFS('Hisob (batafsil)'!$J$5:$J$371,'Hisob (batafsil)'!$B$5:$B$371,$A15,'Hisob (batafsil)'!$C$5:$C$371,"Yong'in xavfsizligi")</f>
        <v>0</v>
      </c>
      <c r="Q15" s="50" t="n">
        <f aca="false">SUMIFS('Hisob (batafsil)'!$J$5:$J$371,'Hisob (batafsil)'!$B$5:$B$371,$A15,'Hisob (batafsil)'!$C$5:$C$371,"Buzish ishlari")</f>
        <v>0</v>
      </c>
      <c r="R15" s="50" t="n">
        <f aca="false">SUMIFS('Hisob (batafsil)'!$J$5:$J$371,'Hisob (batafsil)'!$B$5:$B$371,$A15,'Hisob (batafsil)'!$C$5:$C$371,"Santexnika")</f>
        <v>0</v>
      </c>
      <c r="S15" s="50" t="n">
        <f aca="false">SUMIFS('Hisob (batafsil)'!$J$5:$J$371,'Hisob (batafsil)'!$B$5:$B$371,$A15,'Hisob (batafsil)'!$C$5:$C$371,"Kafel")</f>
        <v>0</v>
      </c>
      <c r="T15" s="50" t="n">
        <f aca="false">SUMIFS('Hisob (batafsil)'!$J$5:$J$371,'Hisob (batafsil)'!$B$5:$B$371,$A15,'Hisob (batafsil)'!$C$5:$C$371,"Konditsioner va ventilyatsiya")</f>
        <v>0</v>
      </c>
      <c r="U15" s="50" t="n">
        <f aca="false">SUMIFS('Hisob (batafsil)'!$J$5:$J$371,'Hisob (batafsil)'!$B$5:$B$371,$A15,'Hisob (batafsil)'!$C$5:$C$371,"Mebel va interyer")</f>
        <v>0</v>
      </c>
      <c r="V15" s="50" t="n">
        <f aca="false">SUMIFS('Hisob (batafsil)'!$J$5:$J$371,'Hisob (batafsil)'!$B$5:$B$371,$A15,'Hisob (batafsil)'!$C$5:$C$371,"E'lon va e'tirof doskalari")</f>
        <v>0</v>
      </c>
      <c r="W15" s="50" t="n">
        <f aca="false">SUMIFS('Hisob (batafsil)'!$J$5:$J$371,'Hisob (batafsil)'!$B$5:$B$371,$A15,'Hisob (batafsil)'!$C$5:$C$371,"Eshiklar")</f>
        <v>150</v>
      </c>
      <c r="X15" s="50" t="n">
        <f aca="false">SUMIFS('Hisob (batafsil)'!$J$5:$J$371,'Hisob (batafsil)'!$B$5:$B$371,$A15,'Hisob (batafsil)'!$C$5:$C$371,"Internet va Wi-Fi")</f>
        <v>0</v>
      </c>
      <c r="Y15" s="50" t="n">
        <f aca="false">SUMIFS('Hisob (batafsil)'!$J$5:$J$371,'Hisob (batafsil)'!$B$5:$B$371,$A15,'Hisob (batafsil)'!$C$5:$C$371,"Elektr")</f>
        <v>0</v>
      </c>
      <c r="Z15" s="58" t="n">
        <f aca="false">C15+E15+G15+I15+K15+L15+M15+N15+O15+P15+Q15+R15+S15+T15+U15+V15+W15+X15+Y15</f>
        <v>3262.05</v>
      </c>
    </row>
    <row r="16" customFormat="false" ht="15" hidden="false" customHeight="false" outlineLevel="0" collapsed="false">
      <c r="A16" s="6" t="s">
        <v>309</v>
      </c>
      <c r="B16" s="56" t="n">
        <f aca="false">SUMIFS('Hisob (batafsil)'!$G$5:$G$371,'Hisob (batafsil)'!$B$5:$B$371,$A16,'Hisob (batafsil)'!$C$5:$C$371,"Shisha devor")</f>
        <v>14</v>
      </c>
      <c r="C16" s="50" t="n">
        <f aca="false">SUMIFS('Hisob (batafsil)'!$J$5:$J$371,'Hisob (batafsil)'!$B$5:$B$371,$A16,'Hisob (batafsil)'!$C$5:$C$371,"Shisha devor")</f>
        <v>770</v>
      </c>
      <c r="D16" s="56" t="n">
        <f aca="false">SUMIFS('Hisob (batafsil)'!$G$5:$G$371,'Hisob (batafsil)'!$B$5:$B$371,$A16,'Hisob (batafsil)'!$C$5:$C$371,"Gips karton (GKL)")</f>
        <v>30.45</v>
      </c>
      <c r="E16" s="50" t="n">
        <f aca="false">SUMIFS('Hisob (batafsil)'!$J$5:$J$371,'Hisob (batafsil)'!$B$5:$B$371,$A16,'Hisob (batafsil)'!$C$5:$C$371,"Gips karton (GKL)")</f>
        <v>365.4</v>
      </c>
      <c r="F16" s="56" t="n">
        <f aca="false">SUMIFS('Hisob (batafsil)'!$G$5:$G$371,'Hisob (batafsil)'!$B$5:$B$371,$A16,'Hisob (batafsil)'!$C$5:$C$371,"Bambuk panel")</f>
        <v>53.9</v>
      </c>
      <c r="G16" s="50" t="n">
        <f aca="false">SUMIFS('Hisob (batafsil)'!$J$5:$J$371,'Hisob (batafsil)'!$B$5:$B$371,$A16,'Hisob (batafsil)'!$C$5:$C$371,"Bambuk panel")</f>
        <v>835.45</v>
      </c>
      <c r="H16" s="57" t="n">
        <f aca="false">SUMIFS('Hisob (batafsil)'!$G$5:$G$371,'Hisob (batafsil)'!$B$5:$B$371,$A16,'Hisob (batafsil)'!$C$5:$C$371,"Interaktiv doska")</f>
        <v>1</v>
      </c>
      <c r="I16" s="50" t="n">
        <f aca="false">SUMIFS('Hisob (batafsil)'!$J$5:$J$371,'Hisob (batafsil)'!$B$5:$B$371,$A16,'Hisob (batafsil)'!$C$5:$C$371,"Interaktiv doska")</f>
        <v>1032</v>
      </c>
      <c r="J16" s="56" t="n">
        <f aca="false">SUMIFS('Hisob (batafsil)'!$G$5:$G$371,'Hisob (batafsil)'!$B$5:$B$371,$A16,'Hisob (batafsil)'!$C$5:$C$371,"Perila")</f>
        <v>0</v>
      </c>
      <c r="K16" s="50" t="n">
        <f aca="false">SUMIFS('Hisob (batafsil)'!$J$5:$J$371,'Hisob (batafsil)'!$B$5:$B$371,$A16,'Hisob (batafsil)'!$C$5:$C$371,"Perila")</f>
        <v>0</v>
      </c>
      <c r="L16" s="50" t="n">
        <f aca="false">SUMIFS('Hisob (batafsil)'!$J$5:$J$371,'Hisob (batafsil)'!$B$5:$B$371,$A16,'Hisob (batafsil)'!$C$5:$C$371,"Yoritish")</f>
        <v>168</v>
      </c>
      <c r="M16" s="50" t="n">
        <f aca="false">SUMIFS('Hisob (batafsil)'!$J$5:$J$371,'Hisob (batafsil)'!$B$5:$B$371,$A16,'Hisob (batafsil)'!$C$5:$C$371,"Kamera tizimi")</f>
        <v>0</v>
      </c>
      <c r="N16" s="50" t="n">
        <f aca="false">SUMIFS('Hisob (batafsil)'!$J$5:$J$371,'Hisob (batafsil)'!$B$5:$B$371,$A16,'Hisob (batafsil)'!$C$5:$C$371,"Logotip")</f>
        <v>0</v>
      </c>
      <c r="O16" s="50" t="n">
        <f aca="false">SUMIFS('Hisob (batafsil)'!$J$5:$J$371,'Hisob (batafsil)'!$B$5:$B$371,$A16,'Hisob (batafsil)'!$C$5:$C$371,"Matli plyonka")</f>
        <v>0</v>
      </c>
      <c r="P16" s="50" t="n">
        <f aca="false">SUMIFS('Hisob (batafsil)'!$J$5:$J$371,'Hisob (batafsil)'!$B$5:$B$371,$A16,'Hisob (batafsil)'!$C$5:$C$371,"Yong'in xavfsizligi")</f>
        <v>0</v>
      </c>
      <c r="Q16" s="50" t="n">
        <f aca="false">SUMIFS('Hisob (batafsil)'!$J$5:$J$371,'Hisob (batafsil)'!$B$5:$B$371,$A16,'Hisob (batafsil)'!$C$5:$C$371,"Buzish ishlari")</f>
        <v>0</v>
      </c>
      <c r="R16" s="50" t="n">
        <f aca="false">SUMIFS('Hisob (batafsil)'!$J$5:$J$371,'Hisob (batafsil)'!$B$5:$B$371,$A16,'Hisob (batafsil)'!$C$5:$C$371,"Santexnika")</f>
        <v>0</v>
      </c>
      <c r="S16" s="50" t="n">
        <f aca="false">SUMIFS('Hisob (batafsil)'!$J$5:$J$371,'Hisob (batafsil)'!$B$5:$B$371,$A16,'Hisob (batafsil)'!$C$5:$C$371,"Kafel")</f>
        <v>0</v>
      </c>
      <c r="T16" s="50" t="n">
        <f aca="false">SUMIFS('Hisob (batafsil)'!$J$5:$J$371,'Hisob (batafsil)'!$B$5:$B$371,$A16,'Hisob (batafsil)'!$C$5:$C$371,"Konditsioner va ventilyatsiya")</f>
        <v>0</v>
      </c>
      <c r="U16" s="50" t="n">
        <f aca="false">SUMIFS('Hisob (batafsil)'!$J$5:$J$371,'Hisob (batafsil)'!$B$5:$B$371,$A16,'Hisob (batafsil)'!$C$5:$C$371,"Mebel va interyer")</f>
        <v>0</v>
      </c>
      <c r="V16" s="50" t="n">
        <f aca="false">SUMIFS('Hisob (batafsil)'!$J$5:$J$371,'Hisob (batafsil)'!$B$5:$B$371,$A16,'Hisob (batafsil)'!$C$5:$C$371,"E'lon va e'tirof doskalari")</f>
        <v>0</v>
      </c>
      <c r="W16" s="50" t="n">
        <f aca="false">SUMIFS('Hisob (batafsil)'!$J$5:$J$371,'Hisob (batafsil)'!$B$5:$B$371,$A16,'Hisob (batafsil)'!$C$5:$C$371,"Eshiklar")</f>
        <v>150</v>
      </c>
      <c r="X16" s="50" t="n">
        <f aca="false">SUMIFS('Hisob (batafsil)'!$J$5:$J$371,'Hisob (batafsil)'!$B$5:$B$371,$A16,'Hisob (batafsil)'!$C$5:$C$371,"Internet va Wi-Fi")</f>
        <v>0</v>
      </c>
      <c r="Y16" s="50" t="n">
        <f aca="false">SUMIFS('Hisob (batafsil)'!$J$5:$J$371,'Hisob (batafsil)'!$B$5:$B$371,$A16,'Hisob (batafsil)'!$C$5:$C$371,"Elektr")</f>
        <v>0</v>
      </c>
      <c r="Z16" s="58" t="n">
        <f aca="false">C16+E16+G16+I16+K16+L16+M16+N16+O16+P16+Q16+R16+S16+T16+U16+V16+W16+X16+Y16</f>
        <v>3320.85</v>
      </c>
    </row>
    <row r="17" customFormat="false" ht="15" hidden="false" customHeight="false" outlineLevel="0" collapsed="false">
      <c r="A17" s="11" t="s">
        <v>310</v>
      </c>
      <c r="B17" s="59" t="n">
        <f aca="false">SUM(B10:B16)</f>
        <v>83.25</v>
      </c>
      <c r="C17" s="41" t="n">
        <f aca="false">SUM(C10:C16)</f>
        <v>4578.75</v>
      </c>
      <c r="D17" s="59" t="n">
        <f aca="false">SUM(D10:D16)</f>
        <v>150.355</v>
      </c>
      <c r="E17" s="41" t="n">
        <f aca="false">SUM(E10:E16)</f>
        <v>1804.26</v>
      </c>
      <c r="F17" s="59" t="n">
        <f aca="false">SUM(F10:F16)</f>
        <v>362.6</v>
      </c>
      <c r="G17" s="41" t="n">
        <f aca="false">SUM(G10:G16)</f>
        <v>5620.3</v>
      </c>
      <c r="H17" s="60" t="n">
        <f aca="false">SUM(H10:H16)</f>
        <v>7</v>
      </c>
      <c r="I17" s="41" t="n">
        <f aca="false">SUM(I10:I16)</f>
        <v>7224</v>
      </c>
      <c r="J17" s="59" t="n">
        <f aca="false">SUM(J10:J16)</f>
        <v>0</v>
      </c>
      <c r="K17" s="41" t="n">
        <f aca="false">SUM(K10:K16)</f>
        <v>0</v>
      </c>
      <c r="L17" s="41" t="n">
        <f aca="false">SUM(L10:L16)</f>
        <v>1176</v>
      </c>
      <c r="M17" s="41" t="n">
        <f aca="false">SUM(M10:M16)</f>
        <v>0</v>
      </c>
      <c r="N17" s="41" t="n">
        <f aca="false">SUM(N10:N16)</f>
        <v>0</v>
      </c>
      <c r="O17" s="41" t="n">
        <f aca="false">SUM(O10:O16)</f>
        <v>0</v>
      </c>
      <c r="P17" s="41" t="n">
        <f aca="false">SUM(P10:P16)</f>
        <v>0</v>
      </c>
      <c r="Q17" s="41" t="n">
        <f aca="false">SUM(Q10:Q16)</f>
        <v>0</v>
      </c>
      <c r="R17" s="41" t="n">
        <f aca="false">SUM(R10:R16)</f>
        <v>0</v>
      </c>
      <c r="S17" s="41" t="n">
        <f aca="false">SUM(S10:S16)</f>
        <v>0</v>
      </c>
      <c r="T17" s="41" t="n">
        <f aca="false">SUM(T10:T16)</f>
        <v>0</v>
      </c>
      <c r="U17" s="41" t="n">
        <f aca="false">SUM(U10:U16)</f>
        <v>0</v>
      </c>
      <c r="V17" s="41" t="n">
        <f aca="false">SUM(V10:V16)</f>
        <v>0</v>
      </c>
      <c r="W17" s="41" t="n">
        <f aca="false">SUM(W10:W16)</f>
        <v>1050</v>
      </c>
      <c r="X17" s="41" t="n">
        <f aca="false">SUM(X10:X16)</f>
        <v>0</v>
      </c>
      <c r="Y17" s="41" t="n">
        <f aca="false">SUM(Y10:Y16)</f>
        <v>0</v>
      </c>
      <c r="Z17" s="41" t="n">
        <f aca="false">SUM(Z10:Z16)</f>
        <v>21453.31</v>
      </c>
    </row>
    <row r="19" customFormat="false" ht="15" hidden="false" customHeight="false" outlineLevel="0" collapsed="false">
      <c r="A19" s="54" t="s">
        <v>34</v>
      </c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</row>
    <row r="20" customFormat="false" ht="15" hidden="false" customHeight="false" outlineLevel="0" collapsed="false">
      <c r="A20" s="6" t="s">
        <v>311</v>
      </c>
      <c r="B20" s="56" t="n">
        <f aca="false">SUMIFS('Hisob (batafsil)'!$G$5:$G$371,'Hisob (batafsil)'!$B$5:$B$371,$A20,'Hisob (batafsil)'!$C$5:$C$371,"Shisha devor")</f>
        <v>13.875</v>
      </c>
      <c r="C20" s="50" t="n">
        <f aca="false">SUMIFS('Hisob (batafsil)'!$J$5:$J$371,'Hisob (batafsil)'!$B$5:$B$371,$A20,'Hisob (batafsil)'!$C$5:$C$371,"Shisha devor")</f>
        <v>763.125</v>
      </c>
      <c r="D20" s="56" t="n">
        <f aca="false">SUMIFS('Hisob (batafsil)'!$G$5:$G$371,'Hisob (batafsil)'!$B$5:$B$371,$A20,'Hisob (batafsil)'!$C$5:$C$371,"Gips karton (GKL)")</f>
        <v>6.075</v>
      </c>
      <c r="E20" s="50" t="n">
        <f aca="false">SUMIFS('Hisob (batafsil)'!$J$5:$J$371,'Hisob (batafsil)'!$B$5:$B$371,$A20,'Hisob (batafsil)'!$C$5:$C$371,"Gips karton (GKL)")</f>
        <v>72.9</v>
      </c>
      <c r="F20" s="56" t="n">
        <f aca="false">SUMIFS('Hisob (batafsil)'!$G$5:$G$371,'Hisob (batafsil)'!$B$5:$B$371,$A20,'Hisob (batafsil)'!$C$5:$C$371,"Bambuk panel")</f>
        <v>18.2</v>
      </c>
      <c r="G20" s="50" t="n">
        <f aca="false">SUMIFS('Hisob (batafsil)'!$J$5:$J$371,'Hisob (batafsil)'!$B$5:$B$371,$A20,'Hisob (batafsil)'!$C$5:$C$371,"Bambuk panel")</f>
        <v>282.1</v>
      </c>
      <c r="H20" s="57" t="n">
        <f aca="false">SUMIFS('Hisob (batafsil)'!$G$5:$G$371,'Hisob (batafsil)'!$B$5:$B$371,$A20,'Hisob (batafsil)'!$C$5:$C$371,"Interaktiv doska")</f>
        <v>0</v>
      </c>
      <c r="I20" s="50" t="n">
        <f aca="false">SUMIFS('Hisob (batafsil)'!$J$5:$J$371,'Hisob (batafsil)'!$B$5:$B$371,$A20,'Hisob (batafsil)'!$C$5:$C$371,"Interaktiv doska")</f>
        <v>0</v>
      </c>
      <c r="J20" s="56" t="n">
        <f aca="false">SUMIFS('Hisob (batafsil)'!$G$5:$G$371,'Hisob (batafsil)'!$B$5:$B$371,$A20,'Hisob (batafsil)'!$C$5:$C$371,"Perila")</f>
        <v>0</v>
      </c>
      <c r="K20" s="50" t="n">
        <f aca="false">SUMIFS('Hisob (batafsil)'!$J$5:$J$371,'Hisob (batafsil)'!$B$5:$B$371,$A20,'Hisob (batafsil)'!$C$5:$C$371,"Perila")</f>
        <v>0</v>
      </c>
      <c r="L20" s="50" t="n">
        <f aca="false">SUMIFS('Hisob (batafsil)'!$J$5:$J$371,'Hisob (batafsil)'!$B$5:$B$371,$A20,'Hisob (batafsil)'!$C$5:$C$371,"Yoritish")</f>
        <v>168</v>
      </c>
      <c r="M20" s="50" t="n">
        <f aca="false">SUMIFS('Hisob (batafsil)'!$J$5:$J$371,'Hisob (batafsil)'!$B$5:$B$371,$A20,'Hisob (batafsil)'!$C$5:$C$371,"Kamera tizimi")</f>
        <v>0</v>
      </c>
      <c r="N20" s="50" t="n">
        <f aca="false">SUMIFS('Hisob (batafsil)'!$J$5:$J$371,'Hisob (batafsil)'!$B$5:$B$371,$A20,'Hisob (batafsil)'!$C$5:$C$371,"Logotip")</f>
        <v>0</v>
      </c>
      <c r="O20" s="50" t="n">
        <f aca="false">SUMIFS('Hisob (batafsil)'!$J$5:$J$371,'Hisob (batafsil)'!$B$5:$B$371,$A20,'Hisob (batafsil)'!$C$5:$C$371,"Matli plyonka")</f>
        <v>0</v>
      </c>
      <c r="P20" s="50" t="n">
        <f aca="false">SUMIFS('Hisob (batafsil)'!$J$5:$J$371,'Hisob (batafsil)'!$B$5:$B$371,$A20,'Hisob (batafsil)'!$C$5:$C$371,"Yong'in xavfsizligi")</f>
        <v>0</v>
      </c>
      <c r="Q20" s="50" t="n">
        <f aca="false">SUMIFS('Hisob (batafsil)'!$J$5:$J$371,'Hisob (batafsil)'!$B$5:$B$371,$A20,'Hisob (batafsil)'!$C$5:$C$371,"Buzish ishlari")</f>
        <v>0</v>
      </c>
      <c r="R20" s="50" t="n">
        <f aca="false">SUMIFS('Hisob (batafsil)'!$J$5:$J$371,'Hisob (batafsil)'!$B$5:$B$371,$A20,'Hisob (batafsil)'!$C$5:$C$371,"Santexnika")</f>
        <v>0</v>
      </c>
      <c r="S20" s="50" t="n">
        <f aca="false">SUMIFS('Hisob (batafsil)'!$J$5:$J$371,'Hisob (batafsil)'!$B$5:$B$371,$A20,'Hisob (batafsil)'!$C$5:$C$371,"Kafel")</f>
        <v>0</v>
      </c>
      <c r="T20" s="50" t="n">
        <f aca="false">SUMIFS('Hisob (batafsil)'!$J$5:$J$371,'Hisob (batafsil)'!$B$5:$B$371,$A20,'Hisob (batafsil)'!$C$5:$C$371,"Konditsioner va ventilyatsiya")</f>
        <v>0</v>
      </c>
      <c r="U20" s="50" t="n">
        <f aca="false">SUMIFS('Hisob (batafsil)'!$J$5:$J$371,'Hisob (batafsil)'!$B$5:$B$371,$A20,'Hisob (batafsil)'!$C$5:$C$371,"Mebel va interyer")</f>
        <v>2340</v>
      </c>
      <c r="V20" s="50" t="n">
        <f aca="false">SUMIFS('Hisob (batafsil)'!$J$5:$J$371,'Hisob (batafsil)'!$B$5:$B$371,$A20,'Hisob (batafsil)'!$C$5:$C$371,"E'lon va e'tirof doskalari")</f>
        <v>0</v>
      </c>
      <c r="W20" s="50" t="n">
        <f aca="false">SUMIFS('Hisob (batafsil)'!$J$5:$J$371,'Hisob (batafsil)'!$B$5:$B$371,$A20,'Hisob (batafsil)'!$C$5:$C$371,"Eshiklar")</f>
        <v>150</v>
      </c>
      <c r="X20" s="50" t="n">
        <f aca="false">SUMIFS('Hisob (batafsil)'!$J$5:$J$371,'Hisob (batafsil)'!$B$5:$B$371,$A20,'Hisob (batafsil)'!$C$5:$C$371,"Internet va Wi-Fi")</f>
        <v>0</v>
      </c>
      <c r="Y20" s="50" t="n">
        <f aca="false">SUMIFS('Hisob (batafsil)'!$J$5:$J$371,'Hisob (batafsil)'!$B$5:$B$371,$A20,'Hisob (batafsil)'!$C$5:$C$371,"Elektr")</f>
        <v>0</v>
      </c>
      <c r="Z20" s="58" t="n">
        <f aca="false">C20+E20+G20+I20+K20+L20+M20+N20+O20+P20+Q20+R20+S20+T20+U20+V20+W20+X20+Y20</f>
        <v>3776.125</v>
      </c>
    </row>
    <row r="21" customFormat="false" ht="15" hidden="false" customHeight="false" outlineLevel="0" collapsed="false">
      <c r="A21" s="6" t="s">
        <v>312</v>
      </c>
      <c r="B21" s="56" t="n">
        <f aca="false">SUMIFS('Hisob (batafsil)'!$G$5:$G$371,'Hisob (batafsil)'!$B$5:$B$371,$A21,'Hisob (batafsil)'!$C$5:$C$371,"Shisha devor")</f>
        <v>14.5</v>
      </c>
      <c r="C21" s="50" t="n">
        <f aca="false">SUMIFS('Hisob (batafsil)'!$J$5:$J$371,'Hisob (batafsil)'!$B$5:$B$371,$A21,'Hisob (batafsil)'!$C$5:$C$371,"Shisha devor")</f>
        <v>797.5</v>
      </c>
      <c r="D21" s="56" t="n">
        <f aca="false">SUMIFS('Hisob (batafsil)'!$G$5:$G$371,'Hisob (batafsil)'!$B$5:$B$371,$A21,'Hisob (batafsil)'!$C$5:$C$371,"Gips karton (GKL)")</f>
        <v>5.8</v>
      </c>
      <c r="E21" s="50" t="n">
        <f aca="false">SUMIFS('Hisob (batafsil)'!$J$5:$J$371,'Hisob (batafsil)'!$B$5:$B$371,$A21,'Hisob (batafsil)'!$C$5:$C$371,"Gips karton (GKL)")</f>
        <v>69.6</v>
      </c>
      <c r="F21" s="56" t="n">
        <f aca="false">SUMIFS('Hisob (batafsil)'!$G$5:$G$371,'Hisob (batafsil)'!$B$5:$B$371,$A21,'Hisob (batafsil)'!$C$5:$C$371,"Bambuk panel")</f>
        <v>18.2</v>
      </c>
      <c r="G21" s="50" t="n">
        <f aca="false">SUMIFS('Hisob (batafsil)'!$J$5:$J$371,'Hisob (batafsil)'!$B$5:$B$371,$A21,'Hisob (batafsil)'!$C$5:$C$371,"Bambuk panel")</f>
        <v>282.1</v>
      </c>
      <c r="H21" s="57" t="n">
        <f aca="false">SUMIFS('Hisob (batafsil)'!$G$5:$G$371,'Hisob (batafsil)'!$B$5:$B$371,$A21,'Hisob (batafsil)'!$C$5:$C$371,"Interaktiv doska")</f>
        <v>0</v>
      </c>
      <c r="I21" s="50" t="n">
        <f aca="false">SUMIFS('Hisob (batafsil)'!$J$5:$J$371,'Hisob (batafsil)'!$B$5:$B$371,$A21,'Hisob (batafsil)'!$C$5:$C$371,"Interaktiv doska")</f>
        <v>0</v>
      </c>
      <c r="J21" s="56" t="n">
        <f aca="false">SUMIFS('Hisob (batafsil)'!$G$5:$G$371,'Hisob (batafsil)'!$B$5:$B$371,$A21,'Hisob (batafsil)'!$C$5:$C$371,"Perila")</f>
        <v>0</v>
      </c>
      <c r="K21" s="50" t="n">
        <f aca="false">SUMIFS('Hisob (batafsil)'!$J$5:$J$371,'Hisob (batafsil)'!$B$5:$B$371,$A21,'Hisob (batafsil)'!$C$5:$C$371,"Perila")</f>
        <v>0</v>
      </c>
      <c r="L21" s="50" t="n">
        <f aca="false">SUMIFS('Hisob (batafsil)'!$J$5:$J$371,'Hisob (batafsil)'!$B$5:$B$371,$A21,'Hisob (batafsil)'!$C$5:$C$371,"Yoritish")</f>
        <v>168</v>
      </c>
      <c r="M21" s="50" t="n">
        <f aca="false">SUMIFS('Hisob (batafsil)'!$J$5:$J$371,'Hisob (batafsil)'!$B$5:$B$371,$A21,'Hisob (batafsil)'!$C$5:$C$371,"Kamera tizimi")</f>
        <v>0</v>
      </c>
      <c r="N21" s="50" t="n">
        <f aca="false">SUMIFS('Hisob (batafsil)'!$J$5:$J$371,'Hisob (batafsil)'!$B$5:$B$371,$A21,'Hisob (batafsil)'!$C$5:$C$371,"Logotip")</f>
        <v>0</v>
      </c>
      <c r="O21" s="50" t="n">
        <f aca="false">SUMIFS('Hisob (batafsil)'!$J$5:$J$371,'Hisob (batafsil)'!$B$5:$B$371,$A21,'Hisob (batafsil)'!$C$5:$C$371,"Matli plyonka")</f>
        <v>0</v>
      </c>
      <c r="P21" s="50" t="n">
        <f aca="false">SUMIFS('Hisob (batafsil)'!$J$5:$J$371,'Hisob (batafsil)'!$B$5:$B$371,$A21,'Hisob (batafsil)'!$C$5:$C$371,"Yong'in xavfsizligi")</f>
        <v>0</v>
      </c>
      <c r="Q21" s="50" t="n">
        <f aca="false">SUMIFS('Hisob (batafsil)'!$J$5:$J$371,'Hisob (batafsil)'!$B$5:$B$371,$A21,'Hisob (batafsil)'!$C$5:$C$371,"Buzish ishlari")</f>
        <v>0</v>
      </c>
      <c r="R21" s="50" t="n">
        <f aca="false">SUMIFS('Hisob (batafsil)'!$J$5:$J$371,'Hisob (batafsil)'!$B$5:$B$371,$A21,'Hisob (batafsil)'!$C$5:$C$371,"Santexnika")</f>
        <v>0</v>
      </c>
      <c r="S21" s="50" t="n">
        <f aca="false">SUMIFS('Hisob (batafsil)'!$J$5:$J$371,'Hisob (batafsil)'!$B$5:$B$371,$A21,'Hisob (batafsil)'!$C$5:$C$371,"Kafel")</f>
        <v>0</v>
      </c>
      <c r="T21" s="50" t="n">
        <f aca="false">SUMIFS('Hisob (batafsil)'!$J$5:$J$371,'Hisob (batafsil)'!$B$5:$B$371,$A21,'Hisob (batafsil)'!$C$5:$C$371,"Konditsioner va ventilyatsiya")</f>
        <v>0</v>
      </c>
      <c r="U21" s="50" t="n">
        <f aca="false">SUMIFS('Hisob (batafsil)'!$J$5:$J$371,'Hisob (batafsil)'!$B$5:$B$371,$A21,'Hisob (batafsil)'!$C$5:$C$371,"Mebel va interyer")</f>
        <v>1470</v>
      </c>
      <c r="V21" s="50" t="n">
        <f aca="false">SUMIFS('Hisob (batafsil)'!$J$5:$J$371,'Hisob (batafsil)'!$B$5:$B$371,$A21,'Hisob (batafsil)'!$C$5:$C$371,"E'lon va e'tirof doskalari")</f>
        <v>0</v>
      </c>
      <c r="W21" s="50" t="n">
        <f aca="false">SUMIFS('Hisob (batafsil)'!$J$5:$J$371,'Hisob (batafsil)'!$B$5:$B$371,$A21,'Hisob (batafsil)'!$C$5:$C$371,"Eshiklar")</f>
        <v>150</v>
      </c>
      <c r="X21" s="50" t="n">
        <f aca="false">SUMIFS('Hisob (batafsil)'!$J$5:$J$371,'Hisob (batafsil)'!$B$5:$B$371,$A21,'Hisob (batafsil)'!$C$5:$C$371,"Internet va Wi-Fi")</f>
        <v>0</v>
      </c>
      <c r="Y21" s="50" t="n">
        <f aca="false">SUMIFS('Hisob (batafsil)'!$J$5:$J$371,'Hisob (batafsil)'!$B$5:$B$371,$A21,'Hisob (batafsil)'!$C$5:$C$371,"Elektr")</f>
        <v>0</v>
      </c>
      <c r="Z21" s="58" t="n">
        <f aca="false">C21+E21+G21+I21+K21+L21+M21+N21+O21+P21+Q21+R21+S21+T21+U21+V21+W21+X21+Y21</f>
        <v>2937.2</v>
      </c>
    </row>
    <row r="22" customFormat="false" ht="15" hidden="false" customHeight="false" outlineLevel="0" collapsed="false">
      <c r="A22" s="6" t="s">
        <v>313</v>
      </c>
      <c r="B22" s="56" t="n">
        <f aca="false">SUMIFS('Hisob (batafsil)'!$G$5:$G$371,'Hisob (batafsil)'!$B$5:$B$371,$A22,'Hisob (batafsil)'!$C$5:$C$371,"Shisha devor")</f>
        <v>14.5</v>
      </c>
      <c r="C22" s="50" t="n">
        <f aca="false">SUMIFS('Hisob (batafsil)'!$J$5:$J$371,'Hisob (batafsil)'!$B$5:$B$371,$A22,'Hisob (batafsil)'!$C$5:$C$371,"Shisha devor")</f>
        <v>797.5</v>
      </c>
      <c r="D22" s="56" t="n">
        <f aca="false">SUMIFS('Hisob (batafsil)'!$G$5:$G$371,'Hisob (batafsil)'!$B$5:$B$371,$A22,'Hisob (batafsil)'!$C$5:$C$371,"Gips karton (GKL)")</f>
        <v>12.45</v>
      </c>
      <c r="E22" s="50" t="n">
        <f aca="false">SUMIFS('Hisob (batafsil)'!$J$5:$J$371,'Hisob (batafsil)'!$B$5:$B$371,$A22,'Hisob (batafsil)'!$C$5:$C$371,"Gips karton (GKL)")</f>
        <v>149.4</v>
      </c>
      <c r="F22" s="56" t="n">
        <f aca="false">SUMIFS('Hisob (batafsil)'!$G$5:$G$371,'Hisob (batafsil)'!$B$5:$B$371,$A22,'Hisob (batafsil)'!$C$5:$C$371,"Bambuk panel")</f>
        <v>30.1</v>
      </c>
      <c r="G22" s="50" t="n">
        <f aca="false">SUMIFS('Hisob (batafsil)'!$J$5:$J$371,'Hisob (batafsil)'!$B$5:$B$371,$A22,'Hisob (batafsil)'!$C$5:$C$371,"Bambuk panel")</f>
        <v>466.55</v>
      </c>
      <c r="H22" s="57" t="n">
        <f aca="false">SUMIFS('Hisob (batafsil)'!$G$5:$G$371,'Hisob (batafsil)'!$B$5:$B$371,$A22,'Hisob (batafsil)'!$C$5:$C$371,"Interaktiv doska")</f>
        <v>0</v>
      </c>
      <c r="I22" s="50" t="n">
        <f aca="false">SUMIFS('Hisob (batafsil)'!$J$5:$J$371,'Hisob (batafsil)'!$B$5:$B$371,$A22,'Hisob (batafsil)'!$C$5:$C$371,"Interaktiv doska")</f>
        <v>0</v>
      </c>
      <c r="J22" s="56" t="n">
        <f aca="false">SUMIFS('Hisob (batafsil)'!$G$5:$G$371,'Hisob (batafsil)'!$B$5:$B$371,$A22,'Hisob (batafsil)'!$C$5:$C$371,"Perila")</f>
        <v>0</v>
      </c>
      <c r="K22" s="50" t="n">
        <f aca="false">SUMIFS('Hisob (batafsil)'!$J$5:$J$371,'Hisob (batafsil)'!$B$5:$B$371,$A22,'Hisob (batafsil)'!$C$5:$C$371,"Perila")</f>
        <v>0</v>
      </c>
      <c r="L22" s="50" t="n">
        <f aca="false">SUMIFS('Hisob (batafsil)'!$J$5:$J$371,'Hisob (batafsil)'!$B$5:$B$371,$A22,'Hisob (batafsil)'!$C$5:$C$371,"Yoritish")</f>
        <v>168</v>
      </c>
      <c r="M22" s="50" t="n">
        <f aca="false">SUMIFS('Hisob (batafsil)'!$J$5:$J$371,'Hisob (batafsil)'!$B$5:$B$371,$A22,'Hisob (batafsil)'!$C$5:$C$371,"Kamera tizimi")</f>
        <v>0</v>
      </c>
      <c r="N22" s="50" t="n">
        <f aca="false">SUMIFS('Hisob (batafsil)'!$J$5:$J$371,'Hisob (batafsil)'!$B$5:$B$371,$A22,'Hisob (batafsil)'!$C$5:$C$371,"Logotip")</f>
        <v>0</v>
      </c>
      <c r="O22" s="50" t="n">
        <f aca="false">SUMIFS('Hisob (batafsil)'!$J$5:$J$371,'Hisob (batafsil)'!$B$5:$B$371,$A22,'Hisob (batafsil)'!$C$5:$C$371,"Matli plyonka")</f>
        <v>0</v>
      </c>
      <c r="P22" s="50" t="n">
        <f aca="false">SUMIFS('Hisob (batafsil)'!$J$5:$J$371,'Hisob (batafsil)'!$B$5:$B$371,$A22,'Hisob (batafsil)'!$C$5:$C$371,"Yong'in xavfsizligi")</f>
        <v>0</v>
      </c>
      <c r="Q22" s="50" t="n">
        <f aca="false">SUMIFS('Hisob (batafsil)'!$J$5:$J$371,'Hisob (batafsil)'!$B$5:$B$371,$A22,'Hisob (batafsil)'!$C$5:$C$371,"Buzish ishlari")</f>
        <v>0</v>
      </c>
      <c r="R22" s="50" t="n">
        <f aca="false">SUMIFS('Hisob (batafsil)'!$J$5:$J$371,'Hisob (batafsil)'!$B$5:$B$371,$A22,'Hisob (batafsil)'!$C$5:$C$371,"Santexnika")</f>
        <v>0</v>
      </c>
      <c r="S22" s="50" t="n">
        <f aca="false">SUMIFS('Hisob (batafsil)'!$J$5:$J$371,'Hisob (batafsil)'!$B$5:$B$371,$A22,'Hisob (batafsil)'!$C$5:$C$371,"Kafel")</f>
        <v>0</v>
      </c>
      <c r="T22" s="50" t="n">
        <f aca="false">SUMIFS('Hisob (batafsil)'!$J$5:$J$371,'Hisob (batafsil)'!$B$5:$B$371,$A22,'Hisob (batafsil)'!$C$5:$C$371,"Konditsioner va ventilyatsiya")</f>
        <v>0</v>
      </c>
      <c r="U22" s="50" t="n">
        <f aca="false">SUMIFS('Hisob (batafsil)'!$J$5:$J$371,'Hisob (batafsil)'!$B$5:$B$371,$A22,'Hisob (batafsil)'!$C$5:$C$371,"Mebel va interyer")</f>
        <v>0</v>
      </c>
      <c r="V22" s="50" t="n">
        <f aca="false">SUMIFS('Hisob (batafsil)'!$J$5:$J$371,'Hisob (batafsil)'!$B$5:$B$371,$A22,'Hisob (batafsil)'!$C$5:$C$371,"E'lon va e'tirof doskalari")</f>
        <v>0</v>
      </c>
      <c r="W22" s="50" t="n">
        <f aca="false">SUMIFS('Hisob (batafsil)'!$J$5:$J$371,'Hisob (batafsil)'!$B$5:$B$371,$A22,'Hisob (batafsil)'!$C$5:$C$371,"Eshiklar")</f>
        <v>150</v>
      </c>
      <c r="X22" s="50" t="n">
        <f aca="false">SUMIFS('Hisob (batafsil)'!$J$5:$J$371,'Hisob (batafsil)'!$B$5:$B$371,$A22,'Hisob (batafsil)'!$C$5:$C$371,"Internet va Wi-Fi")</f>
        <v>0</v>
      </c>
      <c r="Y22" s="50" t="n">
        <f aca="false">SUMIFS('Hisob (batafsil)'!$J$5:$J$371,'Hisob (batafsil)'!$B$5:$B$371,$A22,'Hisob (batafsil)'!$C$5:$C$371,"Elektr")</f>
        <v>0</v>
      </c>
      <c r="Z22" s="58" t="n">
        <f aca="false">C22+E22+G22+I22+K22+L22+M22+N22+O22+P22+Q22+R22+S22+T22+U22+V22+W22+X22+Y22</f>
        <v>1731.45</v>
      </c>
    </row>
    <row r="23" customFormat="false" ht="15" hidden="false" customHeight="false" outlineLevel="0" collapsed="false">
      <c r="A23" s="6" t="s">
        <v>314</v>
      </c>
      <c r="B23" s="56" t="n">
        <f aca="false">SUMIFS('Hisob (batafsil)'!$G$5:$G$371,'Hisob (batafsil)'!$B$5:$B$371,$A23,'Hisob (batafsil)'!$C$5:$C$371,"Shisha devor")</f>
        <v>14.25</v>
      </c>
      <c r="C23" s="50" t="n">
        <f aca="false">SUMIFS('Hisob (batafsil)'!$J$5:$J$371,'Hisob (batafsil)'!$B$5:$B$371,$A23,'Hisob (batafsil)'!$C$5:$C$371,"Shisha devor")</f>
        <v>783.75</v>
      </c>
      <c r="D23" s="56" t="n">
        <f aca="false">SUMIFS('Hisob (batafsil)'!$G$5:$G$371,'Hisob (batafsil)'!$B$5:$B$371,$A23,'Hisob (batafsil)'!$C$5:$C$371,"Gips karton (GKL)")</f>
        <v>10.95</v>
      </c>
      <c r="E23" s="50" t="n">
        <f aca="false">SUMIFS('Hisob (batafsil)'!$J$5:$J$371,'Hisob (batafsil)'!$B$5:$B$371,$A23,'Hisob (batafsil)'!$C$5:$C$371,"Gips karton (GKL)")</f>
        <v>131.4</v>
      </c>
      <c r="F23" s="56" t="n">
        <f aca="false">SUMIFS('Hisob (batafsil)'!$G$5:$G$371,'Hisob (batafsil)'!$B$5:$B$371,$A23,'Hisob (batafsil)'!$C$5:$C$371,"Bambuk panel")</f>
        <v>29.75</v>
      </c>
      <c r="G23" s="50" t="n">
        <f aca="false">SUMIFS('Hisob (batafsil)'!$J$5:$J$371,'Hisob (batafsil)'!$B$5:$B$371,$A23,'Hisob (batafsil)'!$C$5:$C$371,"Bambuk panel")</f>
        <v>461.125</v>
      </c>
      <c r="H23" s="57" t="n">
        <f aca="false">SUMIFS('Hisob (batafsil)'!$G$5:$G$371,'Hisob (batafsil)'!$B$5:$B$371,$A23,'Hisob (batafsil)'!$C$5:$C$371,"Interaktiv doska")</f>
        <v>0</v>
      </c>
      <c r="I23" s="50" t="n">
        <f aca="false">SUMIFS('Hisob (batafsil)'!$J$5:$J$371,'Hisob (batafsil)'!$B$5:$B$371,$A23,'Hisob (batafsil)'!$C$5:$C$371,"Interaktiv doska")</f>
        <v>0</v>
      </c>
      <c r="J23" s="56" t="n">
        <f aca="false">SUMIFS('Hisob (batafsil)'!$G$5:$G$371,'Hisob (batafsil)'!$B$5:$B$371,$A23,'Hisob (batafsil)'!$C$5:$C$371,"Perila")</f>
        <v>0</v>
      </c>
      <c r="K23" s="50" t="n">
        <f aca="false">SUMIFS('Hisob (batafsil)'!$J$5:$J$371,'Hisob (batafsil)'!$B$5:$B$371,$A23,'Hisob (batafsil)'!$C$5:$C$371,"Perila")</f>
        <v>0</v>
      </c>
      <c r="L23" s="50" t="n">
        <f aca="false">SUMIFS('Hisob (batafsil)'!$J$5:$J$371,'Hisob (batafsil)'!$B$5:$B$371,$A23,'Hisob (batafsil)'!$C$5:$C$371,"Yoritish")</f>
        <v>168</v>
      </c>
      <c r="M23" s="50" t="n">
        <f aca="false">SUMIFS('Hisob (batafsil)'!$J$5:$J$371,'Hisob (batafsil)'!$B$5:$B$371,$A23,'Hisob (batafsil)'!$C$5:$C$371,"Kamera tizimi")</f>
        <v>0</v>
      </c>
      <c r="N23" s="50" t="n">
        <f aca="false">SUMIFS('Hisob (batafsil)'!$J$5:$J$371,'Hisob (batafsil)'!$B$5:$B$371,$A23,'Hisob (batafsil)'!$C$5:$C$371,"Logotip")</f>
        <v>0</v>
      </c>
      <c r="O23" s="50" t="n">
        <f aca="false">SUMIFS('Hisob (batafsil)'!$J$5:$J$371,'Hisob (batafsil)'!$B$5:$B$371,$A23,'Hisob (batafsil)'!$C$5:$C$371,"Matli plyonka")</f>
        <v>0</v>
      </c>
      <c r="P23" s="50" t="n">
        <f aca="false">SUMIFS('Hisob (batafsil)'!$J$5:$J$371,'Hisob (batafsil)'!$B$5:$B$371,$A23,'Hisob (batafsil)'!$C$5:$C$371,"Yong'in xavfsizligi")</f>
        <v>0</v>
      </c>
      <c r="Q23" s="50" t="n">
        <f aca="false">SUMIFS('Hisob (batafsil)'!$J$5:$J$371,'Hisob (batafsil)'!$B$5:$B$371,$A23,'Hisob (batafsil)'!$C$5:$C$371,"Buzish ishlari")</f>
        <v>0</v>
      </c>
      <c r="R23" s="50" t="n">
        <f aca="false">SUMIFS('Hisob (batafsil)'!$J$5:$J$371,'Hisob (batafsil)'!$B$5:$B$371,$A23,'Hisob (batafsil)'!$C$5:$C$371,"Santexnika")</f>
        <v>0</v>
      </c>
      <c r="S23" s="50" t="n">
        <f aca="false">SUMIFS('Hisob (batafsil)'!$J$5:$J$371,'Hisob (batafsil)'!$B$5:$B$371,$A23,'Hisob (batafsil)'!$C$5:$C$371,"Kafel")</f>
        <v>0</v>
      </c>
      <c r="T23" s="50" t="n">
        <f aca="false">SUMIFS('Hisob (batafsil)'!$J$5:$J$371,'Hisob (batafsil)'!$B$5:$B$371,$A23,'Hisob (batafsil)'!$C$5:$C$371,"Konditsioner va ventilyatsiya")</f>
        <v>0</v>
      </c>
      <c r="U23" s="50" t="n">
        <f aca="false">SUMIFS('Hisob (batafsil)'!$J$5:$J$371,'Hisob (batafsil)'!$B$5:$B$371,$A23,'Hisob (batafsil)'!$C$5:$C$371,"Mebel va interyer")</f>
        <v>0</v>
      </c>
      <c r="V23" s="50" t="n">
        <f aca="false">SUMIFS('Hisob (batafsil)'!$J$5:$J$371,'Hisob (batafsil)'!$B$5:$B$371,$A23,'Hisob (batafsil)'!$C$5:$C$371,"E'lon va e'tirof doskalari")</f>
        <v>0</v>
      </c>
      <c r="W23" s="50" t="n">
        <f aca="false">SUMIFS('Hisob (batafsil)'!$J$5:$J$371,'Hisob (batafsil)'!$B$5:$B$371,$A23,'Hisob (batafsil)'!$C$5:$C$371,"Eshiklar")</f>
        <v>150</v>
      </c>
      <c r="X23" s="50" t="n">
        <f aca="false">SUMIFS('Hisob (batafsil)'!$J$5:$J$371,'Hisob (batafsil)'!$B$5:$B$371,$A23,'Hisob (batafsil)'!$C$5:$C$371,"Internet va Wi-Fi")</f>
        <v>0</v>
      </c>
      <c r="Y23" s="50" t="n">
        <f aca="false">SUMIFS('Hisob (batafsil)'!$J$5:$J$371,'Hisob (batafsil)'!$B$5:$B$371,$A23,'Hisob (batafsil)'!$C$5:$C$371,"Elektr")</f>
        <v>0</v>
      </c>
      <c r="Z23" s="58" t="n">
        <f aca="false">C23+E23+G23+I23+K23+L23+M23+N23+O23+P23+Q23+R23+S23+T23+U23+V23+W23+X23+Y23</f>
        <v>1694.275</v>
      </c>
    </row>
    <row r="24" customFormat="false" ht="15" hidden="false" customHeight="false" outlineLevel="0" collapsed="false">
      <c r="A24" s="6" t="s">
        <v>315</v>
      </c>
      <c r="B24" s="56" t="n">
        <f aca="false">SUMIFS('Hisob (batafsil)'!$G$5:$G$371,'Hisob (batafsil)'!$B$5:$B$371,$A24,'Hisob (batafsil)'!$C$5:$C$371,"Shisha devor")</f>
        <v>0</v>
      </c>
      <c r="C24" s="50" t="n">
        <f aca="false">SUMIFS('Hisob (batafsil)'!$J$5:$J$371,'Hisob (batafsil)'!$B$5:$B$371,$A24,'Hisob (batafsil)'!$C$5:$C$371,"Shisha devor")</f>
        <v>0</v>
      </c>
      <c r="D24" s="56" t="n">
        <f aca="false">SUMIFS('Hisob (batafsil)'!$G$5:$G$371,'Hisob (batafsil)'!$B$5:$B$371,$A24,'Hisob (batafsil)'!$C$5:$C$371,"Gips karton (GKL)")</f>
        <v>0</v>
      </c>
      <c r="E24" s="50" t="n">
        <f aca="false">SUMIFS('Hisob (batafsil)'!$J$5:$J$371,'Hisob (batafsil)'!$B$5:$B$371,$A24,'Hisob (batafsil)'!$C$5:$C$371,"Gips karton (GKL)")</f>
        <v>0</v>
      </c>
      <c r="F24" s="56" t="n">
        <f aca="false">SUMIFS('Hisob (batafsil)'!$G$5:$G$371,'Hisob (batafsil)'!$B$5:$B$371,$A24,'Hisob (batafsil)'!$C$5:$C$371,"Bambuk panel")</f>
        <v>29.26</v>
      </c>
      <c r="G24" s="50" t="n">
        <f aca="false">SUMIFS('Hisob (batafsil)'!$J$5:$J$371,'Hisob (batafsil)'!$B$5:$B$371,$A24,'Hisob (batafsil)'!$C$5:$C$371,"Bambuk panel")</f>
        <v>453.53</v>
      </c>
      <c r="H24" s="57" t="n">
        <f aca="false">SUMIFS('Hisob (batafsil)'!$G$5:$G$371,'Hisob (batafsil)'!$B$5:$B$371,$A24,'Hisob (batafsil)'!$C$5:$C$371,"Interaktiv doska")</f>
        <v>0</v>
      </c>
      <c r="I24" s="50" t="n">
        <f aca="false">SUMIFS('Hisob (batafsil)'!$J$5:$J$371,'Hisob (batafsil)'!$B$5:$B$371,$A24,'Hisob (batafsil)'!$C$5:$C$371,"Interaktiv doska")</f>
        <v>0</v>
      </c>
      <c r="J24" s="56" t="n">
        <f aca="false">SUMIFS('Hisob (batafsil)'!$G$5:$G$371,'Hisob (batafsil)'!$B$5:$B$371,$A24,'Hisob (batafsil)'!$C$5:$C$371,"Perila")</f>
        <v>0</v>
      </c>
      <c r="K24" s="50" t="n">
        <f aca="false">SUMIFS('Hisob (batafsil)'!$J$5:$J$371,'Hisob (batafsil)'!$B$5:$B$371,$A24,'Hisob (batafsil)'!$C$5:$C$371,"Perila")</f>
        <v>0</v>
      </c>
      <c r="L24" s="50" t="n">
        <f aca="false">SUMIFS('Hisob (batafsil)'!$J$5:$J$371,'Hisob (batafsil)'!$B$5:$B$371,$A24,'Hisob (batafsil)'!$C$5:$C$371,"Yoritish")</f>
        <v>168</v>
      </c>
      <c r="M24" s="50" t="n">
        <f aca="false">SUMIFS('Hisob (batafsil)'!$J$5:$J$371,'Hisob (batafsil)'!$B$5:$B$371,$A24,'Hisob (batafsil)'!$C$5:$C$371,"Kamera tizimi")</f>
        <v>0</v>
      </c>
      <c r="N24" s="50" t="n">
        <f aca="false">SUMIFS('Hisob (batafsil)'!$J$5:$J$371,'Hisob (batafsil)'!$B$5:$B$371,$A24,'Hisob (batafsil)'!$C$5:$C$371,"Logotip")</f>
        <v>0</v>
      </c>
      <c r="O24" s="50" t="n">
        <f aca="false">SUMIFS('Hisob (batafsil)'!$J$5:$J$371,'Hisob (batafsil)'!$B$5:$B$371,$A24,'Hisob (batafsil)'!$C$5:$C$371,"Matli plyonka")</f>
        <v>0</v>
      </c>
      <c r="P24" s="50" t="n">
        <f aca="false">SUMIFS('Hisob (batafsil)'!$J$5:$J$371,'Hisob (batafsil)'!$B$5:$B$371,$A24,'Hisob (batafsil)'!$C$5:$C$371,"Yong'in xavfsizligi")</f>
        <v>0</v>
      </c>
      <c r="Q24" s="50" t="n">
        <f aca="false">SUMIFS('Hisob (batafsil)'!$J$5:$J$371,'Hisob (batafsil)'!$B$5:$B$371,$A24,'Hisob (batafsil)'!$C$5:$C$371,"Buzish ishlari")</f>
        <v>0</v>
      </c>
      <c r="R24" s="50" t="n">
        <f aca="false">SUMIFS('Hisob (batafsil)'!$J$5:$J$371,'Hisob (batafsil)'!$B$5:$B$371,$A24,'Hisob (batafsil)'!$C$5:$C$371,"Santexnika")</f>
        <v>0</v>
      </c>
      <c r="S24" s="50" t="n">
        <f aca="false">SUMIFS('Hisob (batafsil)'!$J$5:$J$371,'Hisob (batafsil)'!$B$5:$B$371,$A24,'Hisob (batafsil)'!$C$5:$C$371,"Kafel")</f>
        <v>0</v>
      </c>
      <c r="T24" s="50" t="n">
        <f aca="false">SUMIFS('Hisob (batafsil)'!$J$5:$J$371,'Hisob (batafsil)'!$B$5:$B$371,$A24,'Hisob (batafsil)'!$C$5:$C$371,"Konditsioner va ventilyatsiya")</f>
        <v>0</v>
      </c>
      <c r="U24" s="50" t="n">
        <f aca="false">SUMIFS('Hisob (batafsil)'!$J$5:$J$371,'Hisob (batafsil)'!$B$5:$B$371,$A24,'Hisob (batafsil)'!$C$5:$C$371,"Mebel va interyer")</f>
        <v>0</v>
      </c>
      <c r="V24" s="50" t="n">
        <f aca="false">SUMIFS('Hisob (batafsil)'!$J$5:$J$371,'Hisob (batafsil)'!$B$5:$B$371,$A24,'Hisob (batafsil)'!$C$5:$C$371,"E'lon va e'tirof doskalari")</f>
        <v>0</v>
      </c>
      <c r="W24" s="50" t="n">
        <f aca="false">SUMIFS('Hisob (batafsil)'!$J$5:$J$371,'Hisob (batafsil)'!$B$5:$B$371,$A24,'Hisob (batafsil)'!$C$5:$C$371,"Eshiklar")</f>
        <v>0</v>
      </c>
      <c r="X24" s="50" t="n">
        <f aca="false">SUMIFS('Hisob (batafsil)'!$J$5:$J$371,'Hisob (batafsil)'!$B$5:$B$371,$A24,'Hisob (batafsil)'!$C$5:$C$371,"Internet va Wi-Fi")</f>
        <v>0</v>
      </c>
      <c r="Y24" s="50" t="n">
        <f aca="false">SUMIFS('Hisob (batafsil)'!$J$5:$J$371,'Hisob (batafsil)'!$B$5:$B$371,$A24,'Hisob (batafsil)'!$C$5:$C$371,"Elektr")</f>
        <v>0</v>
      </c>
      <c r="Z24" s="58" t="n">
        <f aca="false">C24+E24+G24+I24+K24+L24+M24+N24+O24+P24+Q24+R24+S24+T24+U24+V24+W24+X24+Y24</f>
        <v>621.53</v>
      </c>
    </row>
    <row r="25" customFormat="false" ht="15" hidden="false" customHeight="false" outlineLevel="0" collapsed="false">
      <c r="A25" s="11" t="s">
        <v>316</v>
      </c>
      <c r="B25" s="59" t="n">
        <f aca="false">SUM(B20:B24)</f>
        <v>57.125</v>
      </c>
      <c r="C25" s="41" t="n">
        <f aca="false">SUM(C20:C24)</f>
        <v>3141.875</v>
      </c>
      <c r="D25" s="59" t="n">
        <f aca="false">SUM(D20:D24)</f>
        <v>35.275</v>
      </c>
      <c r="E25" s="41" t="n">
        <f aca="false">SUM(E20:E24)</f>
        <v>423.3</v>
      </c>
      <c r="F25" s="59" t="n">
        <f aca="false">SUM(F20:F24)</f>
        <v>125.51</v>
      </c>
      <c r="G25" s="41" t="n">
        <f aca="false">SUM(G20:G24)</f>
        <v>1945.405</v>
      </c>
      <c r="H25" s="60" t="n">
        <f aca="false">SUM(H20:H24)</f>
        <v>0</v>
      </c>
      <c r="I25" s="41" t="n">
        <f aca="false">SUM(I20:I24)</f>
        <v>0</v>
      </c>
      <c r="J25" s="59" t="n">
        <f aca="false">SUM(J20:J24)</f>
        <v>0</v>
      </c>
      <c r="K25" s="41" t="n">
        <f aca="false">SUM(K20:K24)</f>
        <v>0</v>
      </c>
      <c r="L25" s="41" t="n">
        <f aca="false">SUM(L20:L24)</f>
        <v>840</v>
      </c>
      <c r="M25" s="41" t="n">
        <f aca="false">SUM(M20:M24)</f>
        <v>0</v>
      </c>
      <c r="N25" s="41" t="n">
        <f aca="false">SUM(N20:N24)</f>
        <v>0</v>
      </c>
      <c r="O25" s="41" t="n">
        <f aca="false">SUM(O20:O24)</f>
        <v>0</v>
      </c>
      <c r="P25" s="41" t="n">
        <f aca="false">SUM(P20:P24)</f>
        <v>0</v>
      </c>
      <c r="Q25" s="41" t="n">
        <f aca="false">SUM(Q20:Q24)</f>
        <v>0</v>
      </c>
      <c r="R25" s="41" t="n">
        <f aca="false">SUM(R20:R24)</f>
        <v>0</v>
      </c>
      <c r="S25" s="41" t="n">
        <f aca="false">SUM(S20:S24)</f>
        <v>0</v>
      </c>
      <c r="T25" s="41" t="n">
        <f aca="false">SUM(T20:T24)</f>
        <v>0</v>
      </c>
      <c r="U25" s="41" t="n">
        <f aca="false">SUM(U20:U24)</f>
        <v>3810</v>
      </c>
      <c r="V25" s="41" t="n">
        <f aca="false">SUM(V20:V24)</f>
        <v>0</v>
      </c>
      <c r="W25" s="41" t="n">
        <f aca="false">SUM(W20:W24)</f>
        <v>600</v>
      </c>
      <c r="X25" s="41" t="n">
        <f aca="false">SUM(X20:X24)</f>
        <v>0</v>
      </c>
      <c r="Y25" s="41" t="n">
        <f aca="false">SUM(Y20:Y24)</f>
        <v>0</v>
      </c>
      <c r="Z25" s="41" t="n">
        <f aca="false">SUM(Z20:Z24)</f>
        <v>10760.58</v>
      </c>
    </row>
    <row r="27" customFormat="false" ht="15" hidden="false" customHeight="false" outlineLevel="0" collapsed="false">
      <c r="A27" s="54" t="s">
        <v>35</v>
      </c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</row>
    <row r="28" customFormat="false" ht="15" hidden="false" customHeight="false" outlineLevel="0" collapsed="false">
      <c r="A28" s="6" t="s">
        <v>317</v>
      </c>
      <c r="B28" s="56" t="n">
        <f aca="false">SUMIFS('Hisob (batafsil)'!$G$5:$G$371,'Hisob (batafsil)'!$B$5:$B$371,$A28,'Hisob (batafsil)'!$C$5:$C$371,"Shisha devor")</f>
        <v>0</v>
      </c>
      <c r="C28" s="50" t="n">
        <f aca="false">SUMIFS('Hisob (batafsil)'!$J$5:$J$371,'Hisob (batafsil)'!$B$5:$B$371,$A28,'Hisob (batafsil)'!$C$5:$C$371,"Shisha devor")</f>
        <v>0</v>
      </c>
      <c r="D28" s="56" t="n">
        <f aca="false">SUMIFS('Hisob (batafsil)'!$G$5:$G$371,'Hisob (batafsil)'!$B$5:$B$371,$A28,'Hisob (batafsil)'!$C$5:$C$371,"Gips karton (GKL)")</f>
        <v>35.325</v>
      </c>
      <c r="E28" s="50" t="n">
        <f aca="false">SUMIFS('Hisob (batafsil)'!$J$5:$J$371,'Hisob (batafsil)'!$B$5:$B$371,$A28,'Hisob (batafsil)'!$C$5:$C$371,"Gips karton (GKL)")</f>
        <v>423.9</v>
      </c>
      <c r="F28" s="56" t="n">
        <f aca="false">SUMIFS('Hisob (batafsil)'!$G$5:$G$371,'Hisob (batafsil)'!$B$5:$B$371,$A28,'Hisob (batafsil)'!$C$5:$C$371,"Bambuk panel")</f>
        <v>0</v>
      </c>
      <c r="G28" s="50" t="n">
        <f aca="false">SUMIFS('Hisob (batafsil)'!$J$5:$J$371,'Hisob (batafsil)'!$B$5:$B$371,$A28,'Hisob (batafsil)'!$C$5:$C$371,"Bambuk panel")</f>
        <v>0</v>
      </c>
      <c r="H28" s="57" t="n">
        <f aca="false">SUMIFS('Hisob (batafsil)'!$G$5:$G$371,'Hisob (batafsil)'!$B$5:$B$371,$A28,'Hisob (batafsil)'!$C$5:$C$371,"Interaktiv doska")</f>
        <v>0</v>
      </c>
      <c r="I28" s="50" t="n">
        <f aca="false">SUMIFS('Hisob (batafsil)'!$J$5:$J$371,'Hisob (batafsil)'!$B$5:$B$371,$A28,'Hisob (batafsil)'!$C$5:$C$371,"Interaktiv doska")</f>
        <v>0</v>
      </c>
      <c r="J28" s="56" t="n">
        <f aca="false">SUMIFS('Hisob (batafsil)'!$G$5:$G$371,'Hisob (batafsil)'!$B$5:$B$371,$A28,'Hisob (batafsil)'!$C$5:$C$371,"Perila")</f>
        <v>0</v>
      </c>
      <c r="K28" s="50" t="n">
        <f aca="false">SUMIFS('Hisob (batafsil)'!$J$5:$J$371,'Hisob (batafsil)'!$B$5:$B$371,$A28,'Hisob (batafsil)'!$C$5:$C$371,"Perila")</f>
        <v>0</v>
      </c>
      <c r="L28" s="50" t="n">
        <f aca="false">SUMIFS('Hisob (batafsil)'!$J$5:$J$371,'Hisob (batafsil)'!$B$5:$B$371,$A28,'Hisob (batafsil)'!$C$5:$C$371,"Yoritish")</f>
        <v>336</v>
      </c>
      <c r="M28" s="50" t="n">
        <f aca="false">SUMIFS('Hisob (batafsil)'!$J$5:$J$371,'Hisob (batafsil)'!$B$5:$B$371,$A28,'Hisob (batafsil)'!$C$5:$C$371,"Kamera tizimi")</f>
        <v>0</v>
      </c>
      <c r="N28" s="50" t="n">
        <f aca="false">SUMIFS('Hisob (batafsil)'!$J$5:$J$371,'Hisob (batafsil)'!$B$5:$B$371,$A28,'Hisob (batafsil)'!$C$5:$C$371,"Logotip")</f>
        <v>0</v>
      </c>
      <c r="O28" s="50" t="n">
        <f aca="false">SUMIFS('Hisob (batafsil)'!$J$5:$J$371,'Hisob (batafsil)'!$B$5:$B$371,$A28,'Hisob (batafsil)'!$C$5:$C$371,"Matli plyonka")</f>
        <v>0</v>
      </c>
      <c r="P28" s="50" t="n">
        <f aca="false">SUMIFS('Hisob (batafsil)'!$J$5:$J$371,'Hisob (batafsil)'!$B$5:$B$371,$A28,'Hisob (batafsil)'!$C$5:$C$371,"Yong'in xavfsizligi")</f>
        <v>0</v>
      </c>
      <c r="Q28" s="50" t="n">
        <f aca="false">SUMIFS('Hisob (batafsil)'!$J$5:$J$371,'Hisob (batafsil)'!$B$5:$B$371,$A28,'Hisob (batafsil)'!$C$5:$C$371,"Buzish ishlari")</f>
        <v>0</v>
      </c>
      <c r="R28" s="50" t="n">
        <f aca="false">SUMIFS('Hisob (batafsil)'!$J$5:$J$371,'Hisob (batafsil)'!$B$5:$B$371,$A28,'Hisob (batafsil)'!$C$5:$C$371,"Santexnika")</f>
        <v>0</v>
      </c>
      <c r="S28" s="50" t="n">
        <f aca="false">SUMIFS('Hisob (batafsil)'!$J$5:$J$371,'Hisob (batafsil)'!$B$5:$B$371,$A28,'Hisob (batafsil)'!$C$5:$C$371,"Kafel")</f>
        <v>0</v>
      </c>
      <c r="T28" s="50" t="n">
        <f aca="false">SUMIFS('Hisob (batafsil)'!$J$5:$J$371,'Hisob (batafsil)'!$B$5:$B$371,$A28,'Hisob (batafsil)'!$C$5:$C$371,"Konditsioner va ventilyatsiya")</f>
        <v>0</v>
      </c>
      <c r="U28" s="50" t="n">
        <f aca="false">SUMIFS('Hisob (batafsil)'!$J$5:$J$371,'Hisob (batafsil)'!$B$5:$B$371,$A28,'Hisob (batafsil)'!$C$5:$C$371,"Mebel va interyer")</f>
        <v>1600</v>
      </c>
      <c r="V28" s="50" t="n">
        <f aca="false">SUMIFS('Hisob (batafsil)'!$J$5:$J$371,'Hisob (batafsil)'!$B$5:$B$371,$A28,'Hisob (batafsil)'!$C$5:$C$371,"E'lon va e'tirof doskalari")</f>
        <v>0</v>
      </c>
      <c r="W28" s="50" t="n">
        <f aca="false">SUMIFS('Hisob (batafsil)'!$J$5:$J$371,'Hisob (batafsil)'!$B$5:$B$371,$A28,'Hisob (batafsil)'!$C$5:$C$371,"Eshiklar")</f>
        <v>0</v>
      </c>
      <c r="X28" s="50" t="n">
        <f aca="false">SUMIFS('Hisob (batafsil)'!$J$5:$J$371,'Hisob (batafsil)'!$B$5:$B$371,$A28,'Hisob (batafsil)'!$C$5:$C$371,"Internet va Wi-Fi")</f>
        <v>0</v>
      </c>
      <c r="Y28" s="50" t="n">
        <f aca="false">SUMIFS('Hisob (batafsil)'!$J$5:$J$371,'Hisob (batafsil)'!$B$5:$B$371,$A28,'Hisob (batafsil)'!$C$5:$C$371,"Elektr")</f>
        <v>0</v>
      </c>
      <c r="Z28" s="58" t="n">
        <f aca="false">C28+E28+G28+I28+K28+L28+M28+N28+O28+P28+Q28+R28+S28+T28+U28+V28+W28+X28+Y28</f>
        <v>2359.9</v>
      </c>
    </row>
    <row r="29" customFormat="false" ht="15" hidden="false" customHeight="false" outlineLevel="0" collapsed="false">
      <c r="A29" s="6" t="s">
        <v>318</v>
      </c>
      <c r="B29" s="56" t="n">
        <f aca="false">SUMIFS('Hisob (batafsil)'!$G$5:$G$371,'Hisob (batafsil)'!$B$5:$B$371,$A29,'Hisob (batafsil)'!$C$5:$C$371,"Shisha devor")</f>
        <v>0</v>
      </c>
      <c r="C29" s="50" t="n">
        <f aca="false">SUMIFS('Hisob (batafsil)'!$J$5:$J$371,'Hisob (batafsil)'!$B$5:$B$371,$A29,'Hisob (batafsil)'!$C$5:$C$371,"Shisha devor")</f>
        <v>0</v>
      </c>
      <c r="D29" s="56" t="n">
        <f aca="false">SUMIFS('Hisob (batafsil)'!$G$5:$G$371,'Hisob (batafsil)'!$B$5:$B$371,$A29,'Hisob (batafsil)'!$C$5:$C$371,"Gips karton (GKL)")</f>
        <v>36.05</v>
      </c>
      <c r="E29" s="50" t="n">
        <f aca="false">SUMIFS('Hisob (batafsil)'!$J$5:$J$371,'Hisob (batafsil)'!$B$5:$B$371,$A29,'Hisob (batafsil)'!$C$5:$C$371,"Gips karton (GKL)")</f>
        <v>432.6</v>
      </c>
      <c r="F29" s="56" t="n">
        <f aca="false">SUMIFS('Hisob (batafsil)'!$G$5:$G$371,'Hisob (batafsil)'!$B$5:$B$371,$A29,'Hisob (batafsil)'!$C$5:$C$371,"Bambuk panel")</f>
        <v>0</v>
      </c>
      <c r="G29" s="50" t="n">
        <f aca="false">SUMIFS('Hisob (batafsil)'!$J$5:$J$371,'Hisob (batafsil)'!$B$5:$B$371,$A29,'Hisob (batafsil)'!$C$5:$C$371,"Bambuk panel")</f>
        <v>0</v>
      </c>
      <c r="H29" s="57" t="n">
        <f aca="false">SUMIFS('Hisob (batafsil)'!$G$5:$G$371,'Hisob (batafsil)'!$B$5:$B$371,$A29,'Hisob (batafsil)'!$C$5:$C$371,"Interaktiv doska")</f>
        <v>0</v>
      </c>
      <c r="I29" s="50" t="n">
        <f aca="false">SUMIFS('Hisob (batafsil)'!$J$5:$J$371,'Hisob (batafsil)'!$B$5:$B$371,$A29,'Hisob (batafsil)'!$C$5:$C$371,"Interaktiv doska")</f>
        <v>0</v>
      </c>
      <c r="J29" s="56" t="n">
        <f aca="false">SUMIFS('Hisob (batafsil)'!$G$5:$G$371,'Hisob (batafsil)'!$B$5:$B$371,$A29,'Hisob (batafsil)'!$C$5:$C$371,"Perila")</f>
        <v>0</v>
      </c>
      <c r="K29" s="50" t="n">
        <f aca="false">SUMIFS('Hisob (batafsil)'!$J$5:$J$371,'Hisob (batafsil)'!$B$5:$B$371,$A29,'Hisob (batafsil)'!$C$5:$C$371,"Perila")</f>
        <v>0</v>
      </c>
      <c r="L29" s="50" t="n">
        <f aca="false">SUMIFS('Hisob (batafsil)'!$J$5:$J$371,'Hisob (batafsil)'!$B$5:$B$371,$A29,'Hisob (batafsil)'!$C$5:$C$371,"Yoritish")</f>
        <v>336</v>
      </c>
      <c r="M29" s="50" t="n">
        <f aca="false">SUMIFS('Hisob (batafsil)'!$J$5:$J$371,'Hisob (batafsil)'!$B$5:$B$371,$A29,'Hisob (batafsil)'!$C$5:$C$371,"Kamera tizimi")</f>
        <v>0</v>
      </c>
      <c r="N29" s="50" t="n">
        <f aca="false">SUMIFS('Hisob (batafsil)'!$J$5:$J$371,'Hisob (batafsil)'!$B$5:$B$371,$A29,'Hisob (batafsil)'!$C$5:$C$371,"Logotip")</f>
        <v>0</v>
      </c>
      <c r="O29" s="50" t="n">
        <f aca="false">SUMIFS('Hisob (batafsil)'!$J$5:$J$371,'Hisob (batafsil)'!$B$5:$B$371,$A29,'Hisob (batafsil)'!$C$5:$C$371,"Matli plyonka")</f>
        <v>0</v>
      </c>
      <c r="P29" s="50" t="n">
        <f aca="false">SUMIFS('Hisob (batafsil)'!$J$5:$J$371,'Hisob (batafsil)'!$B$5:$B$371,$A29,'Hisob (batafsil)'!$C$5:$C$371,"Yong'in xavfsizligi")</f>
        <v>0</v>
      </c>
      <c r="Q29" s="50" t="n">
        <f aca="false">SUMIFS('Hisob (batafsil)'!$J$5:$J$371,'Hisob (batafsil)'!$B$5:$B$371,$A29,'Hisob (batafsil)'!$C$5:$C$371,"Buzish ishlari")</f>
        <v>0</v>
      </c>
      <c r="R29" s="50" t="n">
        <f aca="false">SUMIFS('Hisob (batafsil)'!$J$5:$J$371,'Hisob (batafsil)'!$B$5:$B$371,$A29,'Hisob (batafsil)'!$C$5:$C$371,"Santexnika")</f>
        <v>0</v>
      </c>
      <c r="S29" s="50" t="n">
        <f aca="false">SUMIFS('Hisob (batafsil)'!$J$5:$J$371,'Hisob (batafsil)'!$B$5:$B$371,$A29,'Hisob (batafsil)'!$C$5:$C$371,"Kafel")</f>
        <v>0</v>
      </c>
      <c r="T29" s="50" t="n">
        <f aca="false">SUMIFS('Hisob (batafsil)'!$J$5:$J$371,'Hisob (batafsil)'!$B$5:$B$371,$A29,'Hisob (batafsil)'!$C$5:$C$371,"Konditsioner va ventilyatsiya")</f>
        <v>0</v>
      </c>
      <c r="U29" s="50" t="n">
        <f aca="false">SUMIFS('Hisob (batafsil)'!$J$5:$J$371,'Hisob (batafsil)'!$B$5:$B$371,$A29,'Hisob (batafsil)'!$C$5:$C$371,"Mebel va interyer")</f>
        <v>1600</v>
      </c>
      <c r="V29" s="50" t="n">
        <f aca="false">SUMIFS('Hisob (batafsil)'!$J$5:$J$371,'Hisob (batafsil)'!$B$5:$B$371,$A29,'Hisob (batafsil)'!$C$5:$C$371,"E'lon va e'tirof doskalari")</f>
        <v>0</v>
      </c>
      <c r="W29" s="50" t="n">
        <f aca="false">SUMIFS('Hisob (batafsil)'!$J$5:$J$371,'Hisob (batafsil)'!$B$5:$B$371,$A29,'Hisob (batafsil)'!$C$5:$C$371,"Eshiklar")</f>
        <v>0</v>
      </c>
      <c r="X29" s="50" t="n">
        <f aca="false">SUMIFS('Hisob (batafsil)'!$J$5:$J$371,'Hisob (batafsil)'!$B$5:$B$371,$A29,'Hisob (batafsil)'!$C$5:$C$371,"Internet va Wi-Fi")</f>
        <v>0</v>
      </c>
      <c r="Y29" s="50" t="n">
        <f aca="false">SUMIFS('Hisob (batafsil)'!$J$5:$J$371,'Hisob (batafsil)'!$B$5:$B$371,$A29,'Hisob (batafsil)'!$C$5:$C$371,"Elektr")</f>
        <v>0</v>
      </c>
      <c r="Z29" s="58" t="n">
        <f aca="false">C29+E29+G29+I29+K29+L29+M29+N29+O29+P29+Q29+R29+S29+T29+U29+V29+W29+X29+Y29</f>
        <v>2368.6</v>
      </c>
    </row>
    <row r="30" customFormat="false" ht="15" hidden="false" customHeight="false" outlineLevel="0" collapsed="false">
      <c r="A30" s="6" t="s">
        <v>319</v>
      </c>
      <c r="B30" s="56" t="n">
        <f aca="false">SUMIFS('Hisob (batafsil)'!$G$5:$G$371,'Hisob (batafsil)'!$B$5:$B$371,$A30,'Hisob (batafsil)'!$C$5:$C$371,"Shisha devor")</f>
        <v>0</v>
      </c>
      <c r="C30" s="50" t="n">
        <f aca="false">SUMIFS('Hisob (batafsil)'!$J$5:$J$371,'Hisob (batafsil)'!$B$5:$B$371,$A30,'Hisob (batafsil)'!$C$5:$C$371,"Shisha devor")</f>
        <v>0</v>
      </c>
      <c r="D30" s="56" t="n">
        <f aca="false">SUMIFS('Hisob (batafsil)'!$G$5:$G$371,'Hisob (batafsil)'!$B$5:$B$371,$A30,'Hisob (batafsil)'!$C$5:$C$371,"Gips karton (GKL)")</f>
        <v>22.05</v>
      </c>
      <c r="E30" s="50" t="n">
        <f aca="false">SUMIFS('Hisob (batafsil)'!$J$5:$J$371,'Hisob (batafsil)'!$B$5:$B$371,$A30,'Hisob (batafsil)'!$C$5:$C$371,"Gips karton (GKL)")</f>
        <v>264.6</v>
      </c>
      <c r="F30" s="56" t="n">
        <f aca="false">SUMIFS('Hisob (batafsil)'!$G$5:$G$371,'Hisob (batafsil)'!$B$5:$B$371,$A30,'Hisob (batafsil)'!$C$5:$C$371,"Bambuk panel")</f>
        <v>0</v>
      </c>
      <c r="G30" s="50" t="n">
        <f aca="false">SUMIFS('Hisob (batafsil)'!$J$5:$J$371,'Hisob (batafsil)'!$B$5:$B$371,$A30,'Hisob (batafsil)'!$C$5:$C$371,"Bambuk panel")</f>
        <v>0</v>
      </c>
      <c r="H30" s="57" t="n">
        <f aca="false">SUMIFS('Hisob (batafsil)'!$G$5:$G$371,'Hisob (batafsil)'!$B$5:$B$371,$A30,'Hisob (batafsil)'!$C$5:$C$371,"Interaktiv doska")</f>
        <v>0</v>
      </c>
      <c r="I30" s="50" t="n">
        <f aca="false">SUMIFS('Hisob (batafsil)'!$J$5:$J$371,'Hisob (batafsil)'!$B$5:$B$371,$A30,'Hisob (batafsil)'!$C$5:$C$371,"Interaktiv doska")</f>
        <v>0</v>
      </c>
      <c r="J30" s="56" t="n">
        <f aca="false">SUMIFS('Hisob (batafsil)'!$G$5:$G$371,'Hisob (batafsil)'!$B$5:$B$371,$A30,'Hisob (batafsil)'!$C$5:$C$371,"Perila")</f>
        <v>0</v>
      </c>
      <c r="K30" s="50" t="n">
        <f aca="false">SUMIFS('Hisob (batafsil)'!$J$5:$J$371,'Hisob (batafsil)'!$B$5:$B$371,$A30,'Hisob (batafsil)'!$C$5:$C$371,"Perila")</f>
        <v>0</v>
      </c>
      <c r="L30" s="50" t="n">
        <f aca="false">SUMIFS('Hisob (batafsil)'!$J$5:$J$371,'Hisob (batafsil)'!$B$5:$B$371,$A30,'Hisob (batafsil)'!$C$5:$C$371,"Yoritish")</f>
        <v>0</v>
      </c>
      <c r="M30" s="50" t="n">
        <f aca="false">SUMIFS('Hisob (batafsil)'!$J$5:$J$371,'Hisob (batafsil)'!$B$5:$B$371,$A30,'Hisob (batafsil)'!$C$5:$C$371,"Kamera tizimi")</f>
        <v>0</v>
      </c>
      <c r="N30" s="50" t="n">
        <f aca="false">SUMIFS('Hisob (batafsil)'!$J$5:$J$371,'Hisob (batafsil)'!$B$5:$B$371,$A30,'Hisob (batafsil)'!$C$5:$C$371,"Logotip")</f>
        <v>0</v>
      </c>
      <c r="O30" s="50" t="n">
        <f aca="false">SUMIFS('Hisob (batafsil)'!$J$5:$J$371,'Hisob (batafsil)'!$B$5:$B$371,$A30,'Hisob (batafsil)'!$C$5:$C$371,"Matli plyonka")</f>
        <v>0</v>
      </c>
      <c r="P30" s="50" t="n">
        <f aca="false">SUMIFS('Hisob (batafsil)'!$J$5:$J$371,'Hisob (batafsil)'!$B$5:$B$371,$A30,'Hisob (batafsil)'!$C$5:$C$371,"Yong'in xavfsizligi")</f>
        <v>0</v>
      </c>
      <c r="Q30" s="50" t="n">
        <f aca="false">SUMIFS('Hisob (batafsil)'!$J$5:$J$371,'Hisob (batafsil)'!$B$5:$B$371,$A30,'Hisob (batafsil)'!$C$5:$C$371,"Buzish ishlari")</f>
        <v>0</v>
      </c>
      <c r="R30" s="50" t="n">
        <f aca="false">SUMIFS('Hisob (batafsil)'!$J$5:$J$371,'Hisob (batafsil)'!$B$5:$B$371,$A30,'Hisob (batafsil)'!$C$5:$C$371,"Santexnika")</f>
        <v>0</v>
      </c>
      <c r="S30" s="50" t="n">
        <f aca="false">SUMIFS('Hisob (batafsil)'!$J$5:$J$371,'Hisob (batafsil)'!$B$5:$B$371,$A30,'Hisob (batafsil)'!$C$5:$C$371,"Kafel")</f>
        <v>0</v>
      </c>
      <c r="T30" s="50" t="n">
        <f aca="false">SUMIFS('Hisob (batafsil)'!$J$5:$J$371,'Hisob (batafsil)'!$B$5:$B$371,$A30,'Hisob (batafsil)'!$C$5:$C$371,"Konditsioner va ventilyatsiya")</f>
        <v>0</v>
      </c>
      <c r="U30" s="50" t="n">
        <f aca="false">SUMIFS('Hisob (batafsil)'!$J$5:$J$371,'Hisob (batafsil)'!$B$5:$B$371,$A30,'Hisob (batafsil)'!$C$5:$C$371,"Mebel va interyer")</f>
        <v>0</v>
      </c>
      <c r="V30" s="50" t="n">
        <f aca="false">SUMIFS('Hisob (batafsil)'!$J$5:$J$371,'Hisob (batafsil)'!$B$5:$B$371,$A30,'Hisob (batafsil)'!$C$5:$C$371,"E'lon va e'tirof doskalari")</f>
        <v>0</v>
      </c>
      <c r="W30" s="50" t="n">
        <f aca="false">SUMIFS('Hisob (batafsil)'!$J$5:$J$371,'Hisob (batafsil)'!$B$5:$B$371,$A30,'Hisob (batafsil)'!$C$5:$C$371,"Eshiklar")</f>
        <v>350</v>
      </c>
      <c r="X30" s="50" t="n">
        <f aca="false">SUMIFS('Hisob (batafsil)'!$J$5:$J$371,'Hisob (batafsil)'!$B$5:$B$371,$A30,'Hisob (batafsil)'!$C$5:$C$371,"Internet va Wi-Fi")</f>
        <v>0</v>
      </c>
      <c r="Y30" s="50" t="n">
        <f aca="false">SUMIFS('Hisob (batafsil)'!$J$5:$J$371,'Hisob (batafsil)'!$B$5:$B$371,$A30,'Hisob (batafsil)'!$C$5:$C$371,"Elektr")</f>
        <v>0</v>
      </c>
      <c r="Z30" s="58" t="n">
        <f aca="false">C30+E30+G30+I30+K30+L30+M30+N30+O30+P30+Q30+R30+S30+T30+U30+V30+W30+X30+Y30</f>
        <v>614.6</v>
      </c>
    </row>
    <row r="31" customFormat="false" ht="15" hidden="false" customHeight="false" outlineLevel="0" collapsed="false">
      <c r="A31" s="6" t="s">
        <v>320</v>
      </c>
      <c r="B31" s="56" t="n">
        <f aca="false">SUMIFS('Hisob (batafsil)'!$G$5:$G$371,'Hisob (batafsil)'!$B$5:$B$371,$A31,'Hisob (batafsil)'!$C$5:$C$371,"Shisha devor")</f>
        <v>0</v>
      </c>
      <c r="C31" s="50" t="n">
        <f aca="false">SUMIFS('Hisob (batafsil)'!$J$5:$J$371,'Hisob (batafsil)'!$B$5:$B$371,$A31,'Hisob (batafsil)'!$C$5:$C$371,"Shisha devor")</f>
        <v>0</v>
      </c>
      <c r="D31" s="56" t="n">
        <f aca="false">SUMIFS('Hisob (batafsil)'!$G$5:$G$371,'Hisob (batafsil)'!$B$5:$B$371,$A31,'Hisob (batafsil)'!$C$5:$C$371,"Gips karton (GKL)")</f>
        <v>22.05</v>
      </c>
      <c r="E31" s="50" t="n">
        <f aca="false">SUMIFS('Hisob (batafsil)'!$J$5:$J$371,'Hisob (batafsil)'!$B$5:$B$371,$A31,'Hisob (batafsil)'!$C$5:$C$371,"Gips karton (GKL)")</f>
        <v>264.6</v>
      </c>
      <c r="F31" s="56" t="n">
        <f aca="false">SUMIFS('Hisob (batafsil)'!$G$5:$G$371,'Hisob (batafsil)'!$B$5:$B$371,$A31,'Hisob (batafsil)'!$C$5:$C$371,"Bambuk panel")</f>
        <v>0</v>
      </c>
      <c r="G31" s="50" t="n">
        <f aca="false">SUMIFS('Hisob (batafsil)'!$J$5:$J$371,'Hisob (batafsil)'!$B$5:$B$371,$A31,'Hisob (batafsil)'!$C$5:$C$371,"Bambuk panel")</f>
        <v>0</v>
      </c>
      <c r="H31" s="57" t="n">
        <f aca="false">SUMIFS('Hisob (batafsil)'!$G$5:$G$371,'Hisob (batafsil)'!$B$5:$B$371,$A31,'Hisob (batafsil)'!$C$5:$C$371,"Interaktiv doska")</f>
        <v>0</v>
      </c>
      <c r="I31" s="50" t="n">
        <f aca="false">SUMIFS('Hisob (batafsil)'!$J$5:$J$371,'Hisob (batafsil)'!$B$5:$B$371,$A31,'Hisob (batafsil)'!$C$5:$C$371,"Interaktiv doska")</f>
        <v>0</v>
      </c>
      <c r="J31" s="56" t="n">
        <f aca="false">SUMIFS('Hisob (batafsil)'!$G$5:$G$371,'Hisob (batafsil)'!$B$5:$B$371,$A31,'Hisob (batafsil)'!$C$5:$C$371,"Perila")</f>
        <v>0</v>
      </c>
      <c r="K31" s="50" t="n">
        <f aca="false">SUMIFS('Hisob (batafsil)'!$J$5:$J$371,'Hisob (batafsil)'!$B$5:$B$371,$A31,'Hisob (batafsil)'!$C$5:$C$371,"Perila")</f>
        <v>0</v>
      </c>
      <c r="L31" s="50" t="n">
        <f aca="false">SUMIFS('Hisob (batafsil)'!$J$5:$J$371,'Hisob (batafsil)'!$B$5:$B$371,$A31,'Hisob (batafsil)'!$C$5:$C$371,"Yoritish")</f>
        <v>0</v>
      </c>
      <c r="M31" s="50" t="n">
        <f aca="false">SUMIFS('Hisob (batafsil)'!$J$5:$J$371,'Hisob (batafsil)'!$B$5:$B$371,$A31,'Hisob (batafsil)'!$C$5:$C$371,"Kamera tizimi")</f>
        <v>0</v>
      </c>
      <c r="N31" s="50" t="n">
        <f aca="false">SUMIFS('Hisob (batafsil)'!$J$5:$J$371,'Hisob (batafsil)'!$B$5:$B$371,$A31,'Hisob (batafsil)'!$C$5:$C$371,"Logotip")</f>
        <v>0</v>
      </c>
      <c r="O31" s="50" t="n">
        <f aca="false">SUMIFS('Hisob (batafsil)'!$J$5:$J$371,'Hisob (batafsil)'!$B$5:$B$371,$A31,'Hisob (batafsil)'!$C$5:$C$371,"Matli plyonka")</f>
        <v>0</v>
      </c>
      <c r="P31" s="50" t="n">
        <f aca="false">SUMIFS('Hisob (batafsil)'!$J$5:$J$371,'Hisob (batafsil)'!$B$5:$B$371,$A31,'Hisob (batafsil)'!$C$5:$C$371,"Yong'in xavfsizligi")</f>
        <v>0</v>
      </c>
      <c r="Q31" s="50" t="n">
        <f aca="false">SUMIFS('Hisob (batafsil)'!$J$5:$J$371,'Hisob (batafsil)'!$B$5:$B$371,$A31,'Hisob (batafsil)'!$C$5:$C$371,"Buzish ishlari")</f>
        <v>0</v>
      </c>
      <c r="R31" s="50" t="n">
        <f aca="false">SUMIFS('Hisob (batafsil)'!$J$5:$J$371,'Hisob (batafsil)'!$B$5:$B$371,$A31,'Hisob (batafsil)'!$C$5:$C$371,"Santexnika")</f>
        <v>0</v>
      </c>
      <c r="S31" s="50" t="n">
        <f aca="false">SUMIFS('Hisob (batafsil)'!$J$5:$J$371,'Hisob (batafsil)'!$B$5:$B$371,$A31,'Hisob (batafsil)'!$C$5:$C$371,"Kafel")</f>
        <v>0</v>
      </c>
      <c r="T31" s="50" t="n">
        <f aca="false">SUMIFS('Hisob (batafsil)'!$J$5:$J$371,'Hisob (batafsil)'!$B$5:$B$371,$A31,'Hisob (batafsil)'!$C$5:$C$371,"Konditsioner va ventilyatsiya")</f>
        <v>0</v>
      </c>
      <c r="U31" s="50" t="n">
        <f aca="false">SUMIFS('Hisob (batafsil)'!$J$5:$J$371,'Hisob (batafsil)'!$B$5:$B$371,$A31,'Hisob (batafsil)'!$C$5:$C$371,"Mebel va interyer")</f>
        <v>0</v>
      </c>
      <c r="V31" s="50" t="n">
        <f aca="false">SUMIFS('Hisob (batafsil)'!$J$5:$J$371,'Hisob (batafsil)'!$B$5:$B$371,$A31,'Hisob (batafsil)'!$C$5:$C$371,"E'lon va e'tirof doskalari")</f>
        <v>0</v>
      </c>
      <c r="W31" s="50" t="n">
        <f aca="false">SUMIFS('Hisob (batafsil)'!$J$5:$J$371,'Hisob (batafsil)'!$B$5:$B$371,$A31,'Hisob (batafsil)'!$C$5:$C$371,"Eshiklar")</f>
        <v>350</v>
      </c>
      <c r="X31" s="50" t="n">
        <f aca="false">SUMIFS('Hisob (batafsil)'!$J$5:$J$371,'Hisob (batafsil)'!$B$5:$B$371,$A31,'Hisob (batafsil)'!$C$5:$C$371,"Internet va Wi-Fi")</f>
        <v>0</v>
      </c>
      <c r="Y31" s="50" t="n">
        <f aca="false">SUMIFS('Hisob (batafsil)'!$J$5:$J$371,'Hisob (batafsil)'!$B$5:$B$371,$A31,'Hisob (batafsil)'!$C$5:$C$371,"Elektr")</f>
        <v>0</v>
      </c>
      <c r="Z31" s="58" t="n">
        <f aca="false">C31+E31+G31+I31+K31+L31+M31+N31+O31+P31+Q31+R31+S31+T31+U31+V31+W31+X31+Y31</f>
        <v>614.6</v>
      </c>
    </row>
    <row r="32" customFormat="false" ht="15" hidden="false" customHeight="false" outlineLevel="0" collapsed="false">
      <c r="A32" s="6" t="s">
        <v>321</v>
      </c>
      <c r="B32" s="56" t="n">
        <f aca="false">SUMIFS('Hisob (batafsil)'!$G$5:$G$371,'Hisob (batafsil)'!$B$5:$B$371,$A32,'Hisob (batafsil)'!$C$5:$C$371,"Shisha devor")</f>
        <v>0</v>
      </c>
      <c r="C32" s="50" t="n">
        <f aca="false">SUMIFS('Hisob (batafsil)'!$J$5:$J$371,'Hisob (batafsil)'!$B$5:$B$371,$A32,'Hisob (batafsil)'!$C$5:$C$371,"Shisha devor")</f>
        <v>0</v>
      </c>
      <c r="D32" s="56" t="n">
        <f aca="false">SUMIFS('Hisob (batafsil)'!$G$5:$G$371,'Hisob (batafsil)'!$B$5:$B$371,$A32,'Hisob (batafsil)'!$C$5:$C$371,"Gips karton (GKL)")</f>
        <v>9.625</v>
      </c>
      <c r="E32" s="50" t="n">
        <f aca="false">SUMIFS('Hisob (batafsil)'!$J$5:$J$371,'Hisob (batafsil)'!$B$5:$B$371,$A32,'Hisob (batafsil)'!$C$5:$C$371,"Gips karton (GKL)")</f>
        <v>115.5</v>
      </c>
      <c r="F32" s="56" t="n">
        <f aca="false">SUMIFS('Hisob (batafsil)'!$G$5:$G$371,'Hisob (batafsil)'!$B$5:$B$371,$A32,'Hisob (batafsil)'!$C$5:$C$371,"Bambuk panel")</f>
        <v>0</v>
      </c>
      <c r="G32" s="50" t="n">
        <f aca="false">SUMIFS('Hisob (batafsil)'!$J$5:$J$371,'Hisob (batafsil)'!$B$5:$B$371,$A32,'Hisob (batafsil)'!$C$5:$C$371,"Bambuk panel")</f>
        <v>0</v>
      </c>
      <c r="H32" s="57" t="n">
        <f aca="false">SUMIFS('Hisob (batafsil)'!$G$5:$G$371,'Hisob (batafsil)'!$B$5:$B$371,$A32,'Hisob (batafsil)'!$C$5:$C$371,"Interaktiv doska")</f>
        <v>0</v>
      </c>
      <c r="I32" s="50" t="n">
        <f aca="false">SUMIFS('Hisob (batafsil)'!$J$5:$J$371,'Hisob (batafsil)'!$B$5:$B$371,$A32,'Hisob (batafsil)'!$C$5:$C$371,"Interaktiv doska")</f>
        <v>0</v>
      </c>
      <c r="J32" s="56" t="n">
        <f aca="false">SUMIFS('Hisob (batafsil)'!$G$5:$G$371,'Hisob (batafsil)'!$B$5:$B$371,$A32,'Hisob (batafsil)'!$C$5:$C$371,"Perila")</f>
        <v>0</v>
      </c>
      <c r="K32" s="50" t="n">
        <f aca="false">SUMIFS('Hisob (batafsil)'!$J$5:$J$371,'Hisob (batafsil)'!$B$5:$B$371,$A32,'Hisob (batafsil)'!$C$5:$C$371,"Perila")</f>
        <v>0</v>
      </c>
      <c r="L32" s="50" t="n">
        <f aca="false">SUMIFS('Hisob (batafsil)'!$J$5:$J$371,'Hisob (batafsil)'!$B$5:$B$371,$A32,'Hisob (batafsil)'!$C$5:$C$371,"Yoritish")</f>
        <v>336</v>
      </c>
      <c r="M32" s="50" t="n">
        <f aca="false">SUMIFS('Hisob (batafsil)'!$J$5:$J$371,'Hisob (batafsil)'!$B$5:$B$371,$A32,'Hisob (batafsil)'!$C$5:$C$371,"Kamera tizimi")</f>
        <v>0</v>
      </c>
      <c r="N32" s="50" t="n">
        <f aca="false">SUMIFS('Hisob (batafsil)'!$J$5:$J$371,'Hisob (batafsil)'!$B$5:$B$371,$A32,'Hisob (batafsil)'!$C$5:$C$371,"Logotip")</f>
        <v>0</v>
      </c>
      <c r="O32" s="50" t="n">
        <f aca="false">SUMIFS('Hisob (batafsil)'!$J$5:$J$371,'Hisob (batafsil)'!$B$5:$B$371,$A32,'Hisob (batafsil)'!$C$5:$C$371,"Matli plyonka")</f>
        <v>0</v>
      </c>
      <c r="P32" s="50" t="n">
        <f aca="false">SUMIFS('Hisob (batafsil)'!$J$5:$J$371,'Hisob (batafsil)'!$B$5:$B$371,$A32,'Hisob (batafsil)'!$C$5:$C$371,"Yong'in xavfsizligi")</f>
        <v>0</v>
      </c>
      <c r="Q32" s="50" t="n">
        <f aca="false">SUMIFS('Hisob (batafsil)'!$J$5:$J$371,'Hisob (batafsil)'!$B$5:$B$371,$A32,'Hisob (batafsil)'!$C$5:$C$371,"Buzish ishlari")</f>
        <v>0</v>
      </c>
      <c r="R32" s="50" t="n">
        <f aca="false">SUMIFS('Hisob (batafsil)'!$J$5:$J$371,'Hisob (batafsil)'!$B$5:$B$371,$A32,'Hisob (batafsil)'!$C$5:$C$371,"Santexnika")</f>
        <v>0</v>
      </c>
      <c r="S32" s="50" t="n">
        <f aca="false">SUMIFS('Hisob (batafsil)'!$J$5:$J$371,'Hisob (batafsil)'!$B$5:$B$371,$A32,'Hisob (batafsil)'!$C$5:$C$371,"Kafel")</f>
        <v>0</v>
      </c>
      <c r="T32" s="50" t="n">
        <f aca="false">SUMIFS('Hisob (batafsil)'!$J$5:$J$371,'Hisob (batafsil)'!$B$5:$B$371,$A32,'Hisob (batafsil)'!$C$5:$C$371,"Konditsioner va ventilyatsiya")</f>
        <v>0</v>
      </c>
      <c r="U32" s="50" t="n">
        <f aca="false">SUMIFS('Hisob (batafsil)'!$J$5:$J$371,'Hisob (batafsil)'!$B$5:$B$371,$A32,'Hisob (batafsil)'!$C$5:$C$371,"Mebel va interyer")</f>
        <v>3410</v>
      </c>
      <c r="V32" s="50" t="n">
        <f aca="false">SUMIFS('Hisob (batafsil)'!$J$5:$J$371,'Hisob (batafsil)'!$B$5:$B$371,$A32,'Hisob (batafsil)'!$C$5:$C$371,"E'lon va e'tirof doskalari")</f>
        <v>370</v>
      </c>
      <c r="W32" s="50" t="n">
        <f aca="false">SUMIFS('Hisob (batafsil)'!$J$5:$J$371,'Hisob (batafsil)'!$B$5:$B$371,$A32,'Hisob (batafsil)'!$C$5:$C$371,"Eshiklar")</f>
        <v>0</v>
      </c>
      <c r="X32" s="50" t="n">
        <f aca="false">SUMIFS('Hisob (batafsil)'!$J$5:$J$371,'Hisob (batafsil)'!$B$5:$B$371,$A32,'Hisob (batafsil)'!$C$5:$C$371,"Internet va Wi-Fi")</f>
        <v>0</v>
      </c>
      <c r="Y32" s="50" t="n">
        <f aca="false">SUMIFS('Hisob (batafsil)'!$J$5:$J$371,'Hisob (batafsil)'!$B$5:$B$371,$A32,'Hisob (batafsil)'!$C$5:$C$371,"Elektr")</f>
        <v>0</v>
      </c>
      <c r="Z32" s="58" t="n">
        <f aca="false">C32+E32+G32+I32+K32+L32+M32+N32+O32+P32+Q32+R32+S32+T32+U32+V32+W32+X32+Y32</f>
        <v>4231.5</v>
      </c>
    </row>
    <row r="33" customFormat="false" ht="15" hidden="false" customHeight="false" outlineLevel="0" collapsed="false">
      <c r="A33" s="6" t="s">
        <v>322</v>
      </c>
      <c r="B33" s="56" t="n">
        <f aca="false">SUMIFS('Hisob (batafsil)'!$G$5:$G$371,'Hisob (batafsil)'!$B$5:$B$371,$A33,'Hisob (batafsil)'!$C$5:$C$371,"Shisha devor")</f>
        <v>0</v>
      </c>
      <c r="C33" s="50" t="n">
        <f aca="false">SUMIFS('Hisob (batafsil)'!$J$5:$J$371,'Hisob (batafsil)'!$B$5:$B$371,$A33,'Hisob (batafsil)'!$C$5:$C$371,"Shisha devor")</f>
        <v>0</v>
      </c>
      <c r="D33" s="56" t="n">
        <f aca="false">SUMIFS('Hisob (batafsil)'!$G$5:$G$371,'Hisob (batafsil)'!$B$5:$B$371,$A33,'Hisob (batafsil)'!$C$5:$C$371,"Gips karton (GKL)")</f>
        <v>9.1</v>
      </c>
      <c r="E33" s="50" t="n">
        <f aca="false">SUMIFS('Hisob (batafsil)'!$J$5:$J$371,'Hisob (batafsil)'!$B$5:$B$371,$A33,'Hisob (batafsil)'!$C$5:$C$371,"Gips karton (GKL)")</f>
        <v>109.2</v>
      </c>
      <c r="F33" s="56" t="n">
        <f aca="false">SUMIFS('Hisob (batafsil)'!$G$5:$G$371,'Hisob (batafsil)'!$B$5:$B$371,$A33,'Hisob (batafsil)'!$C$5:$C$371,"Bambuk panel")</f>
        <v>0</v>
      </c>
      <c r="G33" s="50" t="n">
        <f aca="false">SUMIFS('Hisob (batafsil)'!$J$5:$J$371,'Hisob (batafsil)'!$B$5:$B$371,$A33,'Hisob (batafsil)'!$C$5:$C$371,"Bambuk panel")</f>
        <v>0</v>
      </c>
      <c r="H33" s="57" t="n">
        <f aca="false">SUMIFS('Hisob (batafsil)'!$G$5:$G$371,'Hisob (batafsil)'!$B$5:$B$371,$A33,'Hisob (batafsil)'!$C$5:$C$371,"Interaktiv doska")</f>
        <v>0</v>
      </c>
      <c r="I33" s="50" t="n">
        <f aca="false">SUMIFS('Hisob (batafsil)'!$J$5:$J$371,'Hisob (batafsil)'!$B$5:$B$371,$A33,'Hisob (batafsil)'!$C$5:$C$371,"Interaktiv doska")</f>
        <v>0</v>
      </c>
      <c r="J33" s="56" t="n">
        <f aca="false">SUMIFS('Hisob (batafsil)'!$G$5:$G$371,'Hisob (batafsil)'!$B$5:$B$371,$A33,'Hisob (batafsil)'!$C$5:$C$371,"Perila")</f>
        <v>0</v>
      </c>
      <c r="K33" s="50" t="n">
        <f aca="false">SUMIFS('Hisob (batafsil)'!$J$5:$J$371,'Hisob (batafsil)'!$B$5:$B$371,$A33,'Hisob (batafsil)'!$C$5:$C$371,"Perila")</f>
        <v>0</v>
      </c>
      <c r="L33" s="50" t="n">
        <f aca="false">SUMIFS('Hisob (batafsil)'!$J$5:$J$371,'Hisob (batafsil)'!$B$5:$B$371,$A33,'Hisob (batafsil)'!$C$5:$C$371,"Yoritish")</f>
        <v>0</v>
      </c>
      <c r="M33" s="50" t="n">
        <f aca="false">SUMIFS('Hisob (batafsil)'!$J$5:$J$371,'Hisob (batafsil)'!$B$5:$B$371,$A33,'Hisob (batafsil)'!$C$5:$C$371,"Kamera tizimi")</f>
        <v>0</v>
      </c>
      <c r="N33" s="50" t="n">
        <f aca="false">SUMIFS('Hisob (batafsil)'!$J$5:$J$371,'Hisob (batafsil)'!$B$5:$B$371,$A33,'Hisob (batafsil)'!$C$5:$C$371,"Logotip")</f>
        <v>0</v>
      </c>
      <c r="O33" s="50" t="n">
        <f aca="false">SUMIFS('Hisob (batafsil)'!$J$5:$J$371,'Hisob (batafsil)'!$B$5:$B$371,$A33,'Hisob (batafsil)'!$C$5:$C$371,"Matli plyonka")</f>
        <v>0</v>
      </c>
      <c r="P33" s="50" t="n">
        <f aca="false">SUMIFS('Hisob (batafsil)'!$J$5:$J$371,'Hisob (batafsil)'!$B$5:$B$371,$A33,'Hisob (batafsil)'!$C$5:$C$371,"Yong'in xavfsizligi")</f>
        <v>0</v>
      </c>
      <c r="Q33" s="50" t="n">
        <f aca="false">SUMIFS('Hisob (batafsil)'!$J$5:$J$371,'Hisob (batafsil)'!$B$5:$B$371,$A33,'Hisob (batafsil)'!$C$5:$C$371,"Buzish ishlari")</f>
        <v>0</v>
      </c>
      <c r="R33" s="50" t="n">
        <f aca="false">SUMIFS('Hisob (batafsil)'!$J$5:$J$371,'Hisob (batafsil)'!$B$5:$B$371,$A33,'Hisob (batafsil)'!$C$5:$C$371,"Santexnika")</f>
        <v>0</v>
      </c>
      <c r="S33" s="50" t="n">
        <f aca="false">SUMIFS('Hisob (batafsil)'!$J$5:$J$371,'Hisob (batafsil)'!$B$5:$B$371,$A33,'Hisob (batafsil)'!$C$5:$C$371,"Kafel")</f>
        <v>0</v>
      </c>
      <c r="T33" s="50" t="n">
        <f aca="false">SUMIFS('Hisob (batafsil)'!$J$5:$J$371,'Hisob (batafsil)'!$B$5:$B$371,$A33,'Hisob (batafsil)'!$C$5:$C$371,"Konditsioner va ventilyatsiya")</f>
        <v>0</v>
      </c>
      <c r="U33" s="50" t="n">
        <f aca="false">SUMIFS('Hisob (batafsil)'!$J$5:$J$371,'Hisob (batafsil)'!$B$5:$B$371,$A33,'Hisob (batafsil)'!$C$5:$C$371,"Mebel va interyer")</f>
        <v>0</v>
      </c>
      <c r="V33" s="50" t="n">
        <f aca="false">SUMIFS('Hisob (batafsil)'!$J$5:$J$371,'Hisob (batafsil)'!$B$5:$B$371,$A33,'Hisob (batafsil)'!$C$5:$C$371,"E'lon va e'tirof doskalari")</f>
        <v>0</v>
      </c>
      <c r="W33" s="50" t="n">
        <f aca="false">SUMIFS('Hisob (batafsil)'!$J$5:$J$371,'Hisob (batafsil)'!$B$5:$B$371,$A33,'Hisob (batafsil)'!$C$5:$C$371,"Eshiklar")</f>
        <v>0</v>
      </c>
      <c r="X33" s="50" t="n">
        <f aca="false">SUMIFS('Hisob (batafsil)'!$J$5:$J$371,'Hisob (batafsil)'!$B$5:$B$371,$A33,'Hisob (batafsil)'!$C$5:$C$371,"Internet va Wi-Fi")</f>
        <v>0</v>
      </c>
      <c r="Y33" s="50" t="n">
        <f aca="false">SUMIFS('Hisob (batafsil)'!$J$5:$J$371,'Hisob (batafsil)'!$B$5:$B$371,$A33,'Hisob (batafsil)'!$C$5:$C$371,"Elektr")</f>
        <v>0</v>
      </c>
      <c r="Z33" s="58" t="n">
        <f aca="false">C33+E33+G33+I33+K33+L33+M33+N33+O33+P33+Q33+R33+S33+T33+U33+V33+W33+X33+Y33</f>
        <v>109.2</v>
      </c>
    </row>
    <row r="34" customFormat="false" ht="15" hidden="false" customHeight="false" outlineLevel="0" collapsed="false">
      <c r="A34" s="6" t="s">
        <v>323</v>
      </c>
      <c r="B34" s="56" t="n">
        <f aca="false">SUMIFS('Hisob (batafsil)'!$G$5:$G$371,'Hisob (batafsil)'!$B$5:$B$371,$A34,'Hisob (batafsil)'!$C$5:$C$371,"Shisha devor")</f>
        <v>0</v>
      </c>
      <c r="C34" s="50" t="n">
        <f aca="false">SUMIFS('Hisob (batafsil)'!$J$5:$J$371,'Hisob (batafsil)'!$B$5:$B$371,$A34,'Hisob (batafsil)'!$C$5:$C$371,"Shisha devor")</f>
        <v>0</v>
      </c>
      <c r="D34" s="56" t="n">
        <f aca="false">SUMIFS('Hisob (batafsil)'!$G$5:$G$371,'Hisob (batafsil)'!$B$5:$B$371,$A34,'Hisob (batafsil)'!$C$5:$C$371,"Gips karton (GKL)")</f>
        <v>0</v>
      </c>
      <c r="E34" s="50" t="n">
        <f aca="false">SUMIFS('Hisob (batafsil)'!$J$5:$J$371,'Hisob (batafsil)'!$B$5:$B$371,$A34,'Hisob (batafsil)'!$C$5:$C$371,"Gips karton (GKL)")</f>
        <v>0</v>
      </c>
      <c r="F34" s="56" t="n">
        <f aca="false">SUMIFS('Hisob (batafsil)'!$G$5:$G$371,'Hisob (batafsil)'!$B$5:$B$371,$A34,'Hisob (batafsil)'!$C$5:$C$371,"Bambuk panel")</f>
        <v>0</v>
      </c>
      <c r="G34" s="50" t="n">
        <f aca="false">SUMIFS('Hisob (batafsil)'!$J$5:$J$371,'Hisob (batafsil)'!$B$5:$B$371,$A34,'Hisob (batafsil)'!$C$5:$C$371,"Bambuk panel")</f>
        <v>0</v>
      </c>
      <c r="H34" s="57" t="n">
        <f aca="false">SUMIFS('Hisob (batafsil)'!$G$5:$G$371,'Hisob (batafsil)'!$B$5:$B$371,$A34,'Hisob (batafsil)'!$C$5:$C$371,"Interaktiv doska")</f>
        <v>0</v>
      </c>
      <c r="I34" s="50" t="n">
        <f aca="false">SUMIFS('Hisob (batafsil)'!$J$5:$J$371,'Hisob (batafsil)'!$B$5:$B$371,$A34,'Hisob (batafsil)'!$C$5:$C$371,"Interaktiv doska")</f>
        <v>0</v>
      </c>
      <c r="J34" s="56" t="n">
        <f aca="false">SUMIFS('Hisob (batafsil)'!$G$5:$G$371,'Hisob (batafsil)'!$B$5:$B$371,$A34,'Hisob (batafsil)'!$C$5:$C$371,"Perila")</f>
        <v>27.65</v>
      </c>
      <c r="K34" s="50" t="n">
        <f aca="false">SUMIFS('Hisob (batafsil)'!$J$5:$J$371,'Hisob (batafsil)'!$B$5:$B$371,$A34,'Hisob (batafsil)'!$C$5:$C$371,"Perila")</f>
        <v>2322.6</v>
      </c>
      <c r="L34" s="50" t="n">
        <f aca="false">SUMIFS('Hisob (batafsil)'!$J$5:$J$371,'Hisob (batafsil)'!$B$5:$B$371,$A34,'Hisob (batafsil)'!$C$5:$C$371,"Yoritish")</f>
        <v>0</v>
      </c>
      <c r="M34" s="50" t="n">
        <f aca="false">SUMIFS('Hisob (batafsil)'!$J$5:$J$371,'Hisob (batafsil)'!$B$5:$B$371,$A34,'Hisob (batafsil)'!$C$5:$C$371,"Kamera tizimi")</f>
        <v>0</v>
      </c>
      <c r="N34" s="50" t="n">
        <f aca="false">SUMIFS('Hisob (batafsil)'!$J$5:$J$371,'Hisob (batafsil)'!$B$5:$B$371,$A34,'Hisob (batafsil)'!$C$5:$C$371,"Logotip")</f>
        <v>0</v>
      </c>
      <c r="O34" s="50" t="n">
        <f aca="false">SUMIFS('Hisob (batafsil)'!$J$5:$J$371,'Hisob (batafsil)'!$B$5:$B$371,$A34,'Hisob (batafsil)'!$C$5:$C$371,"Matli plyonka")</f>
        <v>0</v>
      </c>
      <c r="P34" s="50" t="n">
        <f aca="false">SUMIFS('Hisob (batafsil)'!$J$5:$J$371,'Hisob (batafsil)'!$B$5:$B$371,$A34,'Hisob (batafsil)'!$C$5:$C$371,"Yong'in xavfsizligi")</f>
        <v>0</v>
      </c>
      <c r="Q34" s="50" t="n">
        <f aca="false">SUMIFS('Hisob (batafsil)'!$J$5:$J$371,'Hisob (batafsil)'!$B$5:$B$371,$A34,'Hisob (batafsil)'!$C$5:$C$371,"Buzish ishlari")</f>
        <v>0</v>
      </c>
      <c r="R34" s="50" t="n">
        <f aca="false">SUMIFS('Hisob (batafsil)'!$J$5:$J$371,'Hisob (batafsil)'!$B$5:$B$371,$A34,'Hisob (batafsil)'!$C$5:$C$371,"Santexnika")</f>
        <v>0</v>
      </c>
      <c r="S34" s="50" t="n">
        <f aca="false">SUMIFS('Hisob (batafsil)'!$J$5:$J$371,'Hisob (batafsil)'!$B$5:$B$371,$A34,'Hisob (batafsil)'!$C$5:$C$371,"Kafel")</f>
        <v>0</v>
      </c>
      <c r="T34" s="50" t="n">
        <f aca="false">SUMIFS('Hisob (batafsil)'!$J$5:$J$371,'Hisob (batafsil)'!$B$5:$B$371,$A34,'Hisob (batafsil)'!$C$5:$C$371,"Konditsioner va ventilyatsiya")</f>
        <v>0</v>
      </c>
      <c r="U34" s="50" t="n">
        <f aca="false">SUMIFS('Hisob (batafsil)'!$J$5:$J$371,'Hisob (batafsil)'!$B$5:$B$371,$A34,'Hisob (batafsil)'!$C$5:$C$371,"Mebel va interyer")</f>
        <v>0</v>
      </c>
      <c r="V34" s="50" t="n">
        <f aca="false">SUMIFS('Hisob (batafsil)'!$J$5:$J$371,'Hisob (batafsil)'!$B$5:$B$371,$A34,'Hisob (batafsil)'!$C$5:$C$371,"E'lon va e'tirof doskalari")</f>
        <v>0</v>
      </c>
      <c r="W34" s="50" t="n">
        <f aca="false">SUMIFS('Hisob (batafsil)'!$J$5:$J$371,'Hisob (batafsil)'!$B$5:$B$371,$A34,'Hisob (batafsil)'!$C$5:$C$371,"Eshiklar")</f>
        <v>0</v>
      </c>
      <c r="X34" s="50" t="n">
        <f aca="false">SUMIFS('Hisob (batafsil)'!$J$5:$J$371,'Hisob (batafsil)'!$B$5:$B$371,$A34,'Hisob (batafsil)'!$C$5:$C$371,"Internet va Wi-Fi")</f>
        <v>0</v>
      </c>
      <c r="Y34" s="50" t="n">
        <f aca="false">SUMIFS('Hisob (batafsil)'!$J$5:$J$371,'Hisob (batafsil)'!$B$5:$B$371,$A34,'Hisob (batafsil)'!$C$5:$C$371,"Elektr")</f>
        <v>0</v>
      </c>
      <c r="Z34" s="58" t="n">
        <f aca="false">C34+E34+G34+I34+K34+L34+M34+N34+O34+P34+Q34+R34+S34+T34+U34+V34+W34+X34+Y34</f>
        <v>2322.6</v>
      </c>
    </row>
    <row r="35" customFormat="false" ht="15" hidden="false" customHeight="false" outlineLevel="0" collapsed="false">
      <c r="A35" s="6" t="s">
        <v>324</v>
      </c>
      <c r="B35" s="56" t="n">
        <f aca="false">SUMIFS('Hisob (batafsil)'!$G$5:$G$371,'Hisob (batafsil)'!$B$5:$B$371,$A35,'Hisob (batafsil)'!$C$5:$C$371,"Shisha devor")</f>
        <v>0</v>
      </c>
      <c r="C35" s="50" t="n">
        <f aca="false">SUMIFS('Hisob (batafsil)'!$J$5:$J$371,'Hisob (batafsil)'!$B$5:$B$371,$A35,'Hisob (batafsil)'!$C$5:$C$371,"Shisha devor")</f>
        <v>0</v>
      </c>
      <c r="D35" s="56" t="n">
        <f aca="false">SUMIFS('Hisob (batafsil)'!$G$5:$G$371,'Hisob (batafsil)'!$B$5:$B$371,$A35,'Hisob (batafsil)'!$C$5:$C$371,"Gips karton (GKL)")</f>
        <v>0</v>
      </c>
      <c r="E35" s="50" t="n">
        <f aca="false">SUMIFS('Hisob (batafsil)'!$J$5:$J$371,'Hisob (batafsil)'!$B$5:$B$371,$A35,'Hisob (batafsil)'!$C$5:$C$371,"Gips karton (GKL)")</f>
        <v>0</v>
      </c>
      <c r="F35" s="56" t="n">
        <f aca="false">SUMIFS('Hisob (batafsil)'!$G$5:$G$371,'Hisob (batafsil)'!$B$5:$B$371,$A35,'Hisob (batafsil)'!$C$5:$C$371,"Bambuk panel")</f>
        <v>0</v>
      </c>
      <c r="G35" s="50" t="n">
        <f aca="false">SUMIFS('Hisob (batafsil)'!$J$5:$J$371,'Hisob (batafsil)'!$B$5:$B$371,$A35,'Hisob (batafsil)'!$C$5:$C$371,"Bambuk panel")</f>
        <v>0</v>
      </c>
      <c r="H35" s="57" t="n">
        <f aca="false">SUMIFS('Hisob (batafsil)'!$G$5:$G$371,'Hisob (batafsil)'!$B$5:$B$371,$A35,'Hisob (batafsil)'!$C$5:$C$371,"Interaktiv doska")</f>
        <v>0</v>
      </c>
      <c r="I35" s="50" t="n">
        <f aca="false">SUMIFS('Hisob (batafsil)'!$J$5:$J$371,'Hisob (batafsil)'!$B$5:$B$371,$A35,'Hisob (batafsil)'!$C$5:$C$371,"Interaktiv doska")</f>
        <v>0</v>
      </c>
      <c r="J35" s="56" t="n">
        <f aca="false">SUMIFS('Hisob (batafsil)'!$G$5:$G$371,'Hisob (batafsil)'!$B$5:$B$371,$A35,'Hisob (batafsil)'!$C$5:$C$371,"Perila")</f>
        <v>0</v>
      </c>
      <c r="K35" s="50" t="n">
        <f aca="false">SUMIFS('Hisob (batafsil)'!$J$5:$J$371,'Hisob (batafsil)'!$B$5:$B$371,$A35,'Hisob (batafsil)'!$C$5:$C$371,"Perila")</f>
        <v>0</v>
      </c>
      <c r="L35" s="50" t="n">
        <f aca="false">SUMIFS('Hisob (batafsil)'!$J$5:$J$371,'Hisob (batafsil)'!$B$5:$B$371,$A35,'Hisob (batafsil)'!$C$5:$C$371,"Yoritish")</f>
        <v>0</v>
      </c>
      <c r="M35" s="50" t="n">
        <f aca="false">SUMIFS('Hisob (batafsil)'!$J$5:$J$371,'Hisob (batafsil)'!$B$5:$B$371,$A35,'Hisob (batafsil)'!$C$5:$C$371,"Kamera tizimi")</f>
        <v>3438.5</v>
      </c>
      <c r="N35" s="50" t="n">
        <f aca="false">SUMIFS('Hisob (batafsil)'!$J$5:$J$371,'Hisob (batafsil)'!$B$5:$B$371,$A35,'Hisob (batafsil)'!$C$5:$C$371,"Logotip")</f>
        <v>2500</v>
      </c>
      <c r="O35" s="50" t="n">
        <f aca="false">SUMIFS('Hisob (batafsil)'!$J$5:$J$371,'Hisob (batafsil)'!$B$5:$B$371,$A35,'Hisob (batafsil)'!$C$5:$C$371,"Matli plyonka")</f>
        <v>537.81512605042</v>
      </c>
      <c r="P35" s="50" t="n">
        <f aca="false">SUMIFS('Hisob (batafsil)'!$J$5:$J$371,'Hisob (batafsil)'!$B$5:$B$371,$A35,'Hisob (batafsil)'!$C$5:$C$371,"Yong'in xavfsizligi")</f>
        <v>1512.60504201681</v>
      </c>
      <c r="Q35" s="50" t="n">
        <f aca="false">SUMIFS('Hisob (batafsil)'!$J$5:$J$371,'Hisob (batafsil)'!$B$5:$B$371,$A35,'Hisob (batafsil)'!$C$5:$C$371,"Buzish ishlari")</f>
        <v>340.546218487395</v>
      </c>
      <c r="R35" s="50" t="n">
        <f aca="false">SUMIFS('Hisob (batafsil)'!$J$5:$J$371,'Hisob (batafsil)'!$B$5:$B$371,$A35,'Hisob (batafsil)'!$C$5:$C$371,"Santexnika")</f>
        <v>0</v>
      </c>
      <c r="S35" s="50" t="n">
        <f aca="false">SUMIFS('Hisob (batafsil)'!$J$5:$J$371,'Hisob (batafsil)'!$B$5:$B$371,$A35,'Hisob (batafsil)'!$C$5:$C$371,"Kafel")</f>
        <v>0</v>
      </c>
      <c r="T35" s="50" t="n">
        <f aca="false">SUMIFS('Hisob (batafsil)'!$J$5:$J$371,'Hisob (batafsil)'!$B$5:$B$371,$A35,'Hisob (batafsil)'!$C$5:$C$371,"Konditsioner va ventilyatsiya")</f>
        <v>17061.7647058824</v>
      </c>
      <c r="U35" s="50" t="n">
        <f aca="false">SUMIFS('Hisob (batafsil)'!$J$5:$J$371,'Hisob (batafsil)'!$B$5:$B$371,$A35,'Hisob (batafsil)'!$C$5:$C$371,"Mebel va interyer")</f>
        <v>0</v>
      </c>
      <c r="V35" s="50" t="n">
        <f aca="false">SUMIFS('Hisob (batafsil)'!$J$5:$J$371,'Hisob (batafsil)'!$B$5:$B$371,$A35,'Hisob (batafsil)'!$C$5:$C$371,"E'lon va e'tirof doskalari")</f>
        <v>0</v>
      </c>
      <c r="W35" s="50" t="n">
        <f aca="false">SUMIFS('Hisob (batafsil)'!$J$5:$J$371,'Hisob (batafsil)'!$B$5:$B$371,$A35,'Hisob (batafsil)'!$C$5:$C$371,"Eshiklar")</f>
        <v>0</v>
      </c>
      <c r="X35" s="50" t="n">
        <f aca="false">SUMIFS('Hisob (batafsil)'!$J$5:$J$371,'Hisob (batafsil)'!$B$5:$B$371,$A35,'Hisob (batafsil)'!$C$5:$C$371,"Internet va Wi-Fi")</f>
        <v>2737.56302521008</v>
      </c>
      <c r="Y35" s="50" t="n">
        <f aca="false">SUMIFS('Hisob (batafsil)'!$J$5:$J$371,'Hisob (batafsil)'!$B$5:$B$371,$A35,'Hisob (batafsil)'!$C$5:$C$371,"Elektr")</f>
        <v>3264.66386554622</v>
      </c>
      <c r="Z35" s="58" t="n">
        <f aca="false">C35+E35+G35+I35+K35+L35+M35+N35+O35+P35+Q35+R35+S35+T35+U35+V35+W35+X35+Y35</f>
        <v>31393.4579831933</v>
      </c>
    </row>
    <row r="36" customFormat="false" ht="15" hidden="false" customHeight="false" outlineLevel="0" collapsed="false">
      <c r="A36" s="11" t="s">
        <v>325</v>
      </c>
      <c r="B36" s="59" t="n">
        <f aca="false">SUM(B28:B35)</f>
        <v>0</v>
      </c>
      <c r="C36" s="41" t="n">
        <f aca="false">SUM(C28:C35)</f>
        <v>0</v>
      </c>
      <c r="D36" s="59" t="n">
        <f aca="false">SUM(D28:D35)</f>
        <v>134.2</v>
      </c>
      <c r="E36" s="41" t="n">
        <f aca="false">SUM(E28:E35)</f>
        <v>1610.4</v>
      </c>
      <c r="F36" s="59" t="n">
        <f aca="false">SUM(F28:F35)</f>
        <v>0</v>
      </c>
      <c r="G36" s="41" t="n">
        <f aca="false">SUM(G28:G35)</f>
        <v>0</v>
      </c>
      <c r="H36" s="60" t="n">
        <f aca="false">SUM(H28:H35)</f>
        <v>0</v>
      </c>
      <c r="I36" s="41" t="n">
        <f aca="false">SUM(I28:I35)</f>
        <v>0</v>
      </c>
      <c r="J36" s="59" t="n">
        <f aca="false">SUM(J28:J35)</f>
        <v>27.65</v>
      </c>
      <c r="K36" s="41" t="n">
        <f aca="false">SUM(K28:K35)</f>
        <v>2322.6</v>
      </c>
      <c r="L36" s="41" t="n">
        <f aca="false">SUM(L28:L35)</f>
        <v>1008</v>
      </c>
      <c r="M36" s="41" t="n">
        <f aca="false">SUM(M28:M35)</f>
        <v>3438.5</v>
      </c>
      <c r="N36" s="41" t="n">
        <f aca="false">SUM(N28:N35)</f>
        <v>2500</v>
      </c>
      <c r="O36" s="41" t="n">
        <f aca="false">SUM(O28:O35)</f>
        <v>537.81512605042</v>
      </c>
      <c r="P36" s="41" t="n">
        <f aca="false">SUM(P28:P35)</f>
        <v>1512.60504201681</v>
      </c>
      <c r="Q36" s="41" t="n">
        <f aca="false">SUM(Q28:Q35)</f>
        <v>340.546218487395</v>
      </c>
      <c r="R36" s="41" t="n">
        <f aca="false">SUM(R28:R35)</f>
        <v>0</v>
      </c>
      <c r="S36" s="41" t="n">
        <f aca="false">SUM(S28:S35)</f>
        <v>0</v>
      </c>
      <c r="T36" s="41" t="n">
        <f aca="false">SUM(T28:T35)</f>
        <v>17061.7647058824</v>
      </c>
      <c r="U36" s="41" t="n">
        <f aca="false">SUM(U28:U35)</f>
        <v>6610</v>
      </c>
      <c r="V36" s="41" t="n">
        <f aca="false">SUM(V28:V35)</f>
        <v>370</v>
      </c>
      <c r="W36" s="41" t="n">
        <f aca="false">SUM(W28:W35)</f>
        <v>700</v>
      </c>
      <c r="X36" s="41" t="n">
        <f aca="false">SUM(X28:X35)</f>
        <v>2737.56302521008</v>
      </c>
      <c r="Y36" s="41" t="n">
        <f aca="false">SUM(Y28:Y35)</f>
        <v>3264.66386554622</v>
      </c>
      <c r="Z36" s="41" t="n">
        <f aca="false">SUM(Z28:Z35)</f>
        <v>44014.4579831933</v>
      </c>
    </row>
    <row r="38" customFormat="false" ht="15" hidden="false" customHeight="false" outlineLevel="0" collapsed="false">
      <c r="A38" s="54" t="s">
        <v>36</v>
      </c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</row>
    <row r="39" customFormat="false" ht="15" hidden="false" customHeight="false" outlineLevel="0" collapsed="false">
      <c r="A39" s="6" t="s">
        <v>326</v>
      </c>
      <c r="B39" s="56" t="n">
        <f aca="false">SUMIFS('Hisob (batafsil)'!$G$5:$G$371,'Hisob (batafsil)'!$B$5:$B$371,$A39,'Hisob (batafsil)'!$C$5:$C$371,"Shisha devor")</f>
        <v>0</v>
      </c>
      <c r="C39" s="50" t="n">
        <f aca="false">SUMIFS('Hisob (batafsil)'!$J$5:$J$371,'Hisob (batafsil)'!$B$5:$B$371,$A39,'Hisob (batafsil)'!$C$5:$C$371,"Shisha devor")</f>
        <v>0</v>
      </c>
      <c r="D39" s="56" t="n">
        <f aca="false">SUMIFS('Hisob (batafsil)'!$G$5:$G$371,'Hisob (batafsil)'!$B$5:$B$371,$A39,'Hisob (batafsil)'!$C$5:$C$371,"Gips karton (GKL)")</f>
        <v>0</v>
      </c>
      <c r="E39" s="50" t="n">
        <f aca="false">SUMIFS('Hisob (batafsil)'!$J$5:$J$371,'Hisob (batafsil)'!$B$5:$B$371,$A39,'Hisob (batafsil)'!$C$5:$C$371,"Gips karton (GKL)")</f>
        <v>0</v>
      </c>
      <c r="F39" s="56" t="n">
        <f aca="false">SUMIFS('Hisob (batafsil)'!$G$5:$G$371,'Hisob (batafsil)'!$B$5:$B$371,$A39,'Hisob (batafsil)'!$C$5:$C$371,"Bambuk panel")</f>
        <v>46.86</v>
      </c>
      <c r="G39" s="50" t="n">
        <f aca="false">SUMIFS('Hisob (batafsil)'!$J$5:$J$371,'Hisob (batafsil)'!$B$5:$B$371,$A39,'Hisob (batafsil)'!$C$5:$C$371,"Bambuk panel")</f>
        <v>726.33</v>
      </c>
      <c r="H39" s="57" t="n">
        <f aca="false">SUMIFS('Hisob (batafsil)'!$G$5:$G$371,'Hisob (batafsil)'!$B$5:$B$371,$A39,'Hisob (batafsil)'!$C$5:$C$371,"Interaktiv doska")</f>
        <v>1</v>
      </c>
      <c r="I39" s="50" t="n">
        <f aca="false">SUMIFS('Hisob (batafsil)'!$J$5:$J$371,'Hisob (batafsil)'!$B$5:$B$371,$A39,'Hisob (batafsil)'!$C$5:$C$371,"Interaktiv doska")</f>
        <v>1032</v>
      </c>
      <c r="J39" s="56" t="n">
        <f aca="false">SUMIFS('Hisob (batafsil)'!$G$5:$G$371,'Hisob (batafsil)'!$B$5:$B$371,$A39,'Hisob (batafsil)'!$C$5:$C$371,"Perila")</f>
        <v>0</v>
      </c>
      <c r="K39" s="50" t="n">
        <f aca="false">SUMIFS('Hisob (batafsil)'!$J$5:$J$371,'Hisob (batafsil)'!$B$5:$B$371,$A39,'Hisob (batafsil)'!$C$5:$C$371,"Perila")</f>
        <v>0</v>
      </c>
      <c r="L39" s="50" t="n">
        <f aca="false">SUMIFS('Hisob (batafsil)'!$J$5:$J$371,'Hisob (batafsil)'!$B$5:$B$371,$A39,'Hisob (batafsil)'!$C$5:$C$371,"Yoritish")</f>
        <v>0</v>
      </c>
      <c r="M39" s="50" t="n">
        <f aca="false">SUMIFS('Hisob (batafsil)'!$J$5:$J$371,'Hisob (batafsil)'!$B$5:$B$371,$A39,'Hisob (batafsil)'!$C$5:$C$371,"Kamera tizimi")</f>
        <v>0</v>
      </c>
      <c r="N39" s="50" t="n">
        <f aca="false">SUMIFS('Hisob (batafsil)'!$J$5:$J$371,'Hisob (batafsil)'!$B$5:$B$371,$A39,'Hisob (batafsil)'!$C$5:$C$371,"Logotip")</f>
        <v>0</v>
      </c>
      <c r="O39" s="50" t="n">
        <f aca="false">SUMIFS('Hisob (batafsil)'!$J$5:$J$371,'Hisob (batafsil)'!$B$5:$B$371,$A39,'Hisob (batafsil)'!$C$5:$C$371,"Matli plyonka")</f>
        <v>0</v>
      </c>
      <c r="P39" s="50" t="n">
        <f aca="false">SUMIFS('Hisob (batafsil)'!$J$5:$J$371,'Hisob (batafsil)'!$B$5:$B$371,$A39,'Hisob (batafsil)'!$C$5:$C$371,"Yong'in xavfsizligi")</f>
        <v>0</v>
      </c>
      <c r="Q39" s="50" t="n">
        <f aca="false">SUMIFS('Hisob (batafsil)'!$J$5:$J$371,'Hisob (batafsil)'!$B$5:$B$371,$A39,'Hisob (batafsil)'!$C$5:$C$371,"Buzish ishlari")</f>
        <v>0</v>
      </c>
      <c r="R39" s="50" t="n">
        <f aca="false">SUMIFS('Hisob (batafsil)'!$J$5:$J$371,'Hisob (batafsil)'!$B$5:$B$371,$A39,'Hisob (batafsil)'!$C$5:$C$371,"Santexnika")</f>
        <v>0</v>
      </c>
      <c r="S39" s="50" t="n">
        <f aca="false">SUMIFS('Hisob (batafsil)'!$J$5:$J$371,'Hisob (batafsil)'!$B$5:$B$371,$A39,'Hisob (batafsil)'!$C$5:$C$371,"Kafel")</f>
        <v>0</v>
      </c>
      <c r="T39" s="50" t="n">
        <f aca="false">SUMIFS('Hisob (batafsil)'!$J$5:$J$371,'Hisob (batafsil)'!$B$5:$B$371,$A39,'Hisob (batafsil)'!$C$5:$C$371,"Konditsioner va ventilyatsiya")</f>
        <v>1000</v>
      </c>
      <c r="U39" s="50" t="n">
        <f aca="false">SUMIFS('Hisob (batafsil)'!$J$5:$J$371,'Hisob (batafsil)'!$B$5:$B$371,$A39,'Hisob (batafsil)'!$C$5:$C$371,"Mebel va interyer")</f>
        <v>0</v>
      </c>
      <c r="V39" s="50" t="n">
        <f aca="false">SUMIFS('Hisob (batafsil)'!$J$5:$J$371,'Hisob (batafsil)'!$B$5:$B$371,$A39,'Hisob (batafsil)'!$C$5:$C$371,"E'lon va e'tirof doskalari")</f>
        <v>0</v>
      </c>
      <c r="W39" s="50" t="n">
        <f aca="false">SUMIFS('Hisob (batafsil)'!$J$5:$J$371,'Hisob (batafsil)'!$B$5:$B$371,$A39,'Hisob (batafsil)'!$C$5:$C$371,"Eshiklar")</f>
        <v>0</v>
      </c>
      <c r="X39" s="50" t="n">
        <f aca="false">SUMIFS('Hisob (batafsil)'!$J$5:$J$371,'Hisob (batafsil)'!$B$5:$B$371,$A39,'Hisob (batafsil)'!$C$5:$C$371,"Internet va Wi-Fi")</f>
        <v>0</v>
      </c>
      <c r="Y39" s="50" t="n">
        <f aca="false">SUMIFS('Hisob (batafsil)'!$J$5:$J$371,'Hisob (batafsil)'!$B$5:$B$371,$A39,'Hisob (batafsil)'!$C$5:$C$371,"Elektr")</f>
        <v>0</v>
      </c>
      <c r="Z39" s="58" t="n">
        <f aca="false">C39+E39+G39+I39+K39+L39+M39+N39+O39+P39+Q39+R39+S39+T39+U39+V39+W39+X39+Y39</f>
        <v>2758.33</v>
      </c>
    </row>
    <row r="40" customFormat="false" ht="15" hidden="false" customHeight="false" outlineLevel="0" collapsed="false">
      <c r="A40" s="6" t="s">
        <v>327</v>
      </c>
      <c r="B40" s="56" t="n">
        <f aca="false">SUMIFS('Hisob (batafsil)'!$G$5:$G$371,'Hisob (batafsil)'!$B$5:$B$371,$A40,'Hisob (batafsil)'!$C$5:$C$371,"Shisha devor")</f>
        <v>0</v>
      </c>
      <c r="C40" s="50" t="n">
        <f aca="false">SUMIFS('Hisob (batafsil)'!$J$5:$J$371,'Hisob (batafsil)'!$B$5:$B$371,$A40,'Hisob (batafsil)'!$C$5:$C$371,"Shisha devor")</f>
        <v>0</v>
      </c>
      <c r="D40" s="56" t="n">
        <f aca="false">SUMIFS('Hisob (batafsil)'!$G$5:$G$371,'Hisob (batafsil)'!$B$5:$B$371,$A40,'Hisob (batafsil)'!$C$5:$C$371,"Gips karton (GKL)")</f>
        <v>19.95</v>
      </c>
      <c r="E40" s="50" t="n">
        <f aca="false">SUMIFS('Hisob (batafsil)'!$J$5:$J$371,'Hisob (batafsil)'!$B$5:$B$371,$A40,'Hisob (batafsil)'!$C$5:$C$371,"Gips karton (GKL)")</f>
        <v>239.4</v>
      </c>
      <c r="F40" s="56" t="n">
        <f aca="false">SUMIFS('Hisob (batafsil)'!$G$5:$G$371,'Hisob (batafsil)'!$B$5:$B$371,$A40,'Hisob (batafsil)'!$C$5:$C$371,"Bambuk panel")</f>
        <v>0</v>
      </c>
      <c r="G40" s="50" t="n">
        <f aca="false">SUMIFS('Hisob (batafsil)'!$J$5:$J$371,'Hisob (batafsil)'!$B$5:$B$371,$A40,'Hisob (batafsil)'!$C$5:$C$371,"Bambuk panel")</f>
        <v>0</v>
      </c>
      <c r="H40" s="57" t="n">
        <f aca="false">SUMIFS('Hisob (batafsil)'!$G$5:$G$371,'Hisob (batafsil)'!$B$5:$B$371,$A40,'Hisob (batafsil)'!$C$5:$C$371,"Interaktiv doska")</f>
        <v>0</v>
      </c>
      <c r="I40" s="50" t="n">
        <f aca="false">SUMIFS('Hisob (batafsil)'!$J$5:$J$371,'Hisob (batafsil)'!$B$5:$B$371,$A40,'Hisob (batafsil)'!$C$5:$C$371,"Interaktiv doska")</f>
        <v>0</v>
      </c>
      <c r="J40" s="56" t="n">
        <f aca="false">SUMIFS('Hisob (batafsil)'!$G$5:$G$371,'Hisob (batafsil)'!$B$5:$B$371,$A40,'Hisob (batafsil)'!$C$5:$C$371,"Perila")</f>
        <v>0</v>
      </c>
      <c r="K40" s="50" t="n">
        <f aca="false">SUMIFS('Hisob (batafsil)'!$J$5:$J$371,'Hisob (batafsil)'!$B$5:$B$371,$A40,'Hisob (batafsil)'!$C$5:$C$371,"Perila")</f>
        <v>0</v>
      </c>
      <c r="L40" s="50" t="n">
        <f aca="false">SUMIFS('Hisob (batafsil)'!$J$5:$J$371,'Hisob (batafsil)'!$B$5:$B$371,$A40,'Hisob (batafsil)'!$C$5:$C$371,"Yoritish")</f>
        <v>0</v>
      </c>
      <c r="M40" s="50" t="n">
        <f aca="false">SUMIFS('Hisob (batafsil)'!$J$5:$J$371,'Hisob (batafsil)'!$B$5:$B$371,$A40,'Hisob (batafsil)'!$C$5:$C$371,"Kamera tizimi")</f>
        <v>0</v>
      </c>
      <c r="N40" s="50" t="n">
        <f aca="false">SUMIFS('Hisob (batafsil)'!$J$5:$J$371,'Hisob (batafsil)'!$B$5:$B$371,$A40,'Hisob (batafsil)'!$C$5:$C$371,"Logotip")</f>
        <v>0</v>
      </c>
      <c r="O40" s="50" t="n">
        <f aca="false">SUMIFS('Hisob (batafsil)'!$J$5:$J$371,'Hisob (batafsil)'!$B$5:$B$371,$A40,'Hisob (batafsil)'!$C$5:$C$371,"Matli plyonka")</f>
        <v>0</v>
      </c>
      <c r="P40" s="50" t="n">
        <f aca="false">SUMIFS('Hisob (batafsil)'!$J$5:$J$371,'Hisob (batafsil)'!$B$5:$B$371,$A40,'Hisob (batafsil)'!$C$5:$C$371,"Yong'in xavfsizligi")</f>
        <v>0</v>
      </c>
      <c r="Q40" s="50" t="n">
        <f aca="false">SUMIFS('Hisob (batafsil)'!$J$5:$J$371,'Hisob (batafsil)'!$B$5:$B$371,$A40,'Hisob (batafsil)'!$C$5:$C$371,"Buzish ishlari")</f>
        <v>0</v>
      </c>
      <c r="R40" s="50" t="n">
        <f aca="false">SUMIFS('Hisob (batafsil)'!$J$5:$J$371,'Hisob (batafsil)'!$B$5:$B$371,$A40,'Hisob (batafsil)'!$C$5:$C$371,"Santexnika")</f>
        <v>3317.64705882353</v>
      </c>
      <c r="S40" s="50" t="n">
        <f aca="false">SUMIFS('Hisob (batafsil)'!$J$5:$J$371,'Hisob (batafsil)'!$B$5:$B$371,$A40,'Hisob (batafsil)'!$C$5:$C$371,"Kafel")</f>
        <v>1243.6974789916</v>
      </c>
      <c r="T40" s="50" t="n">
        <f aca="false">SUMIFS('Hisob (batafsil)'!$J$5:$J$371,'Hisob (batafsil)'!$B$5:$B$371,$A40,'Hisob (batafsil)'!$C$5:$C$371,"Konditsioner va ventilyatsiya")</f>
        <v>0</v>
      </c>
      <c r="U40" s="50" t="n">
        <f aca="false">SUMIFS('Hisob (batafsil)'!$J$5:$J$371,'Hisob (batafsil)'!$B$5:$B$371,$A40,'Hisob (batafsil)'!$C$5:$C$371,"Mebel va interyer")</f>
        <v>0</v>
      </c>
      <c r="V40" s="50" t="n">
        <f aca="false">SUMIFS('Hisob (batafsil)'!$J$5:$J$371,'Hisob (batafsil)'!$B$5:$B$371,$A40,'Hisob (batafsil)'!$C$5:$C$371,"E'lon va e'tirof doskalari")</f>
        <v>0</v>
      </c>
      <c r="W40" s="50" t="n">
        <f aca="false">SUMIFS('Hisob (batafsil)'!$J$5:$J$371,'Hisob (batafsil)'!$B$5:$B$371,$A40,'Hisob (batafsil)'!$C$5:$C$371,"Eshiklar")</f>
        <v>0</v>
      </c>
      <c r="X40" s="50" t="n">
        <f aca="false">SUMIFS('Hisob (batafsil)'!$J$5:$J$371,'Hisob (batafsil)'!$B$5:$B$371,$A40,'Hisob (batafsil)'!$C$5:$C$371,"Internet va Wi-Fi")</f>
        <v>0</v>
      </c>
      <c r="Y40" s="50" t="n">
        <f aca="false">SUMIFS('Hisob (batafsil)'!$J$5:$J$371,'Hisob (batafsil)'!$B$5:$B$371,$A40,'Hisob (batafsil)'!$C$5:$C$371,"Elektr")</f>
        <v>0</v>
      </c>
      <c r="Z40" s="58" t="n">
        <f aca="false">C40+E40+G40+I40+K40+L40+M40+N40+O40+P40+Q40+R40+S40+T40+U40+V40+W40+X40+Y40</f>
        <v>4800.74453781513</v>
      </c>
    </row>
    <row r="41" customFormat="false" ht="15" hidden="false" customHeight="false" outlineLevel="0" collapsed="false">
      <c r="A41" s="11" t="s">
        <v>328</v>
      </c>
      <c r="B41" s="59" t="n">
        <f aca="false">SUM(B39:B40)</f>
        <v>0</v>
      </c>
      <c r="C41" s="41" t="n">
        <f aca="false">SUM(C39:C40)</f>
        <v>0</v>
      </c>
      <c r="D41" s="59" t="n">
        <f aca="false">SUM(D39:D40)</f>
        <v>19.95</v>
      </c>
      <c r="E41" s="41" t="n">
        <f aca="false">SUM(E39:E40)</f>
        <v>239.4</v>
      </c>
      <c r="F41" s="59" t="n">
        <f aca="false">SUM(F39:F40)</f>
        <v>46.86</v>
      </c>
      <c r="G41" s="41" t="n">
        <f aca="false">SUM(G39:G40)</f>
        <v>726.33</v>
      </c>
      <c r="H41" s="60" t="n">
        <f aca="false">SUM(H39:H40)</f>
        <v>1</v>
      </c>
      <c r="I41" s="41" t="n">
        <f aca="false">SUM(I39:I40)</f>
        <v>1032</v>
      </c>
      <c r="J41" s="59" t="n">
        <f aca="false">SUM(J39:J40)</f>
        <v>0</v>
      </c>
      <c r="K41" s="41" t="n">
        <f aca="false">SUM(K39:K40)</f>
        <v>0</v>
      </c>
      <c r="L41" s="41" t="n">
        <f aca="false">SUM(L39:L40)</f>
        <v>0</v>
      </c>
      <c r="M41" s="41" t="n">
        <f aca="false">SUM(M39:M40)</f>
        <v>0</v>
      </c>
      <c r="N41" s="41" t="n">
        <f aca="false">SUM(N39:N40)</f>
        <v>0</v>
      </c>
      <c r="O41" s="41" t="n">
        <f aca="false">SUM(O39:O40)</f>
        <v>0</v>
      </c>
      <c r="P41" s="41" t="n">
        <f aca="false">SUM(P39:P40)</f>
        <v>0</v>
      </c>
      <c r="Q41" s="41" t="n">
        <f aca="false">SUM(Q39:Q40)</f>
        <v>0</v>
      </c>
      <c r="R41" s="41" t="n">
        <f aca="false">SUM(R39:R40)</f>
        <v>3317.64705882353</v>
      </c>
      <c r="S41" s="41" t="n">
        <f aca="false">SUM(S39:S40)</f>
        <v>1243.6974789916</v>
      </c>
      <c r="T41" s="41" t="n">
        <f aca="false">SUM(T39:T40)</f>
        <v>1000</v>
      </c>
      <c r="U41" s="41" t="n">
        <f aca="false">SUM(U39:U40)</f>
        <v>0</v>
      </c>
      <c r="V41" s="41" t="n">
        <f aca="false">SUM(V39:V40)</f>
        <v>0</v>
      </c>
      <c r="W41" s="41" t="n">
        <f aca="false">SUM(W39:W40)</f>
        <v>0</v>
      </c>
      <c r="X41" s="41" t="n">
        <f aca="false">SUM(X39:X40)</f>
        <v>0</v>
      </c>
      <c r="Y41" s="41" t="n">
        <f aca="false">SUM(Y39:Y40)</f>
        <v>0</v>
      </c>
      <c r="Z41" s="41" t="n">
        <f aca="false">SUM(Z39:Z40)</f>
        <v>7559.07453781513</v>
      </c>
    </row>
    <row r="43" customFormat="false" ht="15" hidden="false" customHeight="false" outlineLevel="0" collapsed="false">
      <c r="A43" s="20" t="s">
        <v>27</v>
      </c>
      <c r="B43" s="61" t="n">
        <f aca="false">B7+B17+B25+B36+B41</f>
        <v>140.375</v>
      </c>
      <c r="C43" s="62" t="n">
        <f aca="false">C7+C17+C25+C36+C41</f>
        <v>7720.625</v>
      </c>
      <c r="D43" s="61" t="n">
        <f aca="false">D7+D17+D25+D36+D41</f>
        <v>339.78</v>
      </c>
      <c r="E43" s="62" t="n">
        <f aca="false">E7+E17+E25+E36+E41</f>
        <v>4077.36</v>
      </c>
      <c r="F43" s="61" t="n">
        <f aca="false">F7+F17+F25+F36+F41</f>
        <v>534.97</v>
      </c>
      <c r="G43" s="62" t="n">
        <f aca="false">G7+G17+G25+G36+G41</f>
        <v>8292.035</v>
      </c>
      <c r="H43" s="63" t="n">
        <f aca="false">H7+H17+H25+H36+H41</f>
        <v>8</v>
      </c>
      <c r="I43" s="62" t="n">
        <f aca="false">I7+I17+I25+I36+I41</f>
        <v>8256</v>
      </c>
      <c r="J43" s="61" t="n">
        <f aca="false">J7+J17+J25+J36+J41</f>
        <v>27.65</v>
      </c>
      <c r="K43" s="62" t="n">
        <f aca="false">K7+K17+K25+K36+K41</f>
        <v>2322.6</v>
      </c>
      <c r="L43" s="62" t="n">
        <f aca="false">L7+L17+L25+L36+L41</f>
        <v>3024</v>
      </c>
      <c r="M43" s="62" t="n">
        <f aca="false">M7+M17+M25+M36+M41</f>
        <v>3438.5</v>
      </c>
      <c r="N43" s="62" t="n">
        <f aca="false">N7+N17+N25+N36+N41</f>
        <v>3250</v>
      </c>
      <c r="O43" s="62" t="n">
        <f aca="false">O7+O17+O25+O36+O41</f>
        <v>537.81512605042</v>
      </c>
      <c r="P43" s="62" t="n">
        <f aca="false">P7+P17+P25+P36+P41</f>
        <v>1512.60504201681</v>
      </c>
      <c r="Q43" s="62" t="n">
        <f aca="false">Q7+Q17+Q25+Q36+Q41</f>
        <v>340.546218487395</v>
      </c>
      <c r="R43" s="62" t="n">
        <f aca="false">R7+R17+R25+R36+R41</f>
        <v>3317.64705882353</v>
      </c>
      <c r="S43" s="62" t="n">
        <f aca="false">S7+S17+S25+S36+S41</f>
        <v>1243.6974789916</v>
      </c>
      <c r="T43" s="62" t="n">
        <f aca="false">T7+T17+T25+T36+T41</f>
        <v>18061.7647058824</v>
      </c>
      <c r="U43" s="62" t="n">
        <f aca="false">U7+U17+U25+U36+U41</f>
        <v>13100</v>
      </c>
      <c r="V43" s="62" t="n">
        <f aca="false">V7+V17+V25+V36+V41</f>
        <v>370</v>
      </c>
      <c r="W43" s="62" t="n">
        <f aca="false">W7+W17+W25+W36+W41</f>
        <v>2350</v>
      </c>
      <c r="X43" s="62" t="n">
        <f aca="false">X7+X17+X25+X36+X41</f>
        <v>2737.56302521008</v>
      </c>
      <c r="Y43" s="62" t="n">
        <f aca="false">Y7+Y17+Y25+Y36+Y41</f>
        <v>3264.66386554622</v>
      </c>
      <c r="Z43" s="62" t="n">
        <f aca="false">Z7+Z17+Z25+Z36+Z41</f>
        <v>87217.4225210084</v>
      </c>
    </row>
    <row r="44" customFormat="false" ht="15" hidden="false" customHeight="false" outlineLevel="0" collapsed="false">
      <c r="A44" s="16" t="str">
        <f aca="false">"Kutilmagan xarajatlar ("&amp;TEXT(Narxlar!$C$132,"0%")&amp;" — «Narxlar» varag'idan)"</f>
        <v>Kutilmagan xarajatlar (10% — «Narxlar» varag'idan)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64" t="n">
        <f aca="false">Z43*Narxlar!$C$132</f>
        <v>8721.74225210084</v>
      </c>
    </row>
    <row r="45" customFormat="false" ht="15" hidden="false" customHeight="false" outlineLevel="0" collapsed="false">
      <c r="A45" s="20" t="s">
        <v>329</v>
      </c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62" t="n">
        <f aca="false">Z43+Z44</f>
        <v>95939.1647731093</v>
      </c>
    </row>
    <row r="46" customFormat="false" ht="15" hidden="false" customHeight="false" outlineLevel="0" collapsed="false">
      <c r="A46" s="20" t="s">
        <v>330</v>
      </c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2" t="n">
        <f aca="false">Z45*Narxlar!$C$58</f>
        <v>1141676060.8</v>
      </c>
    </row>
    <row r="48" customFormat="false" ht="15" hidden="false" customHeight="false" outlineLevel="0" collapsed="false">
      <c r="A48" s="2" t="s">
        <v>331</v>
      </c>
      <c r="Z48" s="27" t="n">
        <f aca="false">Z43-'Hisob (batafsil)'!J372</f>
        <v>0</v>
      </c>
    </row>
  </sheetData>
  <mergeCells count="3">
    <mergeCell ref="A44:Y44"/>
    <mergeCell ref="A45:Y45"/>
    <mergeCell ref="A46:Y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false" outlineLevel="0" max="3" min="3" style="0" width="12"/>
    <col collapsed="false" customWidth="true" hidden="false" outlineLevel="0" max="4" min="4" style="0" width="9"/>
    <col collapsed="false" customWidth="true" hidden="false" outlineLevel="0" max="5" min="5" style="0" width="80"/>
  </cols>
  <sheetData>
    <row r="1" customFormat="false" ht="17.35" hidden="false" customHeight="false" outlineLevel="0" collapsed="false">
      <c r="A1" s="1" t="s">
        <v>332</v>
      </c>
    </row>
    <row r="2" customFormat="false" ht="15" hidden="false" customHeight="false" outlineLevel="0" collapsed="false">
      <c r="A2" s="2" t="s">
        <v>333</v>
      </c>
    </row>
    <row r="4" customFormat="false" ht="15" hidden="false" customHeight="false" outlineLevel="0" collapsed="false">
      <c r="A4" s="4" t="s">
        <v>3</v>
      </c>
      <c r="B4" s="4" t="s">
        <v>334</v>
      </c>
      <c r="C4" s="4" t="s">
        <v>335</v>
      </c>
      <c r="D4" s="4" t="s">
        <v>336</v>
      </c>
      <c r="E4" s="4" t="s">
        <v>337</v>
      </c>
    </row>
    <row r="5" customFormat="false" ht="15" hidden="false" customHeight="false" outlineLevel="0" collapsed="false">
      <c r="A5" s="5" t="n">
        <v>1</v>
      </c>
      <c r="B5" s="6" t="s">
        <v>8</v>
      </c>
      <c r="C5" s="65" t="n">
        <v>55</v>
      </c>
      <c r="D5" s="6" t="s">
        <v>338</v>
      </c>
      <c r="E5" s="6" t="s">
        <v>339</v>
      </c>
    </row>
    <row r="6" customFormat="false" ht="15" hidden="false" customHeight="false" outlineLevel="0" collapsed="false">
      <c r="A6" s="5" t="n">
        <v>2</v>
      </c>
      <c r="B6" s="6" t="s">
        <v>129</v>
      </c>
      <c r="C6" s="65" t="n">
        <v>12</v>
      </c>
      <c r="D6" s="6" t="s">
        <v>338</v>
      </c>
      <c r="E6" s="6" t="s">
        <v>340</v>
      </c>
    </row>
    <row r="7" customFormat="false" ht="15" hidden="false" customHeight="false" outlineLevel="0" collapsed="false">
      <c r="A7" s="5" t="n">
        <v>3</v>
      </c>
      <c r="B7" s="6" t="s">
        <v>10</v>
      </c>
      <c r="C7" s="65" t="n">
        <v>15.5</v>
      </c>
      <c r="D7" s="6" t="s">
        <v>338</v>
      </c>
      <c r="E7" s="6" t="s">
        <v>339</v>
      </c>
    </row>
    <row r="8" customFormat="false" ht="15" hidden="false" customHeight="false" outlineLevel="0" collapsed="false">
      <c r="A8" s="5" t="n">
        <v>4</v>
      </c>
      <c r="B8" s="6" t="s">
        <v>11</v>
      </c>
      <c r="C8" s="65" t="n">
        <v>1032</v>
      </c>
      <c r="D8" s="6" t="s">
        <v>341</v>
      </c>
      <c r="E8" s="6" t="s">
        <v>342</v>
      </c>
    </row>
    <row r="9" customFormat="false" ht="15" hidden="false" customHeight="false" outlineLevel="0" collapsed="false">
      <c r="A9" s="5" t="n">
        <v>5</v>
      </c>
      <c r="B9" s="6" t="s">
        <v>12</v>
      </c>
      <c r="C9" s="65" t="n">
        <v>84</v>
      </c>
      <c r="D9" s="6" t="s">
        <v>343</v>
      </c>
      <c r="E9" s="6" t="s">
        <v>339</v>
      </c>
    </row>
    <row r="10" customFormat="false" ht="15" hidden="false" customHeight="false" outlineLevel="0" collapsed="false">
      <c r="A10" s="5" t="n">
        <v>6</v>
      </c>
      <c r="B10" s="6" t="s">
        <v>344</v>
      </c>
      <c r="C10" s="66" t="n">
        <v>24</v>
      </c>
      <c r="D10" s="6" t="s">
        <v>345</v>
      </c>
      <c r="E10" s="6" t="s">
        <v>339</v>
      </c>
    </row>
    <row r="11" customFormat="false" ht="15" hidden="false" customHeight="false" outlineLevel="0" collapsed="false">
      <c r="A11" s="5" t="n">
        <v>7</v>
      </c>
      <c r="B11" s="6" t="s">
        <v>183</v>
      </c>
      <c r="C11" s="65" t="n">
        <v>336</v>
      </c>
      <c r="D11" s="6" t="s">
        <v>346</v>
      </c>
      <c r="E11" s="6" t="s">
        <v>347</v>
      </c>
    </row>
    <row r="12" customFormat="false" ht="15" hidden="false" customHeight="false" outlineLevel="0" collapsed="false">
      <c r="A12" s="5" t="n">
        <v>8</v>
      </c>
      <c r="B12" s="6" t="s">
        <v>181</v>
      </c>
      <c r="C12" s="65" t="n">
        <v>168</v>
      </c>
      <c r="D12" s="6" t="s">
        <v>348</v>
      </c>
      <c r="E12" s="6" t="s">
        <v>349</v>
      </c>
    </row>
    <row r="13" customFormat="false" ht="15" hidden="false" customHeight="false" outlineLevel="0" collapsed="false">
      <c r="A13" s="5" t="n">
        <v>9</v>
      </c>
      <c r="B13" s="6" t="s">
        <v>185</v>
      </c>
      <c r="C13" s="65" t="n">
        <v>40</v>
      </c>
      <c r="D13" s="6" t="s">
        <v>341</v>
      </c>
      <c r="E13" s="6" t="s">
        <v>339</v>
      </c>
    </row>
    <row r="14" customFormat="false" ht="15" hidden="false" customHeight="false" outlineLevel="0" collapsed="false">
      <c r="A14" s="5" t="n">
        <v>10</v>
      </c>
      <c r="B14" s="6" t="s">
        <v>350</v>
      </c>
      <c r="C14" s="67" t="n">
        <v>24</v>
      </c>
      <c r="D14" s="6" t="s">
        <v>351</v>
      </c>
      <c r="E14" s="6" t="s">
        <v>352</v>
      </c>
    </row>
    <row r="15" customFormat="false" ht="15" hidden="false" customHeight="false" outlineLevel="0" collapsed="false">
      <c r="A15" s="5" t="n">
        <v>11</v>
      </c>
      <c r="B15" s="6" t="s">
        <v>187</v>
      </c>
      <c r="C15" s="65" t="n">
        <v>21</v>
      </c>
      <c r="D15" s="6" t="s">
        <v>341</v>
      </c>
      <c r="E15" s="6" t="s">
        <v>339</v>
      </c>
    </row>
    <row r="16" customFormat="false" ht="15" hidden="false" customHeight="false" outlineLevel="0" collapsed="false">
      <c r="A16" s="5" t="n">
        <v>12</v>
      </c>
      <c r="B16" s="6" t="s">
        <v>189</v>
      </c>
      <c r="C16" s="65" t="n">
        <v>840</v>
      </c>
      <c r="D16" s="6" t="s">
        <v>341</v>
      </c>
      <c r="E16" s="6" t="s">
        <v>353</v>
      </c>
    </row>
    <row r="17" customFormat="false" ht="15" hidden="false" customHeight="false" outlineLevel="0" collapsed="false">
      <c r="A17" s="5" t="n">
        <v>13</v>
      </c>
      <c r="B17" s="6" t="s">
        <v>131</v>
      </c>
      <c r="C17" s="65" t="n">
        <v>303</v>
      </c>
      <c r="D17" s="6" t="s">
        <v>354</v>
      </c>
      <c r="E17" s="6" t="s">
        <v>355</v>
      </c>
    </row>
    <row r="18" customFormat="false" ht="15" hidden="false" customHeight="false" outlineLevel="0" collapsed="false">
      <c r="A18" s="5" t="n">
        <v>14</v>
      </c>
      <c r="B18" s="6" t="s">
        <v>356</v>
      </c>
      <c r="C18" s="68" t="n">
        <f aca="false">C14/16</f>
        <v>1.5</v>
      </c>
      <c r="D18" s="6" t="s">
        <v>357</v>
      </c>
      <c r="E18" s="6" t="s">
        <v>358</v>
      </c>
    </row>
    <row r="19" customFormat="false" ht="15" hidden="false" customHeight="false" outlineLevel="0" collapsed="false">
      <c r="A19" s="5" t="n">
        <v>15</v>
      </c>
      <c r="B19" s="6" t="s">
        <v>191</v>
      </c>
      <c r="C19" s="69" t="n">
        <v>280</v>
      </c>
      <c r="D19" s="6" t="s">
        <v>341</v>
      </c>
      <c r="E19" s="6" t="s">
        <v>359</v>
      </c>
    </row>
    <row r="20" customFormat="false" ht="15" hidden="false" customHeight="false" outlineLevel="0" collapsed="false">
      <c r="A20" s="5" t="n">
        <v>16</v>
      </c>
      <c r="B20" s="6" t="s">
        <v>193</v>
      </c>
      <c r="C20" s="69" t="n">
        <v>220</v>
      </c>
      <c r="D20" s="6" t="s">
        <v>341</v>
      </c>
      <c r="E20" s="6" t="s">
        <v>360</v>
      </c>
    </row>
    <row r="21" customFormat="false" ht="15" hidden="false" customHeight="false" outlineLevel="0" collapsed="false">
      <c r="A21" s="5" t="n">
        <v>17</v>
      </c>
      <c r="B21" s="6" t="s">
        <v>195</v>
      </c>
      <c r="C21" s="69" t="n">
        <v>180</v>
      </c>
      <c r="D21" s="6" t="s">
        <v>341</v>
      </c>
      <c r="E21" s="6" t="s">
        <v>360</v>
      </c>
    </row>
    <row r="22" customFormat="false" ht="15" hidden="false" customHeight="false" outlineLevel="0" collapsed="false">
      <c r="A22" s="5" t="n">
        <v>18</v>
      </c>
      <c r="B22" s="6" t="s">
        <v>235</v>
      </c>
      <c r="C22" s="69" t="n">
        <v>200</v>
      </c>
      <c r="D22" s="6" t="s">
        <v>341</v>
      </c>
      <c r="E22" s="6" t="s">
        <v>360</v>
      </c>
    </row>
    <row r="23" customFormat="false" ht="15" hidden="false" customHeight="false" outlineLevel="0" collapsed="false">
      <c r="A23" s="5" t="n">
        <v>19</v>
      </c>
      <c r="B23" s="6" t="s">
        <v>237</v>
      </c>
      <c r="C23" s="69" t="n">
        <v>350</v>
      </c>
      <c r="D23" s="6" t="s">
        <v>341</v>
      </c>
      <c r="E23" s="6" t="s">
        <v>360</v>
      </c>
    </row>
    <row r="24" customFormat="false" ht="15" hidden="false" customHeight="false" outlineLevel="0" collapsed="false">
      <c r="A24" s="5" t="n">
        <v>20</v>
      </c>
      <c r="B24" s="6" t="s">
        <v>239</v>
      </c>
      <c r="C24" s="69" t="n">
        <v>60</v>
      </c>
      <c r="D24" s="6" t="s">
        <v>341</v>
      </c>
      <c r="E24" s="6" t="s">
        <v>360</v>
      </c>
    </row>
    <row r="25" customFormat="false" ht="15" hidden="false" customHeight="false" outlineLevel="0" collapsed="false">
      <c r="A25" s="5" t="n">
        <v>21</v>
      </c>
      <c r="B25" s="6" t="s">
        <v>361</v>
      </c>
      <c r="C25" s="67" t="n">
        <v>3</v>
      </c>
      <c r="D25" s="6" t="s">
        <v>351</v>
      </c>
      <c r="E25" s="6" t="s">
        <v>362</v>
      </c>
    </row>
    <row r="26" customFormat="false" ht="15" hidden="false" customHeight="false" outlineLevel="0" collapsed="false">
      <c r="A26" s="5" t="n">
        <v>22</v>
      </c>
      <c r="B26" s="6" t="s">
        <v>231</v>
      </c>
      <c r="C26" s="70" t="n">
        <v>120000</v>
      </c>
      <c r="D26" s="6" t="s">
        <v>363</v>
      </c>
      <c r="E26" s="6" t="s">
        <v>359</v>
      </c>
    </row>
    <row r="27" customFormat="false" ht="15" hidden="false" customHeight="false" outlineLevel="0" collapsed="false">
      <c r="A27" s="5" t="n">
        <v>23</v>
      </c>
      <c r="B27" s="6" t="s">
        <v>364</v>
      </c>
      <c r="C27" s="67" t="n">
        <v>16</v>
      </c>
      <c r="D27" s="6" t="s">
        <v>351</v>
      </c>
      <c r="E27" s="6" t="s">
        <v>365</v>
      </c>
    </row>
    <row r="28" customFormat="false" ht="15" hidden="false" customHeight="false" outlineLevel="0" collapsed="false">
      <c r="A28" s="5" t="n">
        <v>24</v>
      </c>
      <c r="B28" s="6" t="s">
        <v>233</v>
      </c>
      <c r="C28" s="69" t="n">
        <v>130</v>
      </c>
      <c r="D28" s="6" t="s">
        <v>341</v>
      </c>
      <c r="E28" s="6" t="s">
        <v>360</v>
      </c>
    </row>
    <row r="29" customFormat="false" ht="15" hidden="false" customHeight="false" outlineLevel="0" collapsed="false">
      <c r="A29" s="5" t="n">
        <v>25</v>
      </c>
      <c r="B29" s="6" t="s">
        <v>366</v>
      </c>
      <c r="C29" s="67" t="n">
        <v>6</v>
      </c>
      <c r="D29" s="6" t="s">
        <v>351</v>
      </c>
      <c r="E29" s="6" t="s">
        <v>367</v>
      </c>
    </row>
    <row r="30" customFormat="false" ht="15" hidden="false" customHeight="false" outlineLevel="0" collapsed="false">
      <c r="A30" s="5" t="n">
        <v>26</v>
      </c>
      <c r="B30" s="6" t="s">
        <v>151</v>
      </c>
      <c r="C30" s="70" t="n">
        <v>6000</v>
      </c>
      <c r="D30" s="6" t="s">
        <v>368</v>
      </c>
      <c r="E30" s="6" t="s">
        <v>369</v>
      </c>
    </row>
    <row r="31" customFormat="false" ht="15" hidden="false" customHeight="false" outlineLevel="0" collapsed="false">
      <c r="A31" s="5" t="n">
        <v>27</v>
      </c>
      <c r="B31" s="6" t="s">
        <v>370</v>
      </c>
      <c r="C31" s="66" t="n">
        <v>983</v>
      </c>
      <c r="D31" s="6" t="s">
        <v>345</v>
      </c>
      <c r="E31" s="6" t="s">
        <v>371</v>
      </c>
    </row>
    <row r="32" customFormat="false" ht="15" hidden="false" customHeight="false" outlineLevel="0" collapsed="false">
      <c r="A32" s="5" t="n">
        <v>28</v>
      </c>
      <c r="B32" s="6" t="s">
        <v>155</v>
      </c>
      <c r="C32" s="70" t="n">
        <v>60000</v>
      </c>
      <c r="D32" s="6" t="s">
        <v>372</v>
      </c>
      <c r="E32" s="6" t="s">
        <v>360</v>
      </c>
    </row>
    <row r="33" customFormat="false" ht="15" hidden="false" customHeight="false" outlineLevel="0" collapsed="false">
      <c r="A33" s="5" t="n">
        <v>29</v>
      </c>
      <c r="B33" s="6" t="s">
        <v>373</v>
      </c>
      <c r="C33" s="66" t="n">
        <v>38</v>
      </c>
      <c r="D33" s="6" t="s">
        <v>374</v>
      </c>
      <c r="E33" s="6" t="s">
        <v>375</v>
      </c>
    </row>
    <row r="34" customFormat="false" ht="15" hidden="false" customHeight="false" outlineLevel="0" collapsed="false">
      <c r="A34" s="5" t="n">
        <v>30</v>
      </c>
      <c r="B34" s="6" t="s">
        <v>153</v>
      </c>
      <c r="C34" s="70" t="n">
        <v>55000</v>
      </c>
      <c r="D34" s="6" t="s">
        <v>368</v>
      </c>
      <c r="E34" s="6" t="s">
        <v>360</v>
      </c>
    </row>
    <row r="35" customFormat="false" ht="15" hidden="false" customHeight="false" outlineLevel="0" collapsed="false">
      <c r="A35" s="5" t="n">
        <v>31</v>
      </c>
      <c r="B35" s="6" t="s">
        <v>376</v>
      </c>
      <c r="C35" s="66" t="n">
        <v>82</v>
      </c>
      <c r="D35" s="6" t="s">
        <v>345</v>
      </c>
      <c r="E35" s="6" t="s">
        <v>377</v>
      </c>
    </row>
    <row r="36" customFormat="false" ht="15" hidden="false" customHeight="false" outlineLevel="0" collapsed="false">
      <c r="A36" s="5" t="n">
        <v>32</v>
      </c>
      <c r="B36" s="6" t="s">
        <v>378</v>
      </c>
      <c r="C36" s="66" t="n">
        <v>57</v>
      </c>
      <c r="D36" s="6" t="s">
        <v>345</v>
      </c>
      <c r="E36" s="6" t="s">
        <v>379</v>
      </c>
    </row>
    <row r="37" customFormat="false" ht="15" hidden="false" customHeight="false" outlineLevel="0" collapsed="false">
      <c r="A37" s="5" t="n">
        <v>33</v>
      </c>
      <c r="B37" s="6" t="s">
        <v>157</v>
      </c>
      <c r="C37" s="70" t="n">
        <v>15000</v>
      </c>
      <c r="D37" s="6" t="s">
        <v>368</v>
      </c>
      <c r="E37" s="6" t="s">
        <v>380</v>
      </c>
    </row>
    <row r="38" customFormat="false" ht="15" hidden="false" customHeight="false" outlineLevel="0" collapsed="false">
      <c r="A38" s="5" t="n">
        <v>34</v>
      </c>
      <c r="B38" s="6" t="s">
        <v>381</v>
      </c>
      <c r="C38" s="66" t="n">
        <v>538</v>
      </c>
      <c r="D38" s="6" t="s">
        <v>345</v>
      </c>
      <c r="E38" s="6" t="s">
        <v>382</v>
      </c>
    </row>
    <row r="39" customFormat="false" ht="15" hidden="false" customHeight="false" outlineLevel="0" collapsed="false">
      <c r="A39" s="5" t="n">
        <v>35</v>
      </c>
      <c r="B39" s="6" t="s">
        <v>159</v>
      </c>
      <c r="C39" s="70" t="n">
        <v>10000</v>
      </c>
      <c r="D39" s="6" t="s">
        <v>368</v>
      </c>
      <c r="E39" s="6" t="s">
        <v>360</v>
      </c>
    </row>
    <row r="40" customFormat="false" ht="15" hidden="false" customHeight="false" outlineLevel="0" collapsed="false">
      <c r="A40" s="5" t="n">
        <v>36</v>
      </c>
      <c r="B40" s="6" t="s">
        <v>383</v>
      </c>
      <c r="C40" s="66" t="n">
        <v>521</v>
      </c>
      <c r="D40" s="6" t="s">
        <v>345</v>
      </c>
      <c r="E40" s="6" t="s">
        <v>384</v>
      </c>
    </row>
    <row r="41" customFormat="false" ht="15" hidden="false" customHeight="false" outlineLevel="0" collapsed="false">
      <c r="A41" s="5" t="n">
        <v>37</v>
      </c>
      <c r="B41" s="6" t="s">
        <v>161</v>
      </c>
      <c r="C41" s="70" t="n">
        <v>45000</v>
      </c>
      <c r="D41" s="6" t="s">
        <v>368</v>
      </c>
      <c r="E41" s="6" t="s">
        <v>360</v>
      </c>
    </row>
    <row r="42" customFormat="false" ht="15" hidden="false" customHeight="false" outlineLevel="0" collapsed="false">
      <c r="A42" s="5" t="n">
        <v>38</v>
      </c>
      <c r="B42" s="6" t="s">
        <v>385</v>
      </c>
      <c r="C42" s="66" t="n">
        <v>64</v>
      </c>
      <c r="D42" s="6" t="s">
        <v>345</v>
      </c>
      <c r="E42" s="6" t="s">
        <v>386</v>
      </c>
    </row>
    <row r="43" customFormat="false" ht="15" hidden="false" customHeight="false" outlineLevel="0" collapsed="false">
      <c r="A43" s="5" t="n">
        <v>39</v>
      </c>
      <c r="B43" s="6" t="s">
        <v>163</v>
      </c>
      <c r="C43" s="70" t="n">
        <v>1500</v>
      </c>
      <c r="D43" s="6" t="s">
        <v>368</v>
      </c>
      <c r="E43" s="6" t="s">
        <v>360</v>
      </c>
    </row>
    <row r="44" customFormat="false" ht="15" hidden="false" customHeight="false" outlineLevel="0" collapsed="false">
      <c r="A44" s="5" t="n">
        <v>40</v>
      </c>
      <c r="B44" s="6" t="s">
        <v>387</v>
      </c>
      <c r="C44" s="66" t="n">
        <v>543</v>
      </c>
      <c r="D44" s="6" t="s">
        <v>345</v>
      </c>
      <c r="E44" s="6" t="s">
        <v>388</v>
      </c>
    </row>
    <row r="45" customFormat="false" ht="15" hidden="false" customHeight="false" outlineLevel="0" collapsed="false">
      <c r="A45" s="5" t="n">
        <v>41</v>
      </c>
      <c r="B45" s="6" t="s">
        <v>241</v>
      </c>
      <c r="C45" s="70" t="n">
        <v>45000</v>
      </c>
      <c r="D45" s="6" t="s">
        <v>363</v>
      </c>
      <c r="E45" s="6" t="s">
        <v>360</v>
      </c>
    </row>
    <row r="46" customFormat="false" ht="15" hidden="false" customHeight="false" outlineLevel="0" collapsed="false">
      <c r="A46" s="5" t="n">
        <v>42</v>
      </c>
      <c r="B46" s="6" t="s">
        <v>389</v>
      </c>
      <c r="C46" s="67" t="n">
        <v>87</v>
      </c>
      <c r="D46" s="6" t="s">
        <v>351</v>
      </c>
      <c r="E46" s="6" t="s">
        <v>390</v>
      </c>
    </row>
    <row r="47" customFormat="false" ht="15" hidden="false" customHeight="false" outlineLevel="0" collapsed="false">
      <c r="A47" s="5" t="n">
        <v>43</v>
      </c>
      <c r="B47" s="6" t="s">
        <v>243</v>
      </c>
      <c r="C47" s="70" t="n">
        <v>40000</v>
      </c>
      <c r="D47" s="6" t="s">
        <v>363</v>
      </c>
      <c r="E47" s="6" t="s">
        <v>360</v>
      </c>
    </row>
    <row r="48" customFormat="false" ht="15" hidden="false" customHeight="false" outlineLevel="0" collapsed="false">
      <c r="A48" s="5" t="n">
        <v>44</v>
      </c>
      <c r="B48" s="6" t="s">
        <v>391</v>
      </c>
      <c r="C48" s="67" t="n">
        <v>13</v>
      </c>
      <c r="D48" s="6" t="s">
        <v>351</v>
      </c>
      <c r="E48" s="6" t="s">
        <v>392</v>
      </c>
    </row>
    <row r="49" customFormat="false" ht="15" hidden="false" customHeight="false" outlineLevel="0" collapsed="false">
      <c r="A49" s="5" t="n">
        <v>45</v>
      </c>
      <c r="B49" s="6" t="s">
        <v>245</v>
      </c>
      <c r="C49" s="70" t="n">
        <v>220000</v>
      </c>
      <c r="D49" s="6" t="s">
        <v>363</v>
      </c>
      <c r="E49" s="6" t="s">
        <v>360</v>
      </c>
    </row>
    <row r="50" customFormat="false" ht="15" hidden="false" customHeight="false" outlineLevel="0" collapsed="false">
      <c r="A50" s="5" t="n">
        <v>46</v>
      </c>
      <c r="B50" s="6" t="s">
        <v>393</v>
      </c>
      <c r="C50" s="67" t="n">
        <v>13</v>
      </c>
      <c r="D50" s="6" t="s">
        <v>351</v>
      </c>
      <c r="E50" s="6" t="s">
        <v>394</v>
      </c>
    </row>
    <row r="51" customFormat="false" ht="15" hidden="false" customHeight="false" outlineLevel="0" collapsed="false">
      <c r="A51" s="5" t="n">
        <v>47</v>
      </c>
      <c r="B51" s="6" t="s">
        <v>247</v>
      </c>
      <c r="C51" s="70" t="n">
        <v>45000</v>
      </c>
      <c r="D51" s="6" t="s">
        <v>363</v>
      </c>
      <c r="E51" s="6" t="s">
        <v>360</v>
      </c>
    </row>
    <row r="52" customFormat="false" ht="15" hidden="false" customHeight="false" outlineLevel="0" collapsed="false">
      <c r="A52" s="5" t="n">
        <v>48</v>
      </c>
      <c r="B52" s="6" t="s">
        <v>395</v>
      </c>
      <c r="C52" s="67" t="n">
        <v>13</v>
      </c>
      <c r="D52" s="6" t="s">
        <v>351</v>
      </c>
      <c r="E52" s="6" t="s">
        <v>396</v>
      </c>
    </row>
    <row r="53" customFormat="false" ht="15" hidden="false" customHeight="false" outlineLevel="0" collapsed="false">
      <c r="A53" s="5" t="n">
        <v>49</v>
      </c>
      <c r="B53" s="6" t="s">
        <v>249</v>
      </c>
      <c r="C53" s="70" t="n">
        <v>180000</v>
      </c>
      <c r="D53" s="6" t="s">
        <v>363</v>
      </c>
      <c r="E53" s="6" t="s">
        <v>360</v>
      </c>
    </row>
    <row r="54" customFormat="false" ht="15" hidden="false" customHeight="false" outlineLevel="0" collapsed="false">
      <c r="A54" s="5" t="n">
        <v>50</v>
      </c>
      <c r="B54" s="6" t="s">
        <v>165</v>
      </c>
      <c r="C54" s="70" t="n">
        <v>450000</v>
      </c>
      <c r="D54" s="6" t="s">
        <v>363</v>
      </c>
      <c r="E54" s="6" t="s">
        <v>397</v>
      </c>
    </row>
    <row r="55" customFormat="false" ht="15" hidden="false" customHeight="false" outlineLevel="0" collapsed="false">
      <c r="A55" s="5" t="n">
        <v>51</v>
      </c>
      <c r="B55" s="6" t="s">
        <v>167</v>
      </c>
      <c r="C55" s="70" t="n">
        <v>50000</v>
      </c>
      <c r="D55" s="6" t="s">
        <v>398</v>
      </c>
      <c r="E55" s="6" t="s">
        <v>380</v>
      </c>
    </row>
    <row r="56" customFormat="false" ht="15" hidden="false" customHeight="false" outlineLevel="0" collapsed="false">
      <c r="A56" s="5" t="n">
        <v>52</v>
      </c>
      <c r="B56" s="6" t="s">
        <v>399</v>
      </c>
      <c r="C56" s="67" t="n">
        <v>201</v>
      </c>
      <c r="D56" s="6" t="s">
        <v>400</v>
      </c>
      <c r="E56" s="6" t="s">
        <v>401</v>
      </c>
    </row>
    <row r="57" customFormat="false" ht="15" hidden="false" customHeight="false" outlineLevel="0" collapsed="false">
      <c r="A57" s="5" t="n">
        <v>53</v>
      </c>
      <c r="B57" s="6" t="s">
        <v>101</v>
      </c>
      <c r="C57" s="65" t="n">
        <v>2500</v>
      </c>
      <c r="D57" s="6" t="s">
        <v>354</v>
      </c>
      <c r="E57" s="6" t="s">
        <v>402</v>
      </c>
    </row>
    <row r="58" customFormat="false" ht="15" hidden="false" customHeight="false" outlineLevel="0" collapsed="false">
      <c r="A58" s="5" t="n">
        <v>54</v>
      </c>
      <c r="B58" s="6" t="s">
        <v>403</v>
      </c>
      <c r="C58" s="71" t="n">
        <v>11900</v>
      </c>
      <c r="D58" s="6" t="s">
        <v>404</v>
      </c>
      <c r="E58" s="6" t="s">
        <v>405</v>
      </c>
    </row>
    <row r="59" customFormat="false" ht="15" hidden="false" customHeight="false" outlineLevel="0" collapsed="false">
      <c r="A59" s="5" t="n">
        <v>55</v>
      </c>
      <c r="B59" s="6" t="s">
        <v>197</v>
      </c>
      <c r="C59" s="71" t="n">
        <v>800000</v>
      </c>
      <c r="D59" s="6" t="s">
        <v>363</v>
      </c>
      <c r="E59" s="6" t="s">
        <v>339</v>
      </c>
    </row>
    <row r="60" customFormat="false" ht="15" hidden="false" customHeight="false" outlineLevel="0" collapsed="false">
      <c r="A60" s="5" t="n">
        <v>56</v>
      </c>
      <c r="B60" s="6" t="s">
        <v>406</v>
      </c>
      <c r="C60" s="67" t="n">
        <v>8</v>
      </c>
      <c r="D60" s="6" t="s">
        <v>351</v>
      </c>
      <c r="E60" s="6" t="s">
        <v>339</v>
      </c>
    </row>
    <row r="61" customFormat="false" ht="15" hidden="false" customHeight="false" outlineLevel="0" collapsed="false">
      <c r="A61" s="5" t="n">
        <v>57</v>
      </c>
      <c r="B61" s="6" t="s">
        <v>133</v>
      </c>
      <c r="C61" s="71" t="n">
        <v>18000000</v>
      </c>
      <c r="D61" s="6" t="s">
        <v>407</v>
      </c>
      <c r="E61" s="6" t="s">
        <v>408</v>
      </c>
    </row>
    <row r="62" customFormat="false" ht="15" hidden="false" customHeight="false" outlineLevel="0" collapsed="false">
      <c r="A62" s="5" t="n">
        <v>58</v>
      </c>
      <c r="B62" s="6" t="s">
        <v>125</v>
      </c>
      <c r="C62" s="71" t="n">
        <v>50000</v>
      </c>
      <c r="D62" s="6" t="s">
        <v>409</v>
      </c>
      <c r="E62" s="6" t="s">
        <v>339</v>
      </c>
    </row>
    <row r="63" customFormat="false" ht="15" hidden="false" customHeight="false" outlineLevel="0" collapsed="false">
      <c r="A63" s="5" t="n">
        <v>59</v>
      </c>
      <c r="B63" s="6" t="s">
        <v>127</v>
      </c>
      <c r="C63" s="71" t="n">
        <v>1200000</v>
      </c>
      <c r="D63" s="6" t="s">
        <v>407</v>
      </c>
      <c r="E63" s="6" t="s">
        <v>355</v>
      </c>
    </row>
    <row r="64" customFormat="false" ht="15" hidden="false" customHeight="false" outlineLevel="0" collapsed="false">
      <c r="A64" s="5" t="n">
        <v>60</v>
      </c>
      <c r="B64" s="6" t="s">
        <v>199</v>
      </c>
      <c r="C64" s="71" t="n">
        <v>700000</v>
      </c>
      <c r="D64" s="6" t="s">
        <v>363</v>
      </c>
      <c r="E64" s="6" t="s">
        <v>339</v>
      </c>
    </row>
    <row r="65" customFormat="false" ht="15" hidden="false" customHeight="false" outlineLevel="0" collapsed="false">
      <c r="A65" s="5" t="n">
        <v>61</v>
      </c>
      <c r="B65" s="6" t="s">
        <v>410</v>
      </c>
      <c r="C65" s="67" t="n">
        <v>3</v>
      </c>
      <c r="D65" s="6" t="s">
        <v>351</v>
      </c>
      <c r="E65" s="6" t="s">
        <v>411</v>
      </c>
    </row>
    <row r="66" customFormat="false" ht="15" hidden="false" customHeight="false" outlineLevel="0" collapsed="false">
      <c r="A66" s="5" t="n">
        <v>62</v>
      </c>
      <c r="B66" s="6" t="s">
        <v>201</v>
      </c>
      <c r="C66" s="71" t="n">
        <v>1200000</v>
      </c>
      <c r="D66" s="6" t="s">
        <v>363</v>
      </c>
      <c r="E66" s="6" t="s">
        <v>339</v>
      </c>
    </row>
    <row r="67" customFormat="false" ht="15" hidden="false" customHeight="false" outlineLevel="0" collapsed="false">
      <c r="A67" s="5" t="n">
        <v>63</v>
      </c>
      <c r="B67" s="6" t="s">
        <v>412</v>
      </c>
      <c r="C67" s="67" t="n">
        <v>3</v>
      </c>
      <c r="D67" s="6" t="s">
        <v>351</v>
      </c>
      <c r="E67" s="6" t="s">
        <v>413</v>
      </c>
    </row>
    <row r="68" customFormat="false" ht="15" hidden="false" customHeight="false" outlineLevel="0" collapsed="false">
      <c r="A68" s="5" t="n">
        <v>64</v>
      </c>
      <c r="B68" s="6" t="s">
        <v>203</v>
      </c>
      <c r="C68" s="71" t="n">
        <v>650000</v>
      </c>
      <c r="D68" s="6" t="s">
        <v>363</v>
      </c>
      <c r="E68" s="6" t="s">
        <v>339</v>
      </c>
    </row>
    <row r="69" customFormat="false" ht="15" hidden="false" customHeight="false" outlineLevel="0" collapsed="false">
      <c r="A69" s="5" t="n">
        <v>65</v>
      </c>
      <c r="B69" s="6" t="s">
        <v>414</v>
      </c>
      <c r="C69" s="67" t="n">
        <v>4</v>
      </c>
      <c r="D69" s="6" t="s">
        <v>351</v>
      </c>
      <c r="E69" s="6" t="s">
        <v>415</v>
      </c>
    </row>
    <row r="70" customFormat="false" ht="15" hidden="false" customHeight="false" outlineLevel="0" collapsed="false">
      <c r="A70" s="5" t="n">
        <v>66</v>
      </c>
      <c r="B70" s="6" t="s">
        <v>205</v>
      </c>
      <c r="C70" s="71" t="n">
        <v>200000</v>
      </c>
      <c r="D70" s="6" t="s">
        <v>363</v>
      </c>
      <c r="E70" s="6" t="s">
        <v>339</v>
      </c>
    </row>
    <row r="71" customFormat="false" ht="15" hidden="false" customHeight="false" outlineLevel="0" collapsed="false">
      <c r="A71" s="5" t="n">
        <v>67</v>
      </c>
      <c r="B71" s="6" t="s">
        <v>416</v>
      </c>
      <c r="C71" s="67" t="n">
        <v>6</v>
      </c>
      <c r="D71" s="6" t="s">
        <v>351</v>
      </c>
      <c r="E71" s="6" t="s">
        <v>417</v>
      </c>
    </row>
    <row r="72" customFormat="false" ht="15" hidden="false" customHeight="false" outlineLevel="0" collapsed="false">
      <c r="A72" s="5" t="n">
        <v>68</v>
      </c>
      <c r="B72" s="6" t="s">
        <v>207</v>
      </c>
      <c r="C72" s="71" t="n">
        <v>400000</v>
      </c>
      <c r="D72" s="6" t="s">
        <v>363</v>
      </c>
      <c r="E72" s="6" t="s">
        <v>339</v>
      </c>
    </row>
    <row r="73" customFormat="false" ht="15" hidden="false" customHeight="false" outlineLevel="0" collapsed="false">
      <c r="A73" s="5" t="n">
        <v>69</v>
      </c>
      <c r="B73" s="6" t="s">
        <v>418</v>
      </c>
      <c r="C73" s="67" t="n">
        <v>4</v>
      </c>
      <c r="D73" s="6" t="s">
        <v>351</v>
      </c>
      <c r="E73" s="6" t="s">
        <v>419</v>
      </c>
    </row>
    <row r="74" customFormat="false" ht="15" hidden="false" customHeight="false" outlineLevel="0" collapsed="false">
      <c r="A74" s="5" t="n">
        <v>70</v>
      </c>
      <c r="B74" s="6" t="s">
        <v>209</v>
      </c>
      <c r="C74" s="71" t="n">
        <v>400000</v>
      </c>
      <c r="D74" s="6" t="s">
        <v>363</v>
      </c>
      <c r="E74" s="6" t="s">
        <v>339</v>
      </c>
    </row>
    <row r="75" customFormat="false" ht="15" hidden="false" customHeight="false" outlineLevel="0" collapsed="false">
      <c r="A75" s="5" t="n">
        <v>71</v>
      </c>
      <c r="B75" s="6" t="s">
        <v>420</v>
      </c>
      <c r="C75" s="67" t="n">
        <v>4</v>
      </c>
      <c r="D75" s="6" t="s">
        <v>351</v>
      </c>
      <c r="E75" s="6" t="s">
        <v>421</v>
      </c>
    </row>
    <row r="76" customFormat="false" ht="15" hidden="false" customHeight="false" outlineLevel="0" collapsed="false">
      <c r="A76" s="5" t="n">
        <v>72</v>
      </c>
      <c r="B76" s="6" t="s">
        <v>135</v>
      </c>
      <c r="C76" s="71" t="n">
        <v>1000000</v>
      </c>
      <c r="D76" s="6" t="s">
        <v>398</v>
      </c>
      <c r="E76" s="6" t="s">
        <v>339</v>
      </c>
    </row>
    <row r="77" customFormat="false" ht="15" hidden="false" customHeight="false" outlineLevel="0" collapsed="false">
      <c r="A77" s="5" t="n">
        <v>73</v>
      </c>
      <c r="B77" s="6" t="s">
        <v>422</v>
      </c>
      <c r="C77" s="67" t="n">
        <v>16</v>
      </c>
      <c r="D77" s="6" t="s">
        <v>400</v>
      </c>
      <c r="E77" s="6" t="s">
        <v>339</v>
      </c>
    </row>
    <row r="78" customFormat="false" ht="15" hidden="false" customHeight="false" outlineLevel="0" collapsed="false">
      <c r="A78" s="5" t="n">
        <v>74</v>
      </c>
      <c r="B78" s="6" t="s">
        <v>171</v>
      </c>
      <c r="C78" s="71" t="n">
        <v>100000</v>
      </c>
      <c r="D78" s="6" t="s">
        <v>409</v>
      </c>
      <c r="E78" s="6" t="s">
        <v>339</v>
      </c>
    </row>
    <row r="79" customFormat="false" ht="15" hidden="false" customHeight="false" outlineLevel="0" collapsed="false">
      <c r="A79" s="5" t="n">
        <v>75</v>
      </c>
      <c r="B79" s="6" t="s">
        <v>173</v>
      </c>
      <c r="C79" s="71" t="n">
        <v>100000</v>
      </c>
      <c r="D79" s="6" t="s">
        <v>409</v>
      </c>
      <c r="E79" s="6" t="s">
        <v>339</v>
      </c>
    </row>
    <row r="80" customFormat="false" ht="15" hidden="false" customHeight="false" outlineLevel="0" collapsed="false">
      <c r="A80" s="5" t="n">
        <v>76</v>
      </c>
      <c r="B80" s="6" t="s">
        <v>423</v>
      </c>
      <c r="C80" s="66" t="n">
        <v>58</v>
      </c>
      <c r="D80" s="6" t="s">
        <v>424</v>
      </c>
      <c r="E80" s="6" t="s">
        <v>339</v>
      </c>
    </row>
    <row r="81" customFormat="false" ht="15" hidden="false" customHeight="false" outlineLevel="0" collapsed="false">
      <c r="A81" s="5" t="n">
        <v>77</v>
      </c>
      <c r="B81" s="6" t="s">
        <v>425</v>
      </c>
      <c r="C81" s="66" t="n">
        <v>16</v>
      </c>
      <c r="D81" s="6" t="s">
        <v>424</v>
      </c>
      <c r="E81" s="6" t="s">
        <v>339</v>
      </c>
    </row>
    <row r="82" customFormat="false" ht="15" hidden="false" customHeight="false" outlineLevel="0" collapsed="false">
      <c r="A82" s="5" t="n">
        <v>78</v>
      </c>
      <c r="B82" s="6" t="s">
        <v>211</v>
      </c>
      <c r="C82" s="71" t="n">
        <v>1200000</v>
      </c>
      <c r="D82" s="6" t="s">
        <v>363</v>
      </c>
      <c r="E82" s="6" t="s">
        <v>339</v>
      </c>
    </row>
    <row r="83" customFormat="false" ht="15" hidden="false" customHeight="false" outlineLevel="0" collapsed="false">
      <c r="A83" s="5" t="n">
        <v>79</v>
      </c>
      <c r="B83" s="6" t="s">
        <v>426</v>
      </c>
      <c r="C83" s="67" t="n">
        <v>4</v>
      </c>
      <c r="D83" s="6" t="s">
        <v>351</v>
      </c>
      <c r="E83" s="6" t="s">
        <v>427</v>
      </c>
    </row>
    <row r="84" customFormat="false" ht="15" hidden="false" customHeight="false" outlineLevel="0" collapsed="false">
      <c r="A84" s="5" t="n">
        <v>80</v>
      </c>
      <c r="B84" s="6" t="s">
        <v>137</v>
      </c>
      <c r="C84" s="71" t="n">
        <v>25000</v>
      </c>
      <c r="D84" s="6" t="s">
        <v>368</v>
      </c>
      <c r="E84" s="6" t="s">
        <v>339</v>
      </c>
    </row>
    <row r="85" customFormat="false" ht="15" hidden="false" customHeight="false" outlineLevel="0" collapsed="false">
      <c r="A85" s="5" t="n">
        <v>81</v>
      </c>
      <c r="B85" s="6" t="s">
        <v>428</v>
      </c>
      <c r="C85" s="66" t="n">
        <v>40</v>
      </c>
      <c r="D85" s="6" t="s">
        <v>345</v>
      </c>
      <c r="E85" s="6" t="s">
        <v>339</v>
      </c>
    </row>
    <row r="86" customFormat="false" ht="15" hidden="false" customHeight="false" outlineLevel="0" collapsed="false">
      <c r="A86" s="5" t="n">
        <v>82</v>
      </c>
      <c r="B86" s="6" t="s">
        <v>139</v>
      </c>
      <c r="C86" s="71" t="n">
        <v>12000</v>
      </c>
      <c r="D86" s="6" t="s">
        <v>368</v>
      </c>
      <c r="E86" s="6" t="s">
        <v>429</v>
      </c>
    </row>
    <row r="87" customFormat="false" ht="15" hidden="false" customHeight="false" outlineLevel="0" collapsed="false">
      <c r="A87" s="5" t="n">
        <v>83</v>
      </c>
      <c r="B87" s="6" t="s">
        <v>430</v>
      </c>
      <c r="C87" s="66" t="n">
        <v>40</v>
      </c>
      <c r="D87" s="6" t="s">
        <v>345</v>
      </c>
      <c r="E87" s="6" t="s">
        <v>339</v>
      </c>
    </row>
    <row r="88" customFormat="false" ht="15" hidden="false" customHeight="false" outlineLevel="0" collapsed="false">
      <c r="A88" s="5" t="n">
        <v>84</v>
      </c>
      <c r="B88" s="6" t="s">
        <v>141</v>
      </c>
      <c r="C88" s="71" t="n">
        <v>5000</v>
      </c>
      <c r="D88" s="6" t="s">
        <v>363</v>
      </c>
      <c r="E88" s="6" t="s">
        <v>339</v>
      </c>
    </row>
    <row r="89" customFormat="false" ht="15" hidden="false" customHeight="false" outlineLevel="0" collapsed="false">
      <c r="A89" s="5" t="n">
        <v>85</v>
      </c>
      <c r="B89" s="6" t="s">
        <v>431</v>
      </c>
      <c r="C89" s="67" t="n">
        <v>100</v>
      </c>
      <c r="D89" s="6" t="s">
        <v>351</v>
      </c>
      <c r="E89" s="6" t="s">
        <v>432</v>
      </c>
    </row>
    <row r="90" customFormat="false" ht="15" hidden="false" customHeight="false" outlineLevel="0" collapsed="false">
      <c r="A90" s="5" t="n">
        <v>86</v>
      </c>
      <c r="B90" s="6" t="s">
        <v>143</v>
      </c>
      <c r="C90" s="71" t="n">
        <v>4000000</v>
      </c>
      <c r="D90" s="6" t="s">
        <v>407</v>
      </c>
      <c r="E90" s="6" t="s">
        <v>355</v>
      </c>
    </row>
    <row r="91" customFormat="false" ht="15" hidden="false" customHeight="false" outlineLevel="0" collapsed="false">
      <c r="A91" s="5" t="n">
        <v>87</v>
      </c>
      <c r="B91" s="6" t="s">
        <v>103</v>
      </c>
      <c r="C91" s="69" t="n">
        <v>5000</v>
      </c>
      <c r="D91" s="6" t="s">
        <v>341</v>
      </c>
      <c r="E91" s="6" t="s">
        <v>433</v>
      </c>
    </row>
    <row r="92" customFormat="false" ht="15" hidden="false" customHeight="false" outlineLevel="0" collapsed="false">
      <c r="A92" s="5" t="n">
        <v>88</v>
      </c>
      <c r="B92" s="6" t="s">
        <v>434</v>
      </c>
      <c r="C92" s="67" t="n">
        <v>2</v>
      </c>
      <c r="D92" s="6" t="s">
        <v>351</v>
      </c>
      <c r="E92" s="6" t="s">
        <v>435</v>
      </c>
    </row>
    <row r="93" customFormat="false" ht="15" hidden="false" customHeight="false" outlineLevel="0" collapsed="false">
      <c r="A93" s="5" t="n">
        <v>89</v>
      </c>
      <c r="B93" s="6" t="s">
        <v>145</v>
      </c>
      <c r="C93" s="71" t="n">
        <v>300000</v>
      </c>
      <c r="D93" s="6" t="s">
        <v>368</v>
      </c>
      <c r="E93" s="6" t="s">
        <v>436</v>
      </c>
    </row>
    <row r="94" customFormat="false" ht="15" hidden="false" customHeight="false" outlineLevel="0" collapsed="false">
      <c r="A94" s="5" t="n">
        <v>90</v>
      </c>
      <c r="B94" s="6" t="s">
        <v>437</v>
      </c>
      <c r="C94" s="66" t="n">
        <v>175</v>
      </c>
      <c r="D94" s="6" t="s">
        <v>345</v>
      </c>
      <c r="E94" s="6" t="s">
        <v>438</v>
      </c>
    </row>
    <row r="95" customFormat="false" ht="15" hidden="false" customHeight="false" outlineLevel="0" collapsed="false">
      <c r="A95" s="5" t="n">
        <v>91</v>
      </c>
      <c r="B95" s="6" t="s">
        <v>213</v>
      </c>
      <c r="C95" s="69" t="n">
        <v>60</v>
      </c>
      <c r="D95" s="6" t="s">
        <v>341</v>
      </c>
      <c r="E95" s="6" t="s">
        <v>360</v>
      </c>
    </row>
    <row r="96" customFormat="false" ht="15" hidden="false" customHeight="false" outlineLevel="0" collapsed="false">
      <c r="A96" s="5" t="n">
        <v>92</v>
      </c>
      <c r="B96" s="6" t="s">
        <v>439</v>
      </c>
      <c r="C96" s="67" t="n">
        <v>18</v>
      </c>
      <c r="D96" s="6" t="s">
        <v>351</v>
      </c>
      <c r="E96" s="6" t="s">
        <v>440</v>
      </c>
    </row>
    <row r="97" customFormat="false" ht="15" hidden="false" customHeight="false" outlineLevel="0" collapsed="false">
      <c r="A97" s="5" t="n">
        <v>93</v>
      </c>
      <c r="B97" s="6" t="s">
        <v>215</v>
      </c>
      <c r="C97" s="69" t="n">
        <v>15</v>
      </c>
      <c r="D97" s="6" t="s">
        <v>341</v>
      </c>
      <c r="E97" s="6" t="s">
        <v>360</v>
      </c>
    </row>
    <row r="98" customFormat="false" ht="15" hidden="false" customHeight="false" outlineLevel="0" collapsed="false">
      <c r="A98" s="5" t="n">
        <v>94</v>
      </c>
      <c r="B98" s="6" t="s">
        <v>441</v>
      </c>
      <c r="C98" s="67" t="n">
        <v>18</v>
      </c>
      <c r="D98" s="6" t="s">
        <v>351</v>
      </c>
      <c r="E98" s="6" t="s">
        <v>442</v>
      </c>
    </row>
    <row r="99" customFormat="false" ht="15" hidden="false" customHeight="false" outlineLevel="0" collapsed="false">
      <c r="A99" s="5" t="n">
        <v>95</v>
      </c>
      <c r="B99" s="6" t="s">
        <v>217</v>
      </c>
      <c r="C99" s="69" t="n">
        <v>400</v>
      </c>
      <c r="D99" s="6" t="s">
        <v>354</v>
      </c>
      <c r="E99" s="6" t="s">
        <v>360</v>
      </c>
    </row>
    <row r="100" customFormat="false" ht="15" hidden="false" customHeight="false" outlineLevel="0" collapsed="false">
      <c r="A100" s="5" t="n">
        <v>96</v>
      </c>
      <c r="B100" s="6" t="s">
        <v>147</v>
      </c>
      <c r="C100" s="69" t="n">
        <v>900</v>
      </c>
      <c r="D100" s="6" t="s">
        <v>341</v>
      </c>
      <c r="E100" s="6" t="s">
        <v>360</v>
      </c>
    </row>
    <row r="101" customFormat="false" ht="15" hidden="false" customHeight="false" outlineLevel="0" collapsed="false">
      <c r="A101" s="5" t="n">
        <v>97</v>
      </c>
      <c r="B101" s="6" t="s">
        <v>227</v>
      </c>
      <c r="C101" s="69" t="n">
        <v>150</v>
      </c>
      <c r="D101" s="6" t="s">
        <v>341</v>
      </c>
      <c r="E101" s="6" t="s">
        <v>443</v>
      </c>
    </row>
    <row r="102" customFormat="false" ht="15" hidden="false" customHeight="false" outlineLevel="0" collapsed="false">
      <c r="A102" s="5" t="n">
        <v>98</v>
      </c>
      <c r="B102" s="6" t="s">
        <v>229</v>
      </c>
      <c r="C102" s="69" t="n">
        <v>350</v>
      </c>
      <c r="D102" s="6" t="s">
        <v>341</v>
      </c>
      <c r="E102" s="6" t="s">
        <v>444</v>
      </c>
    </row>
    <row r="103" customFormat="false" ht="15" hidden="false" customHeight="false" outlineLevel="0" collapsed="false">
      <c r="A103" s="5" t="n">
        <v>99</v>
      </c>
      <c r="B103" s="6" t="s">
        <v>175</v>
      </c>
      <c r="C103" s="65" t="n">
        <v>1000</v>
      </c>
      <c r="D103" s="6" t="s">
        <v>341</v>
      </c>
      <c r="E103" s="6" t="s">
        <v>339</v>
      </c>
    </row>
    <row r="104" customFormat="false" ht="15" hidden="false" customHeight="false" outlineLevel="0" collapsed="false">
      <c r="A104" s="5" t="n">
        <v>100</v>
      </c>
      <c r="B104" s="6" t="s">
        <v>115</v>
      </c>
      <c r="C104" s="69" t="n">
        <v>220</v>
      </c>
      <c r="D104" s="6" t="s">
        <v>341</v>
      </c>
      <c r="E104" s="6" t="s">
        <v>445</v>
      </c>
    </row>
    <row r="105" customFormat="false" ht="15" hidden="false" customHeight="false" outlineLevel="0" collapsed="false">
      <c r="A105" s="5" t="n">
        <v>101</v>
      </c>
      <c r="B105" s="6" t="s">
        <v>109</v>
      </c>
      <c r="C105" s="69" t="n">
        <v>130</v>
      </c>
      <c r="D105" s="6" t="s">
        <v>341</v>
      </c>
      <c r="E105" s="6" t="s">
        <v>360</v>
      </c>
    </row>
    <row r="106" customFormat="false" ht="15" hidden="false" customHeight="false" outlineLevel="0" collapsed="false">
      <c r="A106" s="5" t="n">
        <v>102</v>
      </c>
      <c r="B106" s="6" t="s">
        <v>117</v>
      </c>
      <c r="C106" s="69" t="n">
        <v>60</v>
      </c>
      <c r="D106" s="6" t="s">
        <v>341</v>
      </c>
      <c r="E106" s="6" t="s">
        <v>360</v>
      </c>
    </row>
    <row r="107" customFormat="false" ht="15" hidden="false" customHeight="false" outlineLevel="0" collapsed="false">
      <c r="A107" s="5" t="n">
        <v>103</v>
      </c>
      <c r="B107" s="6" t="s">
        <v>111</v>
      </c>
      <c r="C107" s="69" t="n">
        <v>450</v>
      </c>
      <c r="D107" s="6" t="s">
        <v>341</v>
      </c>
      <c r="E107" s="6" t="s">
        <v>360</v>
      </c>
    </row>
    <row r="108" customFormat="false" ht="15" hidden="false" customHeight="false" outlineLevel="0" collapsed="false">
      <c r="A108" s="5" t="n">
        <v>104</v>
      </c>
      <c r="B108" s="6" t="s">
        <v>119</v>
      </c>
      <c r="C108" s="69" t="n">
        <v>350</v>
      </c>
      <c r="D108" s="6" t="s">
        <v>341</v>
      </c>
      <c r="E108" s="6" t="s">
        <v>360</v>
      </c>
    </row>
    <row r="109" customFormat="false" ht="15" hidden="false" customHeight="false" outlineLevel="0" collapsed="false">
      <c r="A109" s="5" t="n">
        <v>105</v>
      </c>
      <c r="B109" s="6" t="s">
        <v>113</v>
      </c>
      <c r="C109" s="69" t="n">
        <v>100</v>
      </c>
      <c r="D109" s="6" t="s">
        <v>341</v>
      </c>
      <c r="E109" s="6" t="s">
        <v>360</v>
      </c>
    </row>
    <row r="110" customFormat="false" ht="15" hidden="false" customHeight="false" outlineLevel="0" collapsed="false">
      <c r="A110" s="5" t="n">
        <v>106</v>
      </c>
      <c r="B110" s="6" t="s">
        <v>251</v>
      </c>
      <c r="C110" s="69" t="n">
        <v>600</v>
      </c>
      <c r="D110" s="6" t="s">
        <v>354</v>
      </c>
      <c r="E110" s="6" t="s">
        <v>360</v>
      </c>
    </row>
    <row r="111" customFormat="false" ht="15" hidden="false" customHeight="false" outlineLevel="0" collapsed="false">
      <c r="A111" s="5" t="n">
        <v>107</v>
      </c>
      <c r="B111" s="6" t="s">
        <v>253</v>
      </c>
      <c r="C111" s="69" t="n">
        <v>300</v>
      </c>
      <c r="D111" s="6" t="s">
        <v>354</v>
      </c>
      <c r="E111" s="6" t="s">
        <v>360</v>
      </c>
    </row>
    <row r="112" customFormat="false" ht="15" hidden="false" customHeight="false" outlineLevel="0" collapsed="false">
      <c r="A112" s="5" t="n">
        <v>108</v>
      </c>
      <c r="B112" s="6" t="s">
        <v>265</v>
      </c>
      <c r="C112" s="69" t="n">
        <v>120</v>
      </c>
      <c r="D112" s="6" t="s">
        <v>341</v>
      </c>
      <c r="E112" s="6" t="s">
        <v>360</v>
      </c>
    </row>
    <row r="113" customFormat="false" ht="15" hidden="false" customHeight="false" outlineLevel="0" collapsed="false">
      <c r="A113" s="5" t="n">
        <v>109</v>
      </c>
      <c r="B113" s="6" t="s">
        <v>267</v>
      </c>
      <c r="C113" s="69" t="n">
        <v>250</v>
      </c>
      <c r="D113" s="6" t="s">
        <v>341</v>
      </c>
      <c r="E113" s="6" t="s">
        <v>360</v>
      </c>
    </row>
    <row r="114" customFormat="false" ht="15" hidden="false" customHeight="false" outlineLevel="0" collapsed="false">
      <c r="A114" s="5" t="n">
        <v>110</v>
      </c>
      <c r="B114" s="6" t="s">
        <v>105</v>
      </c>
      <c r="C114" s="69" t="n">
        <v>1500</v>
      </c>
      <c r="D114" s="6" t="s">
        <v>341</v>
      </c>
      <c r="E114" s="6" t="s">
        <v>446</v>
      </c>
    </row>
    <row r="115" customFormat="false" ht="15" hidden="false" customHeight="false" outlineLevel="0" collapsed="false">
      <c r="A115" s="5" t="n">
        <v>111</v>
      </c>
      <c r="B115" s="6" t="s">
        <v>107</v>
      </c>
      <c r="C115" s="69" t="n">
        <v>500</v>
      </c>
      <c r="D115" s="6" t="s">
        <v>354</v>
      </c>
      <c r="E115" s="6" t="s">
        <v>360</v>
      </c>
    </row>
    <row r="116" customFormat="false" ht="15" hidden="false" customHeight="false" outlineLevel="0" collapsed="false">
      <c r="A116" s="5" t="n">
        <v>112</v>
      </c>
      <c r="B116" s="6" t="s">
        <v>97</v>
      </c>
      <c r="C116" s="69" t="n">
        <v>500</v>
      </c>
      <c r="D116" s="6" t="s">
        <v>341</v>
      </c>
      <c r="E116" s="6" t="s">
        <v>360</v>
      </c>
    </row>
    <row r="117" customFormat="false" ht="15" hidden="false" customHeight="false" outlineLevel="0" collapsed="false">
      <c r="A117" s="5" t="n">
        <v>113</v>
      </c>
      <c r="B117" s="6" t="s">
        <v>99</v>
      </c>
      <c r="C117" s="69" t="n">
        <v>250</v>
      </c>
      <c r="D117" s="6" t="s">
        <v>341</v>
      </c>
      <c r="E117" s="6" t="s">
        <v>360</v>
      </c>
    </row>
    <row r="118" customFormat="false" ht="15" hidden="false" customHeight="false" outlineLevel="0" collapsed="false">
      <c r="A118" s="5" t="n">
        <v>114</v>
      </c>
      <c r="B118" s="6" t="s">
        <v>149</v>
      </c>
      <c r="C118" s="69" t="n">
        <v>700</v>
      </c>
      <c r="D118" s="6" t="s">
        <v>354</v>
      </c>
      <c r="E118" s="6" t="s">
        <v>360</v>
      </c>
    </row>
    <row r="119" customFormat="false" ht="15" hidden="false" customHeight="false" outlineLevel="0" collapsed="false">
      <c r="A119" s="5" t="n">
        <v>115</v>
      </c>
      <c r="B119" s="6" t="s">
        <v>257</v>
      </c>
      <c r="C119" s="69" t="n">
        <v>450</v>
      </c>
      <c r="D119" s="6" t="s">
        <v>354</v>
      </c>
      <c r="E119" s="6" t="s">
        <v>360</v>
      </c>
    </row>
    <row r="120" customFormat="false" ht="15" hidden="false" customHeight="false" outlineLevel="0" collapsed="false">
      <c r="A120" s="5" t="n">
        <v>116</v>
      </c>
      <c r="B120" s="6" t="s">
        <v>123</v>
      </c>
      <c r="C120" s="69" t="n">
        <v>600</v>
      </c>
      <c r="D120" s="6" t="s">
        <v>341</v>
      </c>
      <c r="E120" s="6" t="s">
        <v>447</v>
      </c>
    </row>
    <row r="121" customFormat="false" ht="15" hidden="false" customHeight="false" outlineLevel="0" collapsed="false">
      <c r="A121" s="5" t="n">
        <v>117</v>
      </c>
      <c r="B121" s="6" t="s">
        <v>223</v>
      </c>
      <c r="C121" s="69" t="n">
        <v>450</v>
      </c>
      <c r="D121" s="6" t="s">
        <v>354</v>
      </c>
      <c r="E121" s="6" t="s">
        <v>360</v>
      </c>
    </row>
    <row r="122" customFormat="false" ht="15" hidden="false" customHeight="false" outlineLevel="0" collapsed="false">
      <c r="A122" s="5" t="n">
        <v>118</v>
      </c>
      <c r="B122" s="6" t="s">
        <v>225</v>
      </c>
      <c r="C122" s="69" t="n">
        <v>60</v>
      </c>
      <c r="D122" s="6" t="s">
        <v>354</v>
      </c>
      <c r="E122" s="6" t="s">
        <v>448</v>
      </c>
    </row>
    <row r="123" customFormat="false" ht="15" hidden="false" customHeight="false" outlineLevel="0" collapsed="false">
      <c r="A123" s="5" t="n">
        <v>119</v>
      </c>
      <c r="B123" s="6" t="s">
        <v>259</v>
      </c>
      <c r="C123" s="69" t="n">
        <v>500</v>
      </c>
      <c r="D123" s="6" t="s">
        <v>354</v>
      </c>
      <c r="E123" s="6" t="s">
        <v>360</v>
      </c>
    </row>
    <row r="124" customFormat="false" ht="15" hidden="false" customHeight="false" outlineLevel="0" collapsed="false">
      <c r="A124" s="5" t="n">
        <v>120</v>
      </c>
      <c r="B124" s="6" t="s">
        <v>177</v>
      </c>
      <c r="C124" s="69" t="n">
        <v>250</v>
      </c>
      <c r="D124" s="6" t="s">
        <v>354</v>
      </c>
      <c r="E124" s="6" t="s">
        <v>360</v>
      </c>
    </row>
    <row r="125" customFormat="false" ht="15" hidden="false" customHeight="false" outlineLevel="0" collapsed="false">
      <c r="A125" s="5" t="n">
        <v>121</v>
      </c>
      <c r="B125" s="6" t="s">
        <v>261</v>
      </c>
      <c r="C125" s="69" t="n">
        <v>300</v>
      </c>
      <c r="D125" s="6" t="s">
        <v>341</v>
      </c>
      <c r="E125" s="6" t="s">
        <v>360</v>
      </c>
    </row>
    <row r="126" customFormat="false" ht="15" hidden="false" customHeight="false" outlineLevel="0" collapsed="false">
      <c r="A126" s="5" t="n">
        <v>122</v>
      </c>
      <c r="B126" s="6" t="s">
        <v>263</v>
      </c>
      <c r="C126" s="69" t="n">
        <v>100</v>
      </c>
      <c r="D126" s="6" t="s">
        <v>341</v>
      </c>
      <c r="E126" s="6" t="s">
        <v>360</v>
      </c>
    </row>
    <row r="127" customFormat="false" ht="15" hidden="false" customHeight="false" outlineLevel="0" collapsed="false">
      <c r="A127" s="5" t="n">
        <v>123</v>
      </c>
      <c r="B127" s="6" t="s">
        <v>219</v>
      </c>
      <c r="C127" s="69" t="n">
        <v>250</v>
      </c>
      <c r="D127" s="6" t="s">
        <v>341</v>
      </c>
      <c r="E127" s="6" t="s">
        <v>360</v>
      </c>
    </row>
    <row r="128" customFormat="false" ht="15" hidden="false" customHeight="false" outlineLevel="0" collapsed="false">
      <c r="A128" s="5" t="n">
        <v>124</v>
      </c>
      <c r="B128" s="6" t="s">
        <v>255</v>
      </c>
      <c r="C128" s="69" t="n">
        <v>300</v>
      </c>
      <c r="D128" s="6" t="s">
        <v>354</v>
      </c>
      <c r="E128" s="6" t="s">
        <v>449</v>
      </c>
    </row>
    <row r="129" customFormat="false" ht="15" hidden="false" customHeight="false" outlineLevel="0" collapsed="false">
      <c r="A129" s="5" t="n">
        <v>125</v>
      </c>
      <c r="B129" s="6" t="s">
        <v>121</v>
      </c>
      <c r="C129" s="69" t="n">
        <v>800</v>
      </c>
      <c r="D129" s="6" t="s">
        <v>354</v>
      </c>
      <c r="E129" s="6" t="s">
        <v>450</v>
      </c>
    </row>
    <row r="130" customFormat="false" ht="15" hidden="false" customHeight="false" outlineLevel="0" collapsed="false">
      <c r="A130" s="5" t="n">
        <v>126</v>
      </c>
      <c r="B130" s="6" t="s">
        <v>221</v>
      </c>
      <c r="C130" s="69" t="n">
        <v>250</v>
      </c>
      <c r="D130" s="6" t="s">
        <v>354</v>
      </c>
      <c r="E130" s="6" t="s">
        <v>360</v>
      </c>
    </row>
    <row r="131" customFormat="false" ht="15" hidden="false" customHeight="false" outlineLevel="0" collapsed="false">
      <c r="A131" s="5" t="n">
        <v>127</v>
      </c>
      <c r="B131" s="6" t="s">
        <v>451</v>
      </c>
      <c r="C131" s="67" t="n">
        <v>2</v>
      </c>
      <c r="D131" s="6" t="s">
        <v>351</v>
      </c>
      <c r="E131" s="6" t="s">
        <v>452</v>
      </c>
    </row>
    <row r="132" customFormat="false" ht="15" hidden="false" customHeight="false" outlineLevel="0" collapsed="false">
      <c r="A132" s="5" t="n">
        <v>128</v>
      </c>
      <c r="B132" s="6" t="s">
        <v>453</v>
      </c>
      <c r="C132" s="72" t="n">
        <v>0.1</v>
      </c>
      <c r="D132" s="6" t="s">
        <v>454</v>
      </c>
      <c r="E132" s="6" t="s">
        <v>455</v>
      </c>
    </row>
    <row r="133" customFormat="false" ht="15" hidden="false" customHeight="false" outlineLevel="0" collapsed="false">
      <c r="A133" s="5" t="n">
        <v>129</v>
      </c>
      <c r="B133" s="6" t="s">
        <v>456</v>
      </c>
      <c r="C133" s="66" t="n">
        <v>3.5</v>
      </c>
      <c r="D133" s="6" t="s">
        <v>345</v>
      </c>
      <c r="E133" s="6" t="s">
        <v>457</v>
      </c>
    </row>
    <row r="134" customFormat="false" ht="15" hidden="false" customHeight="false" outlineLevel="0" collapsed="false">
      <c r="A134" s="5" t="n">
        <v>130</v>
      </c>
      <c r="B134" s="6" t="s">
        <v>458</v>
      </c>
      <c r="C134" s="66" t="n">
        <v>2.5</v>
      </c>
      <c r="D134" s="6" t="s">
        <v>345</v>
      </c>
      <c r="E134" s="6" t="s">
        <v>339</v>
      </c>
    </row>
    <row r="135" customFormat="false" ht="15" hidden="false" customHeight="false" outlineLevel="0" collapsed="false">
      <c r="A135" s="5" t="n">
        <v>131</v>
      </c>
      <c r="B135" s="6" t="s">
        <v>459</v>
      </c>
      <c r="C135" s="68" t="n">
        <f aca="false">C133-C134</f>
        <v>1</v>
      </c>
      <c r="D135" s="6" t="s">
        <v>345</v>
      </c>
      <c r="E135" s="6" t="s">
        <v>460</v>
      </c>
    </row>
    <row r="136" customFormat="false" ht="15" hidden="false" customHeight="false" outlineLevel="0" collapsed="false">
      <c r="A136" s="5" t="n">
        <v>132</v>
      </c>
      <c r="B136" s="6" t="s">
        <v>461</v>
      </c>
      <c r="C136" s="66" t="n">
        <v>2.1</v>
      </c>
      <c r="D136" s="6" t="s">
        <v>345</v>
      </c>
      <c r="E136" s="6" t="s">
        <v>462</v>
      </c>
    </row>
    <row r="137" customFormat="false" ht="15" hidden="false" customHeight="false" outlineLevel="0" collapsed="false">
      <c r="A137" s="5" t="n">
        <v>133</v>
      </c>
      <c r="B137" s="6" t="s">
        <v>463</v>
      </c>
      <c r="C137" s="68" t="n">
        <f aca="false">C133-C136</f>
        <v>1.4</v>
      </c>
      <c r="D137" s="6" t="s">
        <v>345</v>
      </c>
      <c r="E137" s="6" t="s">
        <v>464</v>
      </c>
    </row>
    <row r="138" customFormat="false" ht="15" hidden="false" customHeight="false" outlineLevel="0" collapsed="false">
      <c r="A138" s="5" t="n">
        <v>134</v>
      </c>
      <c r="B138" s="6" t="s">
        <v>465</v>
      </c>
      <c r="C138" s="66" t="n">
        <v>1</v>
      </c>
      <c r="D138" s="6" t="s">
        <v>345</v>
      </c>
      <c r="E138" s="6" t="s">
        <v>466</v>
      </c>
    </row>
    <row r="139" customFormat="false" ht="15" hidden="false" customHeight="false" outlineLevel="0" collapsed="false">
      <c r="A139" s="5" t="n">
        <v>135</v>
      </c>
      <c r="B139" s="6" t="s">
        <v>467</v>
      </c>
      <c r="C139" s="66" t="n">
        <v>0.9</v>
      </c>
      <c r="D139" s="6" t="s">
        <v>345</v>
      </c>
      <c r="E139" s="6" t="s">
        <v>468</v>
      </c>
    </row>
    <row r="140" customFormat="false" ht="15" hidden="false" customHeight="false" outlineLevel="0" collapsed="false">
      <c r="A140" s="5" t="n">
        <v>136</v>
      </c>
      <c r="B140" s="6" t="s">
        <v>469</v>
      </c>
      <c r="C140" s="73" t="n">
        <f aca="false">C133</f>
        <v>3.5</v>
      </c>
      <c r="D140" s="6" t="s">
        <v>345</v>
      </c>
      <c r="E140" s="6" t="s">
        <v>470</v>
      </c>
    </row>
    <row r="141" customFormat="false" ht="15" hidden="false" customHeight="false" outlineLevel="0" collapsed="false">
      <c r="A141" s="5" t="n">
        <v>137</v>
      </c>
      <c r="B141" s="6" t="s">
        <v>471</v>
      </c>
      <c r="C141" s="66" t="n">
        <v>2.5</v>
      </c>
      <c r="D141" s="6" t="s">
        <v>345</v>
      </c>
      <c r="E141" s="6" t="s">
        <v>339</v>
      </c>
    </row>
    <row r="143" customFormat="false" ht="15" hidden="false" customHeight="false" outlineLevel="0" collapsed="false">
      <c r="B143" s="3" t="s">
        <v>472</v>
      </c>
    </row>
    <row r="144" customFormat="false" ht="15" hidden="false" customHeight="false" outlineLevel="0" collapsed="false">
      <c r="B144" s="2" t="s">
        <v>473</v>
      </c>
    </row>
    <row r="145" customFormat="false" ht="15" hidden="false" customHeight="false" outlineLevel="0" collapsed="false">
      <c r="B145" s="2" t="s">
        <v>474</v>
      </c>
    </row>
    <row r="146" customFormat="false" ht="15" hidden="false" customHeight="false" outlineLevel="0" collapsed="false">
      <c r="B146" s="2" t="s">
        <v>475</v>
      </c>
    </row>
    <row r="147" customFormat="false" ht="15" hidden="false" customHeight="false" outlineLevel="0" collapsed="false">
      <c r="B147" s="2" t="s">
        <v>476</v>
      </c>
    </row>
    <row r="148" customFormat="false" ht="15" hidden="false" customHeight="false" outlineLevel="0" collapsed="false">
      <c r="B148" s="2" t="s">
        <v>477</v>
      </c>
    </row>
    <row r="149" customFormat="false" ht="15" hidden="false" customHeight="false" outlineLevel="0" collapsed="false">
      <c r="B149" s="2" t="s">
        <v>478</v>
      </c>
    </row>
    <row r="150" customFormat="false" ht="15" hidden="false" customHeight="false" outlineLevel="0" collapsed="false">
      <c r="B150" s="2" t="s">
        <v>479</v>
      </c>
    </row>
    <row r="151" customFormat="false" ht="15" hidden="false" customHeight="false" outlineLevel="0" collapsed="false">
      <c r="B151" s="2" t="s">
        <v>480</v>
      </c>
    </row>
    <row r="152" customFormat="false" ht="15" hidden="false" customHeight="false" outlineLevel="0" collapsed="false">
      <c r="B152" s="2" t="s">
        <v>481</v>
      </c>
    </row>
    <row r="153" customFormat="false" ht="15" hidden="false" customHeight="false" outlineLevel="0" collapsed="false">
      <c r="B153" s="2" t="s">
        <v>482</v>
      </c>
    </row>
    <row r="154" customFormat="false" ht="15" hidden="false" customHeight="false" outlineLevel="0" collapsed="false">
      <c r="B154" s="2" t="s">
        <v>483</v>
      </c>
    </row>
    <row r="155" customFormat="false" ht="15" hidden="false" customHeight="false" outlineLevel="0" collapsed="false">
      <c r="B155" s="2" t="s">
        <v>484</v>
      </c>
    </row>
    <row r="156" customFormat="false" ht="15" hidden="false" customHeight="false" outlineLevel="0" collapsed="false">
      <c r="B156" s="2" t="s">
        <v>485</v>
      </c>
    </row>
    <row r="157" customFormat="false" ht="15" hidden="false" customHeight="false" outlineLevel="0" collapsed="false">
      <c r="B157" s="2" t="s">
        <v>486</v>
      </c>
    </row>
    <row r="158" customFormat="false" ht="15" hidden="false" customHeight="false" outlineLevel="0" collapsed="false">
      <c r="B158" s="2" t="s">
        <v>487</v>
      </c>
    </row>
    <row r="159" customFormat="false" ht="15" hidden="false" customHeight="false" outlineLevel="0" collapsed="false">
      <c r="B159" s="2" t="s">
        <v>488</v>
      </c>
    </row>
    <row r="160" customFormat="false" ht="15" hidden="false" customHeight="false" outlineLevel="0" collapsed="false">
      <c r="B160" s="2" t="s">
        <v>489</v>
      </c>
    </row>
    <row r="161" customFormat="false" ht="15" hidden="false" customHeight="false" outlineLevel="0" collapsed="false">
      <c r="B161" s="2" t="s">
        <v>490</v>
      </c>
    </row>
    <row r="162" customFormat="false" ht="15" hidden="false" customHeight="false" outlineLevel="0" collapsed="false">
      <c r="B162" s="2" t="s">
        <v>491</v>
      </c>
    </row>
    <row r="163" customFormat="false" ht="15" hidden="false" customHeight="false" outlineLevel="0" collapsed="false">
      <c r="B163" s="2" t="s">
        <v>492</v>
      </c>
    </row>
    <row r="164" customFormat="false" ht="15" hidden="false" customHeight="false" outlineLevel="0" collapsed="false">
      <c r="B164" s="2" t="s">
        <v>493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3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58"/>
    <col collapsed="false" customWidth="true" hidden="false" outlineLevel="0" max="6" min="5" style="0" width="11"/>
    <col collapsed="false" customWidth="true" hidden="false" outlineLevel="0" max="7" min="7" style="0" width="10"/>
    <col collapsed="false" customWidth="true" hidden="false" outlineLevel="0" max="8" min="8" style="0" width="7"/>
    <col collapsed="false" customWidth="true" hidden="false" outlineLevel="0" max="9" min="9" style="0" width="11"/>
    <col collapsed="false" customWidth="true" hidden="false" outlineLevel="0" max="10" min="10" style="0" width="13"/>
    <col collapsed="false" customWidth="true" hidden="false" outlineLevel="0" max="11" min="11" style="0" width="12"/>
  </cols>
  <sheetData>
    <row r="1" customFormat="false" ht="17.35" hidden="false" customHeight="false" outlineLevel="0" collapsed="false">
      <c r="A1" s="1" t="s">
        <v>494</v>
      </c>
    </row>
    <row r="2" customFormat="false" ht="15" hidden="false" customHeight="false" outlineLevel="0" collapsed="false">
      <c r="A2" s="2" t="s">
        <v>495</v>
      </c>
    </row>
    <row r="4" customFormat="false" ht="15" hidden="false" customHeight="false" outlineLevel="0" collapsed="false">
      <c r="A4" s="4" t="s">
        <v>3</v>
      </c>
      <c r="B4" s="4" t="s">
        <v>276</v>
      </c>
      <c r="C4" s="4" t="s">
        <v>496</v>
      </c>
      <c r="D4" s="4" t="s">
        <v>497</v>
      </c>
      <c r="E4" s="4" t="s">
        <v>498</v>
      </c>
      <c r="F4" s="4" t="s">
        <v>499</v>
      </c>
      <c r="G4" s="4" t="s">
        <v>500</v>
      </c>
      <c r="H4" s="4" t="s">
        <v>336</v>
      </c>
      <c r="I4" s="4" t="s">
        <v>501</v>
      </c>
      <c r="J4" s="4" t="s">
        <v>5</v>
      </c>
      <c r="K4" s="4" t="s">
        <v>502</v>
      </c>
    </row>
    <row r="5" customFormat="false" ht="15" hidden="false" customHeight="false" outlineLevel="0" collapsed="false">
      <c r="A5" s="54" t="s">
        <v>301</v>
      </c>
      <c r="B5" s="55"/>
      <c r="C5" s="55"/>
      <c r="D5" s="55"/>
      <c r="E5" s="55"/>
      <c r="F5" s="55"/>
      <c r="G5" s="55"/>
      <c r="H5" s="55"/>
      <c r="I5" s="55"/>
      <c r="J5" s="55"/>
    </row>
    <row r="6" customFormat="false" ht="15" hidden="false" customHeight="false" outlineLevel="0" collapsed="false">
      <c r="A6" s="5" t="n">
        <v>1</v>
      </c>
      <c r="B6" s="6" t="s">
        <v>301</v>
      </c>
      <c r="C6" s="6" t="s">
        <v>15</v>
      </c>
      <c r="D6" s="6" t="s">
        <v>503</v>
      </c>
      <c r="E6" s="74"/>
      <c r="F6" s="75"/>
      <c r="G6" s="76" t="n">
        <v>1</v>
      </c>
      <c r="H6" s="5" t="s">
        <v>351</v>
      </c>
      <c r="I6" s="7" t="n">
        <f aca="false">Narxlar!$C$116</f>
        <v>500</v>
      </c>
      <c r="J6" s="77" t="n">
        <f aca="false">G6*I6</f>
        <v>500</v>
      </c>
      <c r="K6" s="24" t="s">
        <v>96</v>
      </c>
    </row>
    <row r="7" customFormat="false" ht="15" hidden="false" customHeight="false" outlineLevel="0" collapsed="false">
      <c r="A7" s="5" t="n">
        <v>2</v>
      </c>
      <c r="B7" s="6" t="s">
        <v>301</v>
      </c>
      <c r="C7" s="6" t="s">
        <v>15</v>
      </c>
      <c r="D7" s="6" t="s">
        <v>504</v>
      </c>
      <c r="E7" s="74"/>
      <c r="F7" s="75"/>
      <c r="G7" s="76" t="n">
        <v>1</v>
      </c>
      <c r="H7" s="5" t="s">
        <v>351</v>
      </c>
      <c r="I7" s="7" t="n">
        <f aca="false">Narxlar!$C$117</f>
        <v>250</v>
      </c>
      <c r="J7" s="77" t="n">
        <f aca="false">G7*I7</f>
        <v>250</v>
      </c>
      <c r="K7" s="24" t="s">
        <v>98</v>
      </c>
    </row>
    <row r="8" customFormat="false" ht="15" hidden="false" customHeight="false" outlineLevel="0" collapsed="false">
      <c r="A8" s="5" t="n">
        <v>3</v>
      </c>
      <c r="B8" s="6" t="s">
        <v>301</v>
      </c>
      <c r="C8" s="6" t="s">
        <v>22</v>
      </c>
      <c r="D8" s="6" t="s">
        <v>505</v>
      </c>
      <c r="E8" s="74"/>
      <c r="F8" s="75"/>
      <c r="G8" s="76" t="n">
        <v>1</v>
      </c>
      <c r="H8" s="5" t="s">
        <v>351</v>
      </c>
      <c r="I8" s="7" t="n">
        <f aca="false">Narxlar!$C$114</f>
        <v>1500</v>
      </c>
      <c r="J8" s="77" t="n">
        <f aca="false">G8*I8</f>
        <v>1500</v>
      </c>
      <c r="K8" s="24" t="s">
        <v>104</v>
      </c>
    </row>
    <row r="9" customFormat="false" ht="15" hidden="false" customHeight="false" outlineLevel="0" collapsed="false">
      <c r="A9" s="5" t="n">
        <v>4</v>
      </c>
      <c r="B9" s="6" t="s">
        <v>301</v>
      </c>
      <c r="C9" s="6" t="s">
        <v>22</v>
      </c>
      <c r="D9" s="6" t="s">
        <v>506</v>
      </c>
      <c r="E9" s="74"/>
      <c r="F9" s="75"/>
      <c r="G9" s="76" t="n">
        <v>1</v>
      </c>
      <c r="H9" s="5" t="s">
        <v>357</v>
      </c>
      <c r="I9" s="7" t="n">
        <f aca="false">Narxlar!$C$115</f>
        <v>500</v>
      </c>
      <c r="J9" s="77" t="n">
        <f aca="false">G9*I9</f>
        <v>500</v>
      </c>
      <c r="K9" s="24" t="s">
        <v>106</v>
      </c>
    </row>
    <row r="10" customFormat="false" ht="15" hidden="false" customHeight="false" outlineLevel="0" collapsed="false">
      <c r="A10" s="5" t="n">
        <v>5</v>
      </c>
      <c r="B10" s="6" t="s">
        <v>301</v>
      </c>
      <c r="C10" s="6" t="s">
        <v>22</v>
      </c>
      <c r="D10" s="6" t="s">
        <v>507</v>
      </c>
      <c r="E10" s="74"/>
      <c r="F10" s="75"/>
      <c r="G10" s="76" t="n">
        <v>1</v>
      </c>
      <c r="H10" s="5" t="s">
        <v>351</v>
      </c>
      <c r="I10" s="7" t="n">
        <f aca="false">Narxlar!$C$105</f>
        <v>130</v>
      </c>
      <c r="J10" s="77" t="n">
        <f aca="false">G10*I10</f>
        <v>130</v>
      </c>
      <c r="K10" s="24" t="s">
        <v>108</v>
      </c>
    </row>
    <row r="11" customFormat="false" ht="15" hidden="false" customHeight="false" outlineLevel="0" collapsed="false">
      <c r="A11" s="5" t="n">
        <v>6</v>
      </c>
      <c r="B11" s="6" t="s">
        <v>301</v>
      </c>
      <c r="C11" s="6" t="s">
        <v>22</v>
      </c>
      <c r="D11" s="6" t="s">
        <v>508</v>
      </c>
      <c r="E11" s="74"/>
      <c r="F11" s="75"/>
      <c r="G11" s="76" t="n">
        <v>1</v>
      </c>
      <c r="H11" s="5" t="s">
        <v>351</v>
      </c>
      <c r="I11" s="7" t="n">
        <f aca="false">Narxlar!$C$107</f>
        <v>450</v>
      </c>
      <c r="J11" s="77" t="n">
        <f aca="false">G11*I11</f>
        <v>450</v>
      </c>
      <c r="K11" s="24" t="s">
        <v>110</v>
      </c>
    </row>
    <row r="12" customFormat="false" ht="15" hidden="false" customHeight="false" outlineLevel="0" collapsed="false">
      <c r="A12" s="5" t="n">
        <v>7</v>
      </c>
      <c r="B12" s="6" t="s">
        <v>301</v>
      </c>
      <c r="C12" s="6" t="s">
        <v>22</v>
      </c>
      <c r="D12" s="6" t="s">
        <v>113</v>
      </c>
      <c r="E12" s="74"/>
      <c r="F12" s="75"/>
      <c r="G12" s="76" t="n">
        <v>1</v>
      </c>
      <c r="H12" s="5" t="s">
        <v>351</v>
      </c>
      <c r="I12" s="7" t="n">
        <f aca="false">Narxlar!$C$109</f>
        <v>100</v>
      </c>
      <c r="J12" s="77" t="n">
        <f aca="false">G12*I12</f>
        <v>100</v>
      </c>
      <c r="K12" s="24" t="s">
        <v>112</v>
      </c>
    </row>
    <row r="13" customFormat="false" ht="15" hidden="false" customHeight="false" outlineLevel="0" collapsed="false">
      <c r="A13" s="78"/>
      <c r="B13" s="78"/>
      <c r="C13" s="78"/>
      <c r="D13" s="11" t="s">
        <v>509</v>
      </c>
      <c r="E13" s="78"/>
      <c r="F13" s="78"/>
      <c r="G13" s="78"/>
      <c r="H13" s="78"/>
      <c r="I13" s="78"/>
      <c r="J13" s="12" t="n">
        <f aca="false">SUM(J6:J12)</f>
        <v>3430</v>
      </c>
    </row>
    <row r="15" customFormat="false" ht="15" hidden="false" customHeight="false" outlineLevel="0" collapsed="false">
      <c r="A15" s="54" t="s">
        <v>303</v>
      </c>
      <c r="B15" s="55"/>
      <c r="C15" s="55"/>
      <c r="D15" s="55"/>
      <c r="E15" s="55"/>
      <c r="F15" s="55"/>
      <c r="G15" s="55"/>
      <c r="H15" s="55"/>
      <c r="I15" s="55"/>
      <c r="J15" s="55"/>
    </row>
    <row r="16" customFormat="false" ht="15" hidden="false" customHeight="false" outlineLevel="0" collapsed="false">
      <c r="A16" s="5" t="n">
        <v>8</v>
      </c>
      <c r="B16" s="6" t="s">
        <v>303</v>
      </c>
      <c r="C16" s="6" t="s">
        <v>8</v>
      </c>
      <c r="D16" s="6" t="s">
        <v>510</v>
      </c>
      <c r="E16" s="74" t="n">
        <v>4.5</v>
      </c>
      <c r="F16" s="56" t="n">
        <f aca="false">Narxlar!$C$134</f>
        <v>2.5</v>
      </c>
      <c r="G16" s="75" t="n">
        <f aca="false">E16*F16</f>
        <v>11.25</v>
      </c>
      <c r="H16" s="5" t="s">
        <v>424</v>
      </c>
      <c r="I16" s="7" t="n">
        <f aca="false">Narxlar!$C$5</f>
        <v>55</v>
      </c>
      <c r="J16" s="77" t="n">
        <f aca="false">G16*I16</f>
        <v>618.75</v>
      </c>
      <c r="K16" s="24" t="s">
        <v>168</v>
      </c>
    </row>
    <row r="17" customFormat="false" ht="15" hidden="false" customHeight="false" outlineLevel="0" collapsed="false">
      <c r="A17" s="5" t="n">
        <v>9</v>
      </c>
      <c r="B17" s="6" t="s">
        <v>303</v>
      </c>
      <c r="C17" s="6" t="s">
        <v>8</v>
      </c>
      <c r="D17" s="6" t="s">
        <v>511</v>
      </c>
      <c r="E17" s="56" t="n">
        <f aca="false">Narxlar!$C$138</f>
        <v>1</v>
      </c>
      <c r="F17" s="56" t="n">
        <f aca="false">Narxlar!$C$134</f>
        <v>2.5</v>
      </c>
      <c r="G17" s="75" t="n">
        <f aca="false">E17*F17</f>
        <v>2.5</v>
      </c>
      <c r="H17" s="5" t="s">
        <v>424</v>
      </c>
      <c r="I17" s="7" t="n">
        <f aca="false">Narxlar!$C$5</f>
        <v>55</v>
      </c>
      <c r="J17" s="77" t="n">
        <f aca="false">G17*I17</f>
        <v>137.5</v>
      </c>
      <c r="K17" s="24" t="s">
        <v>168</v>
      </c>
    </row>
    <row r="18" customFormat="false" ht="15" hidden="false" customHeight="false" outlineLevel="0" collapsed="false">
      <c r="A18" s="5" t="n">
        <v>10</v>
      </c>
      <c r="B18" s="6" t="s">
        <v>303</v>
      </c>
      <c r="C18" s="6" t="s">
        <v>9</v>
      </c>
      <c r="D18" s="6" t="s">
        <v>512</v>
      </c>
      <c r="E18" s="74" t="n">
        <v>0.3</v>
      </c>
      <c r="F18" s="56" t="n">
        <f aca="false">Narxlar!$C$133</f>
        <v>3.5</v>
      </c>
      <c r="G18" s="75" t="n">
        <f aca="false">E18*F18</f>
        <v>1.05</v>
      </c>
      <c r="H18" s="5" t="s">
        <v>424</v>
      </c>
      <c r="I18" s="7" t="n">
        <f aca="false">Narxlar!$C$6</f>
        <v>12</v>
      </c>
      <c r="J18" s="77" t="n">
        <f aca="false">G18*I18</f>
        <v>12.6</v>
      </c>
      <c r="K18" s="24" t="s">
        <v>128</v>
      </c>
    </row>
    <row r="19" customFormat="false" ht="15" hidden="false" customHeight="false" outlineLevel="0" collapsed="false">
      <c r="A19" s="5" t="n">
        <v>11</v>
      </c>
      <c r="B19" s="6" t="s">
        <v>303</v>
      </c>
      <c r="C19" s="6" t="s">
        <v>9</v>
      </c>
      <c r="D19" s="6" t="s">
        <v>513</v>
      </c>
      <c r="E19" s="74" t="n">
        <v>4.5</v>
      </c>
      <c r="F19" s="56" t="n">
        <f aca="false">Narxlar!$C$135</f>
        <v>1</v>
      </c>
      <c r="G19" s="75" t="n">
        <f aca="false">E19*F19</f>
        <v>4.5</v>
      </c>
      <c r="H19" s="5" t="s">
        <v>424</v>
      </c>
      <c r="I19" s="7" t="n">
        <f aca="false">Narxlar!$C$6</f>
        <v>12</v>
      </c>
      <c r="J19" s="77" t="n">
        <f aca="false">G19*I19</f>
        <v>54</v>
      </c>
      <c r="K19" s="24" t="s">
        <v>128</v>
      </c>
    </row>
    <row r="20" customFormat="false" ht="15" hidden="false" customHeight="false" outlineLevel="0" collapsed="false">
      <c r="A20" s="5" t="n">
        <v>12</v>
      </c>
      <c r="B20" s="6" t="s">
        <v>303</v>
      </c>
      <c r="C20" s="6" t="s">
        <v>9</v>
      </c>
      <c r="D20" s="6" t="s">
        <v>514</v>
      </c>
      <c r="E20" s="74" t="n">
        <v>0.2</v>
      </c>
      <c r="F20" s="56" t="n">
        <f aca="false">Narxlar!$C$133</f>
        <v>3.5</v>
      </c>
      <c r="G20" s="75" t="n">
        <f aca="false">E20*F20</f>
        <v>0.7</v>
      </c>
      <c r="H20" s="5" t="s">
        <v>424</v>
      </c>
      <c r="I20" s="7" t="n">
        <f aca="false">Narxlar!$C$6</f>
        <v>12</v>
      </c>
      <c r="J20" s="77" t="n">
        <f aca="false">G20*I20</f>
        <v>8.4</v>
      </c>
      <c r="K20" s="24" t="s">
        <v>128</v>
      </c>
    </row>
    <row r="21" customFormat="false" ht="15" hidden="false" customHeight="false" outlineLevel="0" collapsed="false">
      <c r="A21" s="5" t="n">
        <v>13</v>
      </c>
      <c r="B21" s="6" t="s">
        <v>303</v>
      </c>
      <c r="C21" s="6" t="s">
        <v>9</v>
      </c>
      <c r="D21" s="6" t="s">
        <v>515</v>
      </c>
      <c r="E21" s="56" t="n">
        <f aca="false">Narxlar!$C$138</f>
        <v>1</v>
      </c>
      <c r="F21" s="56" t="n">
        <f aca="false">Narxlar!$C$135</f>
        <v>1</v>
      </c>
      <c r="G21" s="75" t="n">
        <f aca="false">E21*F21</f>
        <v>1</v>
      </c>
      <c r="H21" s="5" t="s">
        <v>424</v>
      </c>
      <c r="I21" s="7" t="n">
        <f aca="false">Narxlar!$C$6</f>
        <v>12</v>
      </c>
      <c r="J21" s="77" t="n">
        <f aca="false">G21*I21</f>
        <v>12</v>
      </c>
      <c r="K21" s="24" t="s">
        <v>128</v>
      </c>
    </row>
    <row r="22" customFormat="false" ht="15" hidden="false" customHeight="false" outlineLevel="0" collapsed="false">
      <c r="A22" s="5" t="n">
        <v>14</v>
      </c>
      <c r="B22" s="6" t="s">
        <v>303</v>
      </c>
      <c r="C22" s="6" t="s">
        <v>10</v>
      </c>
      <c r="D22" s="6" t="s">
        <v>516</v>
      </c>
      <c r="E22" s="74" t="n">
        <v>7.7</v>
      </c>
      <c r="F22" s="56" t="n">
        <f aca="false">Narxlar!$C$140</f>
        <v>3.5</v>
      </c>
      <c r="G22" s="75" t="n">
        <f aca="false">E22*F22</f>
        <v>26.95</v>
      </c>
      <c r="H22" s="5" t="s">
        <v>424</v>
      </c>
      <c r="I22" s="7" t="n">
        <f aca="false">Narxlar!$C$7</f>
        <v>15.5</v>
      </c>
      <c r="J22" s="77" t="n">
        <f aca="false">G22*I22</f>
        <v>417.725</v>
      </c>
      <c r="K22" s="24" t="s">
        <v>169</v>
      </c>
    </row>
    <row r="23" customFormat="false" ht="15" hidden="false" customHeight="false" outlineLevel="0" collapsed="false">
      <c r="A23" s="5" t="n">
        <v>15</v>
      </c>
      <c r="B23" s="6" t="s">
        <v>303</v>
      </c>
      <c r="C23" s="6" t="s">
        <v>10</v>
      </c>
      <c r="D23" s="6" t="s">
        <v>517</v>
      </c>
      <c r="E23" s="74" t="n">
        <v>7.7</v>
      </c>
      <c r="F23" s="56" t="n">
        <f aca="false">Narxlar!$C$140</f>
        <v>3.5</v>
      </c>
      <c r="G23" s="75" t="n">
        <f aca="false">E23*F23</f>
        <v>26.95</v>
      </c>
      <c r="H23" s="5" t="s">
        <v>424</v>
      </c>
      <c r="I23" s="7" t="n">
        <f aca="false">Narxlar!$C$7</f>
        <v>15.5</v>
      </c>
      <c r="J23" s="77" t="n">
        <f aca="false">G23*I23</f>
        <v>417.725</v>
      </c>
      <c r="K23" s="24" t="s">
        <v>169</v>
      </c>
    </row>
    <row r="24" customFormat="false" ht="15" hidden="false" customHeight="false" outlineLevel="0" collapsed="false">
      <c r="A24" s="5" t="n">
        <v>16</v>
      </c>
      <c r="B24" s="6" t="s">
        <v>303</v>
      </c>
      <c r="C24" s="6" t="s">
        <v>11</v>
      </c>
      <c r="D24" s="6" t="s">
        <v>518</v>
      </c>
      <c r="E24" s="74"/>
      <c r="F24" s="75"/>
      <c r="G24" s="76" t="n">
        <v>1</v>
      </c>
      <c r="H24" s="5" t="s">
        <v>351</v>
      </c>
      <c r="I24" s="7" t="n">
        <f aca="false">Narxlar!$C$8</f>
        <v>1032</v>
      </c>
      <c r="J24" s="77" t="n">
        <f aca="false">G24*I24</f>
        <v>1032</v>
      </c>
      <c r="K24" s="24" t="s">
        <v>178</v>
      </c>
    </row>
    <row r="25" customFormat="false" ht="15" hidden="false" customHeight="false" outlineLevel="0" collapsed="false">
      <c r="A25" s="5" t="n">
        <v>17</v>
      </c>
      <c r="B25" s="6" t="s">
        <v>303</v>
      </c>
      <c r="C25" s="6" t="s">
        <v>13</v>
      </c>
      <c r="D25" s="6" t="s">
        <v>519</v>
      </c>
      <c r="E25" s="74"/>
      <c r="F25" s="75"/>
      <c r="G25" s="76" t="n">
        <v>1</v>
      </c>
      <c r="H25" s="5" t="s">
        <v>357</v>
      </c>
      <c r="I25" s="7" t="n">
        <f aca="false">Narxlar!$C$12</f>
        <v>168</v>
      </c>
      <c r="J25" s="77" t="n">
        <f aca="false">G25*I25</f>
        <v>168</v>
      </c>
      <c r="K25" s="24" t="s">
        <v>180</v>
      </c>
    </row>
    <row r="26" customFormat="false" ht="15" hidden="false" customHeight="false" outlineLevel="0" collapsed="false">
      <c r="A26" s="5" t="n">
        <v>18</v>
      </c>
      <c r="B26" s="6" t="s">
        <v>303</v>
      </c>
      <c r="C26" s="6" t="s">
        <v>24</v>
      </c>
      <c r="D26" s="6" t="s">
        <v>520</v>
      </c>
      <c r="E26" s="74"/>
      <c r="F26" s="75"/>
      <c r="G26" s="76" t="n">
        <v>1</v>
      </c>
      <c r="H26" s="5" t="s">
        <v>351</v>
      </c>
      <c r="I26" s="7" t="n">
        <f aca="false">Narxlar!$C$101</f>
        <v>150</v>
      </c>
      <c r="J26" s="77" t="n">
        <f aca="false">G26*I26</f>
        <v>150</v>
      </c>
      <c r="K26" s="24" t="s">
        <v>226</v>
      </c>
    </row>
    <row r="27" customFormat="false" ht="15" hidden="false" customHeight="false" outlineLevel="0" collapsed="false">
      <c r="A27" s="78"/>
      <c r="B27" s="78"/>
      <c r="C27" s="78"/>
      <c r="D27" s="11" t="s">
        <v>521</v>
      </c>
      <c r="E27" s="78"/>
      <c r="F27" s="78"/>
      <c r="G27" s="78"/>
      <c r="H27" s="78"/>
      <c r="I27" s="78"/>
      <c r="J27" s="12" t="n">
        <f aca="false">SUM(J16:J26)</f>
        <v>3028.7</v>
      </c>
    </row>
    <row r="29" customFormat="false" ht="15" hidden="false" customHeight="false" outlineLevel="0" collapsed="false">
      <c r="A29" s="54" t="s">
        <v>304</v>
      </c>
      <c r="B29" s="55"/>
      <c r="C29" s="55"/>
      <c r="D29" s="55"/>
      <c r="E29" s="55"/>
      <c r="F29" s="55"/>
      <c r="G29" s="55"/>
      <c r="H29" s="55"/>
      <c r="I29" s="55"/>
      <c r="J29" s="55"/>
    </row>
    <row r="30" customFormat="false" ht="15" hidden="false" customHeight="false" outlineLevel="0" collapsed="false">
      <c r="A30" s="5" t="n">
        <v>19</v>
      </c>
      <c r="B30" s="6" t="s">
        <v>304</v>
      </c>
      <c r="C30" s="6" t="s">
        <v>8</v>
      </c>
      <c r="D30" s="6" t="s">
        <v>510</v>
      </c>
      <c r="E30" s="74" t="n">
        <v>4.6</v>
      </c>
      <c r="F30" s="56" t="n">
        <f aca="false">Narxlar!$C$134</f>
        <v>2.5</v>
      </c>
      <c r="G30" s="75" t="n">
        <f aca="false">E30*F30</f>
        <v>11.5</v>
      </c>
      <c r="H30" s="5" t="s">
        <v>424</v>
      </c>
      <c r="I30" s="7" t="n">
        <f aca="false">Narxlar!$C$5</f>
        <v>55</v>
      </c>
      <c r="J30" s="77" t="n">
        <f aca="false">G30*I30</f>
        <v>632.5</v>
      </c>
      <c r="K30" s="24" t="s">
        <v>168</v>
      </c>
    </row>
    <row r="31" customFormat="false" ht="15" hidden="false" customHeight="false" outlineLevel="0" collapsed="false">
      <c r="A31" s="5" t="n">
        <v>20</v>
      </c>
      <c r="B31" s="6" t="s">
        <v>304</v>
      </c>
      <c r="C31" s="6" t="s">
        <v>8</v>
      </c>
      <c r="D31" s="6" t="s">
        <v>511</v>
      </c>
      <c r="E31" s="56" t="n">
        <f aca="false">Narxlar!$C$138</f>
        <v>1</v>
      </c>
      <c r="F31" s="56" t="n">
        <f aca="false">Narxlar!$C$134</f>
        <v>2.5</v>
      </c>
      <c r="G31" s="75" t="n">
        <f aca="false">E31*F31</f>
        <v>2.5</v>
      </c>
      <c r="H31" s="5" t="s">
        <v>424</v>
      </c>
      <c r="I31" s="7" t="n">
        <f aca="false">Narxlar!$C$5</f>
        <v>55</v>
      </c>
      <c r="J31" s="77" t="n">
        <f aca="false">G31*I31</f>
        <v>137.5</v>
      </c>
      <c r="K31" s="24" t="s">
        <v>168</v>
      </c>
    </row>
    <row r="32" customFormat="false" ht="15" hidden="false" customHeight="false" outlineLevel="0" collapsed="false">
      <c r="A32" s="5" t="n">
        <v>21</v>
      </c>
      <c r="B32" s="6" t="s">
        <v>304</v>
      </c>
      <c r="C32" s="6" t="s">
        <v>9</v>
      </c>
      <c r="D32" s="6" t="s">
        <v>513</v>
      </c>
      <c r="E32" s="74" t="n">
        <v>4.6</v>
      </c>
      <c r="F32" s="56" t="n">
        <f aca="false">Narxlar!$C$135</f>
        <v>1</v>
      </c>
      <c r="G32" s="75" t="n">
        <f aca="false">E32*F32</f>
        <v>4.6</v>
      </c>
      <c r="H32" s="5" t="s">
        <v>424</v>
      </c>
      <c r="I32" s="7" t="n">
        <f aca="false">Narxlar!$C$6</f>
        <v>12</v>
      </c>
      <c r="J32" s="77" t="n">
        <f aca="false">G32*I32</f>
        <v>55.2</v>
      </c>
      <c r="K32" s="24" t="s">
        <v>128</v>
      </c>
    </row>
    <row r="33" customFormat="false" ht="15" hidden="false" customHeight="false" outlineLevel="0" collapsed="false">
      <c r="A33" s="5" t="n">
        <v>22</v>
      </c>
      <c r="B33" s="6" t="s">
        <v>304</v>
      </c>
      <c r="C33" s="6" t="s">
        <v>9</v>
      </c>
      <c r="D33" s="6" t="s">
        <v>514</v>
      </c>
      <c r="E33" s="74" t="n">
        <v>0.2</v>
      </c>
      <c r="F33" s="56" t="n">
        <f aca="false">Narxlar!$C$133</f>
        <v>3.5</v>
      </c>
      <c r="G33" s="75" t="n">
        <f aca="false">E33*F33</f>
        <v>0.7</v>
      </c>
      <c r="H33" s="5" t="s">
        <v>424</v>
      </c>
      <c r="I33" s="7" t="n">
        <f aca="false">Narxlar!$C$6</f>
        <v>12</v>
      </c>
      <c r="J33" s="77" t="n">
        <f aca="false">G33*I33</f>
        <v>8.4</v>
      </c>
      <c r="K33" s="24" t="s">
        <v>128</v>
      </c>
    </row>
    <row r="34" customFormat="false" ht="15" hidden="false" customHeight="false" outlineLevel="0" collapsed="false">
      <c r="A34" s="5" t="n">
        <v>23</v>
      </c>
      <c r="B34" s="6" t="s">
        <v>304</v>
      </c>
      <c r="C34" s="6" t="s">
        <v>9</v>
      </c>
      <c r="D34" s="6" t="s">
        <v>515</v>
      </c>
      <c r="E34" s="56" t="n">
        <f aca="false">Narxlar!$C$138</f>
        <v>1</v>
      </c>
      <c r="F34" s="56" t="n">
        <f aca="false">Narxlar!$C$135</f>
        <v>1</v>
      </c>
      <c r="G34" s="75" t="n">
        <f aca="false">E34*F34</f>
        <v>1</v>
      </c>
      <c r="H34" s="5" t="s">
        <v>424</v>
      </c>
      <c r="I34" s="7" t="n">
        <f aca="false">Narxlar!$C$6</f>
        <v>12</v>
      </c>
      <c r="J34" s="77" t="n">
        <f aca="false">G34*I34</f>
        <v>12</v>
      </c>
      <c r="K34" s="24" t="s">
        <v>128</v>
      </c>
    </row>
    <row r="35" customFormat="false" ht="15" hidden="false" customHeight="false" outlineLevel="0" collapsed="false">
      <c r="A35" s="5" t="n">
        <v>24</v>
      </c>
      <c r="B35" s="6" t="s">
        <v>304</v>
      </c>
      <c r="C35" s="6" t="s">
        <v>10</v>
      </c>
      <c r="D35" s="6" t="s">
        <v>516</v>
      </c>
      <c r="E35" s="74" t="n">
        <v>7.7</v>
      </c>
      <c r="F35" s="56" t="n">
        <f aca="false">Narxlar!$C$140</f>
        <v>3.5</v>
      </c>
      <c r="G35" s="75" t="n">
        <f aca="false">E35*F35</f>
        <v>26.95</v>
      </c>
      <c r="H35" s="5" t="s">
        <v>424</v>
      </c>
      <c r="I35" s="7" t="n">
        <f aca="false">Narxlar!$C$7</f>
        <v>15.5</v>
      </c>
      <c r="J35" s="77" t="n">
        <f aca="false">G35*I35</f>
        <v>417.725</v>
      </c>
      <c r="K35" s="24" t="s">
        <v>169</v>
      </c>
    </row>
    <row r="36" customFormat="false" ht="15" hidden="false" customHeight="false" outlineLevel="0" collapsed="false">
      <c r="A36" s="5" t="n">
        <v>25</v>
      </c>
      <c r="B36" s="6" t="s">
        <v>304</v>
      </c>
      <c r="C36" s="6" t="s">
        <v>10</v>
      </c>
      <c r="D36" s="6" t="s">
        <v>517</v>
      </c>
      <c r="E36" s="74" t="n">
        <v>7.7</v>
      </c>
      <c r="F36" s="56" t="n">
        <f aca="false">Narxlar!$C$140</f>
        <v>3.5</v>
      </c>
      <c r="G36" s="75" t="n">
        <f aca="false">E36*F36</f>
        <v>26.95</v>
      </c>
      <c r="H36" s="5" t="s">
        <v>424</v>
      </c>
      <c r="I36" s="7" t="n">
        <f aca="false">Narxlar!$C$7</f>
        <v>15.5</v>
      </c>
      <c r="J36" s="77" t="n">
        <f aca="false">G36*I36</f>
        <v>417.725</v>
      </c>
      <c r="K36" s="24" t="s">
        <v>169</v>
      </c>
    </row>
    <row r="37" customFormat="false" ht="15" hidden="false" customHeight="false" outlineLevel="0" collapsed="false">
      <c r="A37" s="5" t="n">
        <v>26</v>
      </c>
      <c r="B37" s="6" t="s">
        <v>304</v>
      </c>
      <c r="C37" s="6" t="s">
        <v>11</v>
      </c>
      <c r="D37" s="6" t="s">
        <v>518</v>
      </c>
      <c r="E37" s="74"/>
      <c r="F37" s="75"/>
      <c r="G37" s="76" t="n">
        <v>1</v>
      </c>
      <c r="H37" s="5" t="s">
        <v>351</v>
      </c>
      <c r="I37" s="7" t="n">
        <f aca="false">Narxlar!$C$8</f>
        <v>1032</v>
      </c>
      <c r="J37" s="77" t="n">
        <f aca="false">G37*I37</f>
        <v>1032</v>
      </c>
      <c r="K37" s="24" t="s">
        <v>178</v>
      </c>
    </row>
    <row r="38" customFormat="false" ht="15" hidden="false" customHeight="false" outlineLevel="0" collapsed="false">
      <c r="A38" s="5" t="n">
        <v>27</v>
      </c>
      <c r="B38" s="6" t="s">
        <v>304</v>
      </c>
      <c r="C38" s="6" t="s">
        <v>13</v>
      </c>
      <c r="D38" s="6" t="s">
        <v>519</v>
      </c>
      <c r="E38" s="74"/>
      <c r="F38" s="75"/>
      <c r="G38" s="76" t="n">
        <v>1</v>
      </c>
      <c r="H38" s="5" t="s">
        <v>357</v>
      </c>
      <c r="I38" s="7" t="n">
        <f aca="false">Narxlar!$C$12</f>
        <v>168</v>
      </c>
      <c r="J38" s="77" t="n">
        <f aca="false">G38*I38</f>
        <v>168</v>
      </c>
      <c r="K38" s="24" t="s">
        <v>180</v>
      </c>
    </row>
    <row r="39" customFormat="false" ht="15" hidden="false" customHeight="false" outlineLevel="0" collapsed="false">
      <c r="A39" s="5" t="n">
        <v>28</v>
      </c>
      <c r="B39" s="6" t="s">
        <v>304</v>
      </c>
      <c r="C39" s="6" t="s">
        <v>24</v>
      </c>
      <c r="D39" s="6" t="s">
        <v>520</v>
      </c>
      <c r="E39" s="74"/>
      <c r="F39" s="75"/>
      <c r="G39" s="76" t="n">
        <v>1</v>
      </c>
      <c r="H39" s="5" t="s">
        <v>351</v>
      </c>
      <c r="I39" s="7" t="n">
        <f aca="false">Narxlar!$C$101</f>
        <v>150</v>
      </c>
      <c r="J39" s="77" t="n">
        <f aca="false">G39*I39</f>
        <v>150</v>
      </c>
      <c r="K39" s="24" t="s">
        <v>226</v>
      </c>
    </row>
    <row r="40" customFormat="false" ht="15" hidden="false" customHeight="false" outlineLevel="0" collapsed="false">
      <c r="A40" s="78"/>
      <c r="B40" s="78"/>
      <c r="C40" s="78"/>
      <c r="D40" s="11" t="s">
        <v>522</v>
      </c>
      <c r="E40" s="78"/>
      <c r="F40" s="78"/>
      <c r="G40" s="78"/>
      <c r="H40" s="78"/>
      <c r="I40" s="78"/>
      <c r="J40" s="12" t="n">
        <f aca="false">SUM(J30:J39)</f>
        <v>3031.05</v>
      </c>
    </row>
    <row r="42" customFormat="false" ht="15" hidden="false" customHeight="false" outlineLevel="0" collapsed="false">
      <c r="A42" s="54" t="s">
        <v>305</v>
      </c>
      <c r="B42" s="55"/>
      <c r="C42" s="55"/>
      <c r="D42" s="55"/>
      <c r="E42" s="55"/>
      <c r="F42" s="55"/>
      <c r="G42" s="55"/>
      <c r="H42" s="55"/>
      <c r="I42" s="55"/>
      <c r="J42" s="55"/>
    </row>
    <row r="43" customFormat="false" ht="15" hidden="false" customHeight="false" outlineLevel="0" collapsed="false">
      <c r="A43" s="5" t="n">
        <v>29</v>
      </c>
      <c r="B43" s="6" t="s">
        <v>305</v>
      </c>
      <c r="C43" s="6" t="s">
        <v>8</v>
      </c>
      <c r="D43" s="6" t="s">
        <v>510</v>
      </c>
      <c r="E43" s="74" t="n">
        <v>1.7</v>
      </c>
      <c r="F43" s="56" t="n">
        <f aca="false">Narxlar!$C$134</f>
        <v>2.5</v>
      </c>
      <c r="G43" s="75" t="n">
        <f aca="false">E43*F43</f>
        <v>4.25</v>
      </c>
      <c r="H43" s="5" t="s">
        <v>424</v>
      </c>
      <c r="I43" s="7" t="n">
        <f aca="false">Narxlar!$C$5</f>
        <v>55</v>
      </c>
      <c r="J43" s="77" t="n">
        <f aca="false">G43*I43</f>
        <v>233.75</v>
      </c>
      <c r="K43" s="24" t="s">
        <v>168</v>
      </c>
    </row>
    <row r="44" customFormat="false" ht="15" hidden="false" customHeight="false" outlineLevel="0" collapsed="false">
      <c r="A44" s="5" t="n">
        <v>30</v>
      </c>
      <c r="B44" s="6" t="s">
        <v>305</v>
      </c>
      <c r="C44" s="6" t="s">
        <v>8</v>
      </c>
      <c r="D44" s="6" t="s">
        <v>511</v>
      </c>
      <c r="E44" s="56" t="n">
        <f aca="false">Narxlar!$C$138</f>
        <v>1</v>
      </c>
      <c r="F44" s="56" t="n">
        <f aca="false">Narxlar!$C$134</f>
        <v>2.5</v>
      </c>
      <c r="G44" s="75" t="n">
        <f aca="false">E44*F44</f>
        <v>2.5</v>
      </c>
      <c r="H44" s="5" t="s">
        <v>424</v>
      </c>
      <c r="I44" s="7" t="n">
        <f aca="false">Narxlar!$C$5</f>
        <v>55</v>
      </c>
      <c r="J44" s="77" t="n">
        <f aca="false">G44*I44</f>
        <v>137.5</v>
      </c>
      <c r="K44" s="24" t="s">
        <v>168</v>
      </c>
    </row>
    <row r="45" customFormat="false" ht="15" hidden="false" customHeight="false" outlineLevel="0" collapsed="false">
      <c r="A45" s="5" t="n">
        <v>31</v>
      </c>
      <c r="B45" s="6" t="s">
        <v>305</v>
      </c>
      <c r="C45" s="6" t="s">
        <v>9</v>
      </c>
      <c r="D45" s="6" t="s">
        <v>514</v>
      </c>
      <c r="E45" s="74" t="n">
        <v>0.15</v>
      </c>
      <c r="F45" s="56" t="n">
        <f aca="false">Narxlar!$C$133</f>
        <v>3.5</v>
      </c>
      <c r="G45" s="75" t="n">
        <f aca="false">E45*F45</f>
        <v>0.525</v>
      </c>
      <c r="H45" s="5" t="s">
        <v>424</v>
      </c>
      <c r="I45" s="7" t="n">
        <f aca="false">Narxlar!$C$6</f>
        <v>12</v>
      </c>
      <c r="J45" s="77" t="n">
        <f aca="false">G45*I45</f>
        <v>6.3</v>
      </c>
      <c r="K45" s="24" t="s">
        <v>128</v>
      </c>
    </row>
    <row r="46" customFormat="false" ht="15" hidden="false" customHeight="false" outlineLevel="0" collapsed="false">
      <c r="A46" s="5" t="n">
        <v>32</v>
      </c>
      <c r="B46" s="6" t="s">
        <v>305</v>
      </c>
      <c r="C46" s="6" t="s">
        <v>9</v>
      </c>
      <c r="D46" s="6" t="s">
        <v>513</v>
      </c>
      <c r="E46" s="74" t="n">
        <v>1.7</v>
      </c>
      <c r="F46" s="56" t="n">
        <f aca="false">Narxlar!$C$135</f>
        <v>1</v>
      </c>
      <c r="G46" s="75" t="n">
        <f aca="false">E46*F46</f>
        <v>1.7</v>
      </c>
      <c r="H46" s="5" t="s">
        <v>424</v>
      </c>
      <c r="I46" s="7" t="n">
        <f aca="false">Narxlar!$C$6</f>
        <v>12</v>
      </c>
      <c r="J46" s="77" t="n">
        <f aca="false">G46*I46</f>
        <v>20.4</v>
      </c>
      <c r="K46" s="24" t="s">
        <v>128</v>
      </c>
    </row>
    <row r="47" customFormat="false" ht="15" hidden="false" customHeight="false" outlineLevel="0" collapsed="false">
      <c r="A47" s="5" t="n">
        <v>33</v>
      </c>
      <c r="B47" s="6" t="s">
        <v>305</v>
      </c>
      <c r="C47" s="6" t="s">
        <v>9</v>
      </c>
      <c r="D47" s="6" t="s">
        <v>523</v>
      </c>
      <c r="E47" s="74" t="n">
        <v>2.9</v>
      </c>
      <c r="F47" s="56" t="n">
        <f aca="false">Narxlar!$C$133</f>
        <v>3.5</v>
      </c>
      <c r="G47" s="75" t="n">
        <f aca="false">E47*F47</f>
        <v>10.15</v>
      </c>
      <c r="H47" s="5" t="s">
        <v>424</v>
      </c>
      <c r="I47" s="7" t="n">
        <f aca="false">Narxlar!$C$6</f>
        <v>12</v>
      </c>
      <c r="J47" s="77" t="n">
        <f aca="false">G47*I47</f>
        <v>121.8</v>
      </c>
      <c r="K47" s="24" t="s">
        <v>128</v>
      </c>
    </row>
    <row r="48" customFormat="false" ht="15" hidden="false" customHeight="false" outlineLevel="0" collapsed="false">
      <c r="A48" s="5" t="n">
        <v>34</v>
      </c>
      <c r="B48" s="6" t="s">
        <v>305</v>
      </c>
      <c r="C48" s="6" t="s">
        <v>9</v>
      </c>
      <c r="D48" s="6" t="s">
        <v>515</v>
      </c>
      <c r="E48" s="56" t="n">
        <f aca="false">Narxlar!$C$138</f>
        <v>1</v>
      </c>
      <c r="F48" s="56" t="n">
        <f aca="false">Narxlar!$C$135</f>
        <v>1</v>
      </c>
      <c r="G48" s="75" t="n">
        <f aca="false">E48*F48</f>
        <v>1</v>
      </c>
      <c r="H48" s="5" t="s">
        <v>424</v>
      </c>
      <c r="I48" s="7" t="n">
        <f aca="false">Narxlar!$C$6</f>
        <v>12</v>
      </c>
      <c r="J48" s="77" t="n">
        <f aca="false">G48*I48</f>
        <v>12</v>
      </c>
      <c r="K48" s="24" t="s">
        <v>128</v>
      </c>
    </row>
    <row r="49" customFormat="false" ht="15" hidden="false" customHeight="false" outlineLevel="0" collapsed="false">
      <c r="A49" s="5" t="n">
        <v>35</v>
      </c>
      <c r="B49" s="6" t="s">
        <v>305</v>
      </c>
      <c r="C49" s="6" t="s">
        <v>9</v>
      </c>
      <c r="D49" s="6" t="s">
        <v>524</v>
      </c>
      <c r="E49" s="74" t="n">
        <v>7.7</v>
      </c>
      <c r="F49" s="75"/>
      <c r="G49" s="74" t="n">
        <v>8.66</v>
      </c>
      <c r="H49" s="5" t="s">
        <v>424</v>
      </c>
      <c r="I49" s="7" t="n">
        <f aca="false">Narxlar!$C$6</f>
        <v>12</v>
      </c>
      <c r="J49" s="77" t="n">
        <f aca="false">G49*I49</f>
        <v>103.92</v>
      </c>
      <c r="K49" s="24" t="s">
        <v>128</v>
      </c>
    </row>
    <row r="50" customFormat="false" ht="15" hidden="false" customHeight="false" outlineLevel="0" collapsed="false">
      <c r="A50" s="5" t="n">
        <v>36</v>
      </c>
      <c r="B50" s="6" t="s">
        <v>305</v>
      </c>
      <c r="C50" s="6" t="s">
        <v>10</v>
      </c>
      <c r="D50" s="6" t="s">
        <v>516</v>
      </c>
      <c r="E50" s="74" t="n">
        <v>7.7</v>
      </c>
      <c r="F50" s="56" t="n">
        <f aca="false">Narxlar!$C$140</f>
        <v>3.5</v>
      </c>
      <c r="G50" s="75" t="n">
        <f aca="false">E50*F50</f>
        <v>26.95</v>
      </c>
      <c r="H50" s="5" t="s">
        <v>424</v>
      </c>
      <c r="I50" s="7" t="n">
        <f aca="false">Narxlar!$C$7</f>
        <v>15.5</v>
      </c>
      <c r="J50" s="77" t="n">
        <f aca="false">G50*I50</f>
        <v>417.725</v>
      </c>
      <c r="K50" s="24" t="s">
        <v>169</v>
      </c>
    </row>
    <row r="51" customFormat="false" ht="15" hidden="false" customHeight="false" outlineLevel="0" collapsed="false">
      <c r="A51" s="5" t="n">
        <v>37</v>
      </c>
      <c r="B51" s="6" t="s">
        <v>305</v>
      </c>
      <c r="C51" s="6" t="s">
        <v>10</v>
      </c>
      <c r="D51" s="6" t="s">
        <v>517</v>
      </c>
      <c r="E51" s="74" t="n">
        <v>7.7</v>
      </c>
      <c r="F51" s="56" t="n">
        <f aca="false">Narxlar!$C$140</f>
        <v>3.5</v>
      </c>
      <c r="G51" s="75" t="n">
        <f aca="false">E51*F51</f>
        <v>26.95</v>
      </c>
      <c r="H51" s="5" t="s">
        <v>424</v>
      </c>
      <c r="I51" s="7" t="n">
        <f aca="false">Narxlar!$C$7</f>
        <v>15.5</v>
      </c>
      <c r="J51" s="77" t="n">
        <f aca="false">G51*I51</f>
        <v>417.725</v>
      </c>
      <c r="K51" s="24" t="s">
        <v>169</v>
      </c>
    </row>
    <row r="52" customFormat="false" ht="15" hidden="false" customHeight="false" outlineLevel="0" collapsed="false">
      <c r="A52" s="5" t="n">
        <v>38</v>
      </c>
      <c r="B52" s="6" t="s">
        <v>305</v>
      </c>
      <c r="C52" s="6" t="s">
        <v>11</v>
      </c>
      <c r="D52" s="6" t="s">
        <v>518</v>
      </c>
      <c r="E52" s="74"/>
      <c r="F52" s="75"/>
      <c r="G52" s="76" t="n">
        <v>1</v>
      </c>
      <c r="H52" s="5" t="s">
        <v>351</v>
      </c>
      <c r="I52" s="7" t="n">
        <f aca="false">Narxlar!$C$8</f>
        <v>1032</v>
      </c>
      <c r="J52" s="77" t="n">
        <f aca="false">G52*I52</f>
        <v>1032</v>
      </c>
      <c r="K52" s="24" t="s">
        <v>178</v>
      </c>
    </row>
    <row r="53" customFormat="false" ht="15" hidden="false" customHeight="false" outlineLevel="0" collapsed="false">
      <c r="A53" s="5" t="n">
        <v>39</v>
      </c>
      <c r="B53" s="6" t="s">
        <v>305</v>
      </c>
      <c r="C53" s="6" t="s">
        <v>13</v>
      </c>
      <c r="D53" s="6" t="s">
        <v>519</v>
      </c>
      <c r="E53" s="74"/>
      <c r="F53" s="75"/>
      <c r="G53" s="76" t="n">
        <v>1</v>
      </c>
      <c r="H53" s="5" t="s">
        <v>357</v>
      </c>
      <c r="I53" s="7" t="n">
        <f aca="false">Narxlar!$C$12</f>
        <v>168</v>
      </c>
      <c r="J53" s="77" t="n">
        <f aca="false">G53*I53</f>
        <v>168</v>
      </c>
      <c r="K53" s="24" t="s">
        <v>180</v>
      </c>
    </row>
    <row r="54" customFormat="false" ht="15" hidden="false" customHeight="false" outlineLevel="0" collapsed="false">
      <c r="A54" s="5" t="n">
        <v>40</v>
      </c>
      <c r="B54" s="6" t="s">
        <v>305</v>
      </c>
      <c r="C54" s="6" t="s">
        <v>24</v>
      </c>
      <c r="D54" s="6" t="s">
        <v>520</v>
      </c>
      <c r="E54" s="74"/>
      <c r="F54" s="75"/>
      <c r="G54" s="76" t="n">
        <v>1</v>
      </c>
      <c r="H54" s="5" t="s">
        <v>351</v>
      </c>
      <c r="I54" s="7" t="n">
        <f aca="false">Narxlar!$C$101</f>
        <v>150</v>
      </c>
      <c r="J54" s="77" t="n">
        <f aca="false">G54*I54</f>
        <v>150</v>
      </c>
      <c r="K54" s="24" t="s">
        <v>226</v>
      </c>
    </row>
    <row r="55" customFormat="false" ht="15" hidden="false" customHeight="false" outlineLevel="0" collapsed="false">
      <c r="A55" s="78"/>
      <c r="B55" s="78"/>
      <c r="C55" s="78"/>
      <c r="D55" s="11" t="s">
        <v>525</v>
      </c>
      <c r="E55" s="78"/>
      <c r="F55" s="78"/>
      <c r="G55" s="78"/>
      <c r="H55" s="78"/>
      <c r="I55" s="78"/>
      <c r="J55" s="12" t="n">
        <f aca="false">SUM(J43:J54)</f>
        <v>2821.12</v>
      </c>
    </row>
    <row r="57" customFormat="false" ht="15" hidden="false" customHeight="false" outlineLevel="0" collapsed="false">
      <c r="A57" s="54" t="s">
        <v>306</v>
      </c>
      <c r="B57" s="55"/>
      <c r="C57" s="55"/>
      <c r="D57" s="55"/>
      <c r="E57" s="55"/>
      <c r="F57" s="55"/>
      <c r="G57" s="55"/>
      <c r="H57" s="55"/>
      <c r="I57" s="55"/>
      <c r="J57" s="55"/>
    </row>
    <row r="58" customFormat="false" ht="15" hidden="false" customHeight="false" outlineLevel="0" collapsed="false">
      <c r="A58" s="5" t="n">
        <v>41</v>
      </c>
      <c r="B58" s="6" t="s">
        <v>306</v>
      </c>
      <c r="C58" s="6" t="s">
        <v>8</v>
      </c>
      <c r="D58" s="6" t="s">
        <v>510</v>
      </c>
      <c r="E58" s="74" t="n">
        <v>2.85</v>
      </c>
      <c r="F58" s="56" t="n">
        <f aca="false">Narxlar!$C$134</f>
        <v>2.5</v>
      </c>
      <c r="G58" s="75" t="n">
        <f aca="false">E58*F58</f>
        <v>7.125</v>
      </c>
      <c r="H58" s="5" t="s">
        <v>424</v>
      </c>
      <c r="I58" s="7" t="n">
        <f aca="false">Narxlar!$C$5</f>
        <v>55</v>
      </c>
      <c r="J58" s="77" t="n">
        <f aca="false">G58*I58</f>
        <v>391.875</v>
      </c>
      <c r="K58" s="24" t="s">
        <v>168</v>
      </c>
    </row>
    <row r="59" customFormat="false" ht="15" hidden="false" customHeight="false" outlineLevel="0" collapsed="false">
      <c r="A59" s="5" t="n">
        <v>42</v>
      </c>
      <c r="B59" s="6" t="s">
        <v>306</v>
      </c>
      <c r="C59" s="6" t="s">
        <v>8</v>
      </c>
      <c r="D59" s="6" t="s">
        <v>526</v>
      </c>
      <c r="E59" s="74" t="n">
        <v>1.75</v>
      </c>
      <c r="F59" s="56" t="n">
        <f aca="false">Narxlar!$C$134</f>
        <v>2.5</v>
      </c>
      <c r="G59" s="75" t="n">
        <f aca="false">E59*F59</f>
        <v>4.375</v>
      </c>
      <c r="H59" s="5" t="s">
        <v>424</v>
      </c>
      <c r="I59" s="7" t="n">
        <f aca="false">Narxlar!$C$5</f>
        <v>55</v>
      </c>
      <c r="J59" s="77" t="n">
        <f aca="false">G59*I59</f>
        <v>240.625</v>
      </c>
      <c r="K59" s="24" t="s">
        <v>168</v>
      </c>
    </row>
    <row r="60" customFormat="false" ht="15" hidden="false" customHeight="false" outlineLevel="0" collapsed="false">
      <c r="A60" s="5" t="n">
        <v>43</v>
      </c>
      <c r="B60" s="6" t="s">
        <v>306</v>
      </c>
      <c r="C60" s="6" t="s">
        <v>8</v>
      </c>
      <c r="D60" s="6" t="s">
        <v>527</v>
      </c>
      <c r="E60" s="56" t="n">
        <f aca="false">Narxlar!$C$138</f>
        <v>1</v>
      </c>
      <c r="F60" s="56" t="n">
        <f aca="false">Narxlar!$C$134</f>
        <v>2.5</v>
      </c>
      <c r="G60" s="75" t="n">
        <f aca="false">E60*F60</f>
        <v>2.5</v>
      </c>
      <c r="H60" s="5" t="s">
        <v>424</v>
      </c>
      <c r="I60" s="7" t="n">
        <f aca="false">Narxlar!$C$5</f>
        <v>55</v>
      </c>
      <c r="J60" s="77" t="n">
        <f aca="false">G60*I60</f>
        <v>137.5</v>
      </c>
      <c r="K60" s="24" t="s">
        <v>168</v>
      </c>
    </row>
    <row r="61" customFormat="false" ht="15" hidden="false" customHeight="false" outlineLevel="0" collapsed="false">
      <c r="A61" s="5" t="n">
        <v>44</v>
      </c>
      <c r="B61" s="6" t="s">
        <v>306</v>
      </c>
      <c r="C61" s="6" t="s">
        <v>9</v>
      </c>
      <c r="D61" s="6" t="s">
        <v>528</v>
      </c>
      <c r="E61" s="74" t="n">
        <v>1</v>
      </c>
      <c r="F61" s="56" t="n">
        <f aca="false">Narxlar!$C$133</f>
        <v>3.5</v>
      </c>
      <c r="G61" s="75" t="n">
        <f aca="false">E61*F61</f>
        <v>3.5</v>
      </c>
      <c r="H61" s="5" t="s">
        <v>424</v>
      </c>
      <c r="I61" s="7" t="n">
        <f aca="false">Narxlar!$C$6</f>
        <v>12</v>
      </c>
      <c r="J61" s="77" t="n">
        <f aca="false">G61*I61</f>
        <v>42</v>
      </c>
      <c r="K61" s="24" t="s">
        <v>128</v>
      </c>
    </row>
    <row r="62" customFormat="false" ht="15" hidden="false" customHeight="false" outlineLevel="0" collapsed="false">
      <c r="A62" s="5" t="n">
        <v>45</v>
      </c>
      <c r="B62" s="6" t="s">
        <v>306</v>
      </c>
      <c r="C62" s="6" t="s">
        <v>9</v>
      </c>
      <c r="D62" s="6" t="s">
        <v>513</v>
      </c>
      <c r="E62" s="74" t="n">
        <v>2.85</v>
      </c>
      <c r="F62" s="56" t="n">
        <f aca="false">Narxlar!$C$135</f>
        <v>1</v>
      </c>
      <c r="G62" s="75" t="n">
        <f aca="false">E62*F62</f>
        <v>2.85</v>
      </c>
      <c r="H62" s="5" t="s">
        <v>424</v>
      </c>
      <c r="I62" s="7" t="n">
        <f aca="false">Narxlar!$C$6</f>
        <v>12</v>
      </c>
      <c r="J62" s="77" t="n">
        <f aca="false">G62*I62</f>
        <v>34.2</v>
      </c>
      <c r="K62" s="24" t="s">
        <v>128</v>
      </c>
    </row>
    <row r="63" customFormat="false" ht="15" hidden="false" customHeight="false" outlineLevel="0" collapsed="false">
      <c r="A63" s="5" t="n">
        <v>46</v>
      </c>
      <c r="B63" s="6" t="s">
        <v>306</v>
      </c>
      <c r="C63" s="6" t="s">
        <v>9</v>
      </c>
      <c r="D63" s="6" t="s">
        <v>523</v>
      </c>
      <c r="E63" s="74" t="n">
        <v>2.9</v>
      </c>
      <c r="F63" s="56" t="n">
        <f aca="false">Narxlar!$C$133</f>
        <v>3.5</v>
      </c>
      <c r="G63" s="75" t="n">
        <f aca="false">E63*F63</f>
        <v>10.15</v>
      </c>
      <c r="H63" s="5" t="s">
        <v>424</v>
      </c>
      <c r="I63" s="7" t="n">
        <f aca="false">Narxlar!$C$6</f>
        <v>12</v>
      </c>
      <c r="J63" s="77" t="n">
        <f aca="false">G63*I63</f>
        <v>121.8</v>
      </c>
      <c r="K63" s="24" t="s">
        <v>128</v>
      </c>
    </row>
    <row r="64" customFormat="false" ht="15" hidden="false" customHeight="false" outlineLevel="0" collapsed="false">
      <c r="A64" s="5" t="n">
        <v>47</v>
      </c>
      <c r="B64" s="6" t="s">
        <v>306</v>
      </c>
      <c r="C64" s="6" t="s">
        <v>9</v>
      </c>
      <c r="D64" s="6" t="s">
        <v>529</v>
      </c>
      <c r="E64" s="74" t="n">
        <v>0.1</v>
      </c>
      <c r="F64" s="56" t="n">
        <f aca="false">Narxlar!$C$133</f>
        <v>3.5</v>
      </c>
      <c r="G64" s="75" t="n">
        <f aca="false">E64*F64</f>
        <v>0.35</v>
      </c>
      <c r="H64" s="5" t="s">
        <v>424</v>
      </c>
      <c r="I64" s="7" t="n">
        <f aca="false">Narxlar!$C$6</f>
        <v>12</v>
      </c>
      <c r="J64" s="77" t="n">
        <f aca="false">G64*I64</f>
        <v>4.2</v>
      </c>
      <c r="K64" s="24" t="s">
        <v>128</v>
      </c>
    </row>
    <row r="65" customFormat="false" ht="15" hidden="false" customHeight="false" outlineLevel="0" collapsed="false">
      <c r="A65" s="5" t="n">
        <v>48</v>
      </c>
      <c r="B65" s="6" t="s">
        <v>306</v>
      </c>
      <c r="C65" s="6" t="s">
        <v>9</v>
      </c>
      <c r="D65" s="6" t="s">
        <v>530</v>
      </c>
      <c r="E65" s="74" t="n">
        <v>1.75</v>
      </c>
      <c r="F65" s="56" t="n">
        <f aca="false">Narxlar!$C$135</f>
        <v>1</v>
      </c>
      <c r="G65" s="75" t="n">
        <f aca="false">E65*F65</f>
        <v>1.75</v>
      </c>
      <c r="H65" s="5" t="s">
        <v>424</v>
      </c>
      <c r="I65" s="7" t="n">
        <f aca="false">Narxlar!$C$6</f>
        <v>12</v>
      </c>
      <c r="J65" s="77" t="n">
        <f aca="false">G65*I65</f>
        <v>21</v>
      </c>
      <c r="K65" s="24" t="s">
        <v>128</v>
      </c>
    </row>
    <row r="66" customFormat="false" ht="15" hidden="false" customHeight="false" outlineLevel="0" collapsed="false">
      <c r="A66" s="5" t="n">
        <v>49</v>
      </c>
      <c r="B66" s="6" t="s">
        <v>306</v>
      </c>
      <c r="C66" s="6" t="s">
        <v>9</v>
      </c>
      <c r="D66" s="6" t="s">
        <v>531</v>
      </c>
      <c r="E66" s="74" t="n">
        <v>2.9</v>
      </c>
      <c r="F66" s="56" t="n">
        <f aca="false">Narxlar!$C$133</f>
        <v>3.5</v>
      </c>
      <c r="G66" s="75" t="n">
        <f aca="false">E66*F66</f>
        <v>10.15</v>
      </c>
      <c r="H66" s="5" t="s">
        <v>424</v>
      </c>
      <c r="I66" s="7" t="n">
        <f aca="false">Narxlar!$C$6</f>
        <v>12</v>
      </c>
      <c r="J66" s="77" t="n">
        <f aca="false">G66*I66</f>
        <v>121.8</v>
      </c>
      <c r="K66" s="24" t="s">
        <v>128</v>
      </c>
    </row>
    <row r="67" customFormat="false" ht="15" hidden="false" customHeight="false" outlineLevel="0" collapsed="false">
      <c r="A67" s="5" t="n">
        <v>50</v>
      </c>
      <c r="B67" s="6" t="s">
        <v>306</v>
      </c>
      <c r="C67" s="6" t="s">
        <v>9</v>
      </c>
      <c r="D67" s="6" t="s">
        <v>532</v>
      </c>
      <c r="E67" s="56" t="n">
        <f aca="false">Narxlar!$C$138</f>
        <v>1</v>
      </c>
      <c r="F67" s="56" t="n">
        <f aca="false">Narxlar!$C$135</f>
        <v>1</v>
      </c>
      <c r="G67" s="75" t="n">
        <f aca="false">E67*F67</f>
        <v>1</v>
      </c>
      <c r="H67" s="5" t="s">
        <v>424</v>
      </c>
      <c r="I67" s="7" t="n">
        <f aca="false">Narxlar!$C$6</f>
        <v>12</v>
      </c>
      <c r="J67" s="77" t="n">
        <f aca="false">G67*I67</f>
        <v>12</v>
      </c>
      <c r="K67" s="24" t="s">
        <v>128</v>
      </c>
    </row>
    <row r="68" customFormat="false" ht="15" hidden="false" customHeight="false" outlineLevel="0" collapsed="false">
      <c r="A68" s="5" t="n">
        <v>51</v>
      </c>
      <c r="B68" s="6" t="s">
        <v>306</v>
      </c>
      <c r="C68" s="6" t="s">
        <v>9</v>
      </c>
      <c r="D68" s="6" t="s">
        <v>533</v>
      </c>
      <c r="E68" s="74" t="n">
        <v>5.6</v>
      </c>
      <c r="F68" s="75"/>
      <c r="G68" s="74" t="n">
        <v>6.02</v>
      </c>
      <c r="H68" s="5" t="s">
        <v>424</v>
      </c>
      <c r="I68" s="7" t="n">
        <f aca="false">Narxlar!$C$6</f>
        <v>12</v>
      </c>
      <c r="J68" s="77" t="n">
        <f aca="false">G68*I68</f>
        <v>72.24</v>
      </c>
      <c r="K68" s="24" t="s">
        <v>128</v>
      </c>
    </row>
    <row r="69" customFormat="false" ht="15" hidden="false" customHeight="false" outlineLevel="0" collapsed="false">
      <c r="A69" s="5" t="n">
        <v>52</v>
      </c>
      <c r="B69" s="6" t="s">
        <v>306</v>
      </c>
      <c r="C69" s="6" t="s">
        <v>10</v>
      </c>
      <c r="D69" s="6" t="s">
        <v>516</v>
      </c>
      <c r="E69" s="74" t="n">
        <v>5.6</v>
      </c>
      <c r="F69" s="56" t="n">
        <f aca="false">Narxlar!$C$140</f>
        <v>3.5</v>
      </c>
      <c r="G69" s="75" t="n">
        <f aca="false">E69*F69</f>
        <v>19.6</v>
      </c>
      <c r="H69" s="5" t="s">
        <v>424</v>
      </c>
      <c r="I69" s="7" t="n">
        <f aca="false">Narxlar!$C$7</f>
        <v>15.5</v>
      </c>
      <c r="J69" s="77" t="n">
        <f aca="false">G69*I69</f>
        <v>303.8</v>
      </c>
      <c r="K69" s="24" t="s">
        <v>169</v>
      </c>
    </row>
    <row r="70" customFormat="false" ht="15" hidden="false" customHeight="false" outlineLevel="0" collapsed="false">
      <c r="A70" s="5" t="n">
        <v>53</v>
      </c>
      <c r="B70" s="6" t="s">
        <v>306</v>
      </c>
      <c r="C70" s="6" t="s">
        <v>10</v>
      </c>
      <c r="D70" s="6" t="s">
        <v>517</v>
      </c>
      <c r="E70" s="74" t="n">
        <v>5.6</v>
      </c>
      <c r="F70" s="56" t="n">
        <f aca="false">Narxlar!$C$140</f>
        <v>3.5</v>
      </c>
      <c r="G70" s="75" t="n">
        <f aca="false">E70*F70</f>
        <v>19.6</v>
      </c>
      <c r="H70" s="5" t="s">
        <v>424</v>
      </c>
      <c r="I70" s="7" t="n">
        <f aca="false">Narxlar!$C$7</f>
        <v>15.5</v>
      </c>
      <c r="J70" s="77" t="n">
        <f aca="false">G70*I70</f>
        <v>303.8</v>
      </c>
      <c r="K70" s="24" t="s">
        <v>169</v>
      </c>
    </row>
    <row r="71" customFormat="false" ht="15" hidden="false" customHeight="false" outlineLevel="0" collapsed="false">
      <c r="A71" s="5" t="n">
        <v>54</v>
      </c>
      <c r="B71" s="6" t="s">
        <v>306</v>
      </c>
      <c r="C71" s="6" t="s">
        <v>11</v>
      </c>
      <c r="D71" s="6" t="s">
        <v>518</v>
      </c>
      <c r="E71" s="74"/>
      <c r="F71" s="75"/>
      <c r="G71" s="76" t="n">
        <v>1</v>
      </c>
      <c r="H71" s="5" t="s">
        <v>351</v>
      </c>
      <c r="I71" s="7" t="n">
        <f aca="false">Narxlar!$C$8</f>
        <v>1032</v>
      </c>
      <c r="J71" s="77" t="n">
        <f aca="false">G71*I71</f>
        <v>1032</v>
      </c>
      <c r="K71" s="24" t="s">
        <v>178</v>
      </c>
    </row>
    <row r="72" customFormat="false" ht="15" hidden="false" customHeight="false" outlineLevel="0" collapsed="false">
      <c r="A72" s="5" t="n">
        <v>55</v>
      </c>
      <c r="B72" s="6" t="s">
        <v>306</v>
      </c>
      <c r="C72" s="6" t="s">
        <v>13</v>
      </c>
      <c r="D72" s="6" t="s">
        <v>519</v>
      </c>
      <c r="E72" s="74"/>
      <c r="F72" s="75"/>
      <c r="G72" s="76" t="n">
        <v>1</v>
      </c>
      <c r="H72" s="5" t="s">
        <v>357</v>
      </c>
      <c r="I72" s="7" t="n">
        <f aca="false">Narxlar!$C$12</f>
        <v>168</v>
      </c>
      <c r="J72" s="77" t="n">
        <f aca="false">G72*I72</f>
        <v>168</v>
      </c>
      <c r="K72" s="24" t="s">
        <v>180</v>
      </c>
    </row>
    <row r="73" customFormat="false" ht="15" hidden="false" customHeight="false" outlineLevel="0" collapsed="false">
      <c r="A73" s="5" t="n">
        <v>56</v>
      </c>
      <c r="B73" s="6" t="s">
        <v>306</v>
      </c>
      <c r="C73" s="6" t="s">
        <v>24</v>
      </c>
      <c r="D73" s="6" t="s">
        <v>520</v>
      </c>
      <c r="E73" s="74"/>
      <c r="F73" s="75"/>
      <c r="G73" s="76" t="n">
        <v>1</v>
      </c>
      <c r="H73" s="5" t="s">
        <v>351</v>
      </c>
      <c r="I73" s="7" t="n">
        <f aca="false">Narxlar!$C$101</f>
        <v>150</v>
      </c>
      <c r="J73" s="77" t="n">
        <f aca="false">G73*I73</f>
        <v>150</v>
      </c>
      <c r="K73" s="24" t="s">
        <v>226</v>
      </c>
    </row>
    <row r="74" customFormat="false" ht="15" hidden="false" customHeight="false" outlineLevel="0" collapsed="false">
      <c r="A74" s="78"/>
      <c r="B74" s="78"/>
      <c r="C74" s="78"/>
      <c r="D74" s="11" t="s">
        <v>534</v>
      </c>
      <c r="E74" s="78"/>
      <c r="F74" s="78"/>
      <c r="G74" s="78"/>
      <c r="H74" s="78"/>
      <c r="I74" s="78"/>
      <c r="J74" s="12" t="n">
        <f aca="false">SUM(J58:J73)</f>
        <v>3156.84</v>
      </c>
    </row>
    <row r="76" customFormat="false" ht="15" hidden="false" customHeight="false" outlineLevel="0" collapsed="false">
      <c r="A76" s="54" t="s">
        <v>307</v>
      </c>
      <c r="B76" s="55"/>
      <c r="C76" s="55"/>
      <c r="D76" s="55"/>
      <c r="E76" s="55"/>
      <c r="F76" s="55"/>
      <c r="G76" s="55"/>
      <c r="H76" s="55"/>
      <c r="I76" s="55"/>
      <c r="J76" s="55"/>
    </row>
    <row r="77" customFormat="false" ht="15" hidden="false" customHeight="false" outlineLevel="0" collapsed="false">
      <c r="A77" s="5" t="n">
        <v>57</v>
      </c>
      <c r="B77" s="6" t="s">
        <v>307</v>
      </c>
      <c r="C77" s="6" t="s">
        <v>8</v>
      </c>
      <c r="D77" s="6" t="s">
        <v>526</v>
      </c>
      <c r="E77" s="74" t="n">
        <v>1.7</v>
      </c>
      <c r="F77" s="56" t="n">
        <f aca="false">Narxlar!$C$134</f>
        <v>2.5</v>
      </c>
      <c r="G77" s="75" t="n">
        <f aca="false">E77*F77</f>
        <v>4.25</v>
      </c>
      <c r="H77" s="5" t="s">
        <v>424</v>
      </c>
      <c r="I77" s="7" t="n">
        <f aca="false">Narxlar!$C$5</f>
        <v>55</v>
      </c>
      <c r="J77" s="77" t="n">
        <f aca="false">G77*I77</f>
        <v>233.75</v>
      </c>
      <c r="K77" s="24" t="s">
        <v>168</v>
      </c>
    </row>
    <row r="78" customFormat="false" ht="15" hidden="false" customHeight="false" outlineLevel="0" collapsed="false">
      <c r="A78" s="5" t="n">
        <v>58</v>
      </c>
      <c r="B78" s="6" t="s">
        <v>307</v>
      </c>
      <c r="C78" s="6" t="s">
        <v>8</v>
      </c>
      <c r="D78" s="6" t="s">
        <v>527</v>
      </c>
      <c r="E78" s="56" t="n">
        <f aca="false">Narxlar!$C$138</f>
        <v>1</v>
      </c>
      <c r="F78" s="56" t="n">
        <f aca="false">Narxlar!$C$134</f>
        <v>2.5</v>
      </c>
      <c r="G78" s="75" t="n">
        <f aca="false">E78*F78</f>
        <v>2.5</v>
      </c>
      <c r="H78" s="5" t="s">
        <v>424</v>
      </c>
      <c r="I78" s="7" t="n">
        <f aca="false">Narxlar!$C$5</f>
        <v>55</v>
      </c>
      <c r="J78" s="77" t="n">
        <f aca="false">G78*I78</f>
        <v>137.5</v>
      </c>
      <c r="K78" s="24" t="s">
        <v>168</v>
      </c>
    </row>
    <row r="79" customFormat="false" ht="15" hidden="false" customHeight="false" outlineLevel="0" collapsed="false">
      <c r="A79" s="5" t="n">
        <v>59</v>
      </c>
      <c r="B79" s="6" t="s">
        <v>307</v>
      </c>
      <c r="C79" s="6" t="s">
        <v>9</v>
      </c>
      <c r="D79" s="6" t="s">
        <v>535</v>
      </c>
      <c r="E79" s="74" t="n">
        <v>2.75</v>
      </c>
      <c r="F79" s="56" t="n">
        <f aca="false">Narxlar!$C$133</f>
        <v>3.5</v>
      </c>
      <c r="G79" s="75" t="n">
        <f aca="false">E79*F79</f>
        <v>9.625</v>
      </c>
      <c r="H79" s="5" t="s">
        <v>424</v>
      </c>
      <c r="I79" s="7" t="n">
        <f aca="false">Narxlar!$C$6</f>
        <v>12</v>
      </c>
      <c r="J79" s="77" t="n">
        <f aca="false">G79*I79</f>
        <v>115.5</v>
      </c>
      <c r="K79" s="24" t="s">
        <v>128</v>
      </c>
    </row>
    <row r="80" customFormat="false" ht="15" hidden="false" customHeight="false" outlineLevel="0" collapsed="false">
      <c r="A80" s="5" t="n">
        <v>60</v>
      </c>
      <c r="B80" s="6" t="s">
        <v>307</v>
      </c>
      <c r="C80" s="6" t="s">
        <v>9</v>
      </c>
      <c r="D80" s="6" t="s">
        <v>529</v>
      </c>
      <c r="E80" s="74" t="n">
        <v>0.15</v>
      </c>
      <c r="F80" s="56" t="n">
        <f aca="false">Narxlar!$C$133</f>
        <v>3.5</v>
      </c>
      <c r="G80" s="75" t="n">
        <f aca="false">E80*F80</f>
        <v>0.525</v>
      </c>
      <c r="H80" s="5" t="s">
        <v>424</v>
      </c>
      <c r="I80" s="7" t="n">
        <f aca="false">Narxlar!$C$6</f>
        <v>12</v>
      </c>
      <c r="J80" s="77" t="n">
        <f aca="false">G80*I80</f>
        <v>6.3</v>
      </c>
      <c r="K80" s="24" t="s">
        <v>128</v>
      </c>
    </row>
    <row r="81" customFormat="false" ht="15" hidden="false" customHeight="false" outlineLevel="0" collapsed="false">
      <c r="A81" s="5" t="n">
        <v>61</v>
      </c>
      <c r="B81" s="6" t="s">
        <v>307</v>
      </c>
      <c r="C81" s="6" t="s">
        <v>9</v>
      </c>
      <c r="D81" s="6" t="s">
        <v>530</v>
      </c>
      <c r="E81" s="74" t="n">
        <v>1.7</v>
      </c>
      <c r="F81" s="56" t="n">
        <f aca="false">Narxlar!$C$135</f>
        <v>1</v>
      </c>
      <c r="G81" s="75" t="n">
        <f aca="false">E81*F81</f>
        <v>1.7</v>
      </c>
      <c r="H81" s="5" t="s">
        <v>424</v>
      </c>
      <c r="I81" s="7" t="n">
        <f aca="false">Narxlar!$C$6</f>
        <v>12</v>
      </c>
      <c r="J81" s="77" t="n">
        <f aca="false">G81*I81</f>
        <v>20.4</v>
      </c>
      <c r="K81" s="24" t="s">
        <v>128</v>
      </c>
    </row>
    <row r="82" customFormat="false" ht="15" hidden="false" customHeight="false" outlineLevel="0" collapsed="false">
      <c r="A82" s="5" t="n">
        <v>62</v>
      </c>
      <c r="B82" s="6" t="s">
        <v>307</v>
      </c>
      <c r="C82" s="6" t="s">
        <v>9</v>
      </c>
      <c r="D82" s="6" t="s">
        <v>531</v>
      </c>
      <c r="E82" s="74" t="n">
        <v>2.9</v>
      </c>
      <c r="F82" s="56" t="n">
        <f aca="false">Narxlar!$C$133</f>
        <v>3.5</v>
      </c>
      <c r="G82" s="75" t="n">
        <f aca="false">E82*F82</f>
        <v>10.15</v>
      </c>
      <c r="H82" s="5" t="s">
        <v>424</v>
      </c>
      <c r="I82" s="7" t="n">
        <f aca="false">Narxlar!$C$6</f>
        <v>12</v>
      </c>
      <c r="J82" s="77" t="n">
        <f aca="false">G82*I82</f>
        <v>121.8</v>
      </c>
      <c r="K82" s="24" t="s">
        <v>128</v>
      </c>
    </row>
    <row r="83" customFormat="false" ht="15" hidden="false" customHeight="false" outlineLevel="0" collapsed="false">
      <c r="A83" s="5" t="n">
        <v>63</v>
      </c>
      <c r="B83" s="6" t="s">
        <v>307</v>
      </c>
      <c r="C83" s="6" t="s">
        <v>9</v>
      </c>
      <c r="D83" s="6" t="s">
        <v>532</v>
      </c>
      <c r="E83" s="56" t="n">
        <f aca="false">Narxlar!$C$138</f>
        <v>1</v>
      </c>
      <c r="F83" s="56" t="n">
        <f aca="false">Narxlar!$C$135</f>
        <v>1</v>
      </c>
      <c r="G83" s="75" t="n">
        <f aca="false">E83*F83</f>
        <v>1</v>
      </c>
      <c r="H83" s="5" t="s">
        <v>424</v>
      </c>
      <c r="I83" s="7" t="n">
        <f aca="false">Narxlar!$C$6</f>
        <v>12</v>
      </c>
      <c r="J83" s="77" t="n">
        <f aca="false">G83*I83</f>
        <v>12</v>
      </c>
      <c r="K83" s="24" t="s">
        <v>128</v>
      </c>
    </row>
    <row r="84" customFormat="false" ht="15" hidden="false" customHeight="false" outlineLevel="0" collapsed="false">
      <c r="A84" s="5" t="n">
        <v>64</v>
      </c>
      <c r="B84" s="6" t="s">
        <v>307</v>
      </c>
      <c r="C84" s="6" t="s">
        <v>10</v>
      </c>
      <c r="D84" s="6" t="s">
        <v>516</v>
      </c>
      <c r="E84" s="74" t="n">
        <v>7.7</v>
      </c>
      <c r="F84" s="56" t="n">
        <f aca="false">Narxlar!$C$140</f>
        <v>3.5</v>
      </c>
      <c r="G84" s="75" t="n">
        <f aca="false">E84*F84</f>
        <v>26.95</v>
      </c>
      <c r="H84" s="5" t="s">
        <v>424</v>
      </c>
      <c r="I84" s="7" t="n">
        <f aca="false">Narxlar!$C$7</f>
        <v>15.5</v>
      </c>
      <c r="J84" s="77" t="n">
        <f aca="false">G84*I84</f>
        <v>417.725</v>
      </c>
      <c r="K84" s="24" t="s">
        <v>169</v>
      </c>
    </row>
    <row r="85" customFormat="false" ht="15" hidden="false" customHeight="false" outlineLevel="0" collapsed="false">
      <c r="A85" s="5" t="n">
        <v>65</v>
      </c>
      <c r="B85" s="6" t="s">
        <v>307</v>
      </c>
      <c r="C85" s="6" t="s">
        <v>10</v>
      </c>
      <c r="D85" s="6" t="s">
        <v>517</v>
      </c>
      <c r="E85" s="74" t="n">
        <v>7.7</v>
      </c>
      <c r="F85" s="56" t="n">
        <f aca="false">Narxlar!$C$140</f>
        <v>3.5</v>
      </c>
      <c r="G85" s="75" t="n">
        <f aca="false">E85*F85</f>
        <v>26.95</v>
      </c>
      <c r="H85" s="5" t="s">
        <v>424</v>
      </c>
      <c r="I85" s="7" t="n">
        <f aca="false">Narxlar!$C$7</f>
        <v>15.5</v>
      </c>
      <c r="J85" s="77" t="n">
        <f aca="false">G85*I85</f>
        <v>417.725</v>
      </c>
      <c r="K85" s="24" t="s">
        <v>169</v>
      </c>
    </row>
    <row r="86" customFormat="false" ht="15" hidden="false" customHeight="false" outlineLevel="0" collapsed="false">
      <c r="A86" s="5" t="n">
        <v>66</v>
      </c>
      <c r="B86" s="6" t="s">
        <v>307</v>
      </c>
      <c r="C86" s="6" t="s">
        <v>11</v>
      </c>
      <c r="D86" s="6" t="s">
        <v>518</v>
      </c>
      <c r="E86" s="74"/>
      <c r="F86" s="75"/>
      <c r="G86" s="76" t="n">
        <v>1</v>
      </c>
      <c r="H86" s="5" t="s">
        <v>351</v>
      </c>
      <c r="I86" s="7" t="n">
        <f aca="false">Narxlar!$C$8</f>
        <v>1032</v>
      </c>
      <c r="J86" s="77" t="n">
        <f aca="false">G86*I86</f>
        <v>1032</v>
      </c>
      <c r="K86" s="24" t="s">
        <v>178</v>
      </c>
    </row>
    <row r="87" customFormat="false" ht="15" hidden="false" customHeight="false" outlineLevel="0" collapsed="false">
      <c r="A87" s="5" t="n">
        <v>67</v>
      </c>
      <c r="B87" s="6" t="s">
        <v>307</v>
      </c>
      <c r="C87" s="6" t="s">
        <v>13</v>
      </c>
      <c r="D87" s="6" t="s">
        <v>519</v>
      </c>
      <c r="E87" s="74"/>
      <c r="F87" s="75"/>
      <c r="G87" s="76" t="n">
        <v>1</v>
      </c>
      <c r="H87" s="5" t="s">
        <v>357</v>
      </c>
      <c r="I87" s="7" t="n">
        <f aca="false">Narxlar!$C$12</f>
        <v>168</v>
      </c>
      <c r="J87" s="77" t="n">
        <f aca="false">G87*I87</f>
        <v>168</v>
      </c>
      <c r="K87" s="24" t="s">
        <v>180</v>
      </c>
    </row>
    <row r="88" customFormat="false" ht="15" hidden="false" customHeight="false" outlineLevel="0" collapsed="false">
      <c r="A88" s="5" t="n">
        <v>68</v>
      </c>
      <c r="B88" s="6" t="s">
        <v>307</v>
      </c>
      <c r="C88" s="6" t="s">
        <v>24</v>
      </c>
      <c r="D88" s="6" t="s">
        <v>520</v>
      </c>
      <c r="E88" s="74"/>
      <c r="F88" s="75"/>
      <c r="G88" s="76" t="n">
        <v>1</v>
      </c>
      <c r="H88" s="5" t="s">
        <v>351</v>
      </c>
      <c r="I88" s="7" t="n">
        <f aca="false">Narxlar!$C$101</f>
        <v>150</v>
      </c>
      <c r="J88" s="77" t="n">
        <f aca="false">G88*I88</f>
        <v>150</v>
      </c>
      <c r="K88" s="24" t="s">
        <v>226</v>
      </c>
    </row>
    <row r="89" customFormat="false" ht="15" hidden="false" customHeight="false" outlineLevel="0" collapsed="false">
      <c r="A89" s="78"/>
      <c r="B89" s="78"/>
      <c r="C89" s="78"/>
      <c r="D89" s="11" t="s">
        <v>536</v>
      </c>
      <c r="E89" s="78"/>
      <c r="F89" s="78"/>
      <c r="G89" s="78"/>
      <c r="H89" s="78"/>
      <c r="I89" s="78"/>
      <c r="J89" s="12" t="n">
        <f aca="false">SUM(J77:J88)</f>
        <v>2832.7</v>
      </c>
    </row>
    <row r="91" customFormat="false" ht="15" hidden="false" customHeight="false" outlineLevel="0" collapsed="false">
      <c r="A91" s="54" t="s">
        <v>308</v>
      </c>
      <c r="B91" s="55"/>
      <c r="C91" s="55"/>
      <c r="D91" s="55"/>
      <c r="E91" s="55"/>
      <c r="F91" s="55"/>
      <c r="G91" s="55"/>
      <c r="H91" s="55"/>
      <c r="I91" s="55"/>
      <c r="J91" s="55"/>
    </row>
    <row r="92" customFormat="false" ht="15" hidden="false" customHeight="false" outlineLevel="0" collapsed="false">
      <c r="A92" s="5" t="n">
        <v>69</v>
      </c>
      <c r="B92" s="6" t="s">
        <v>308</v>
      </c>
      <c r="C92" s="6" t="s">
        <v>8</v>
      </c>
      <c r="D92" s="6" t="s">
        <v>526</v>
      </c>
      <c r="E92" s="74" t="n">
        <v>4.6</v>
      </c>
      <c r="F92" s="56" t="n">
        <f aca="false">Narxlar!$C$134</f>
        <v>2.5</v>
      </c>
      <c r="G92" s="75" t="n">
        <f aca="false">E92*F92</f>
        <v>11.5</v>
      </c>
      <c r="H92" s="5" t="s">
        <v>424</v>
      </c>
      <c r="I92" s="7" t="n">
        <f aca="false">Narxlar!$C$5</f>
        <v>55</v>
      </c>
      <c r="J92" s="77" t="n">
        <f aca="false">G92*I92</f>
        <v>632.5</v>
      </c>
      <c r="K92" s="24" t="s">
        <v>168</v>
      </c>
    </row>
    <row r="93" customFormat="false" ht="15" hidden="false" customHeight="false" outlineLevel="0" collapsed="false">
      <c r="A93" s="5" t="n">
        <v>70</v>
      </c>
      <c r="B93" s="6" t="s">
        <v>308</v>
      </c>
      <c r="C93" s="6" t="s">
        <v>8</v>
      </c>
      <c r="D93" s="6" t="s">
        <v>527</v>
      </c>
      <c r="E93" s="56" t="n">
        <f aca="false">Narxlar!$C$138</f>
        <v>1</v>
      </c>
      <c r="F93" s="56" t="n">
        <f aca="false">Narxlar!$C$134</f>
        <v>2.5</v>
      </c>
      <c r="G93" s="75" t="n">
        <f aca="false">E93*F93</f>
        <v>2.5</v>
      </c>
      <c r="H93" s="5" t="s">
        <v>424</v>
      </c>
      <c r="I93" s="7" t="n">
        <f aca="false">Narxlar!$C$5</f>
        <v>55</v>
      </c>
      <c r="J93" s="77" t="n">
        <f aca="false">G93*I93</f>
        <v>137.5</v>
      </c>
      <c r="K93" s="24" t="s">
        <v>168</v>
      </c>
    </row>
    <row r="94" customFormat="false" ht="15" hidden="false" customHeight="false" outlineLevel="0" collapsed="false">
      <c r="A94" s="5" t="n">
        <v>71</v>
      </c>
      <c r="B94" s="6" t="s">
        <v>308</v>
      </c>
      <c r="C94" s="6" t="s">
        <v>9</v>
      </c>
      <c r="D94" s="6" t="s">
        <v>537</v>
      </c>
      <c r="E94" s="74" t="n">
        <v>2.75</v>
      </c>
      <c r="F94" s="56" t="n">
        <f aca="false">Narxlar!$C$133</f>
        <v>3.5</v>
      </c>
      <c r="G94" s="75" t="n">
        <f aca="false">E94*F94</f>
        <v>9.625</v>
      </c>
      <c r="H94" s="5" t="s">
        <v>424</v>
      </c>
      <c r="I94" s="7" t="n">
        <f aca="false">Narxlar!$C$6</f>
        <v>12</v>
      </c>
      <c r="J94" s="77" t="n">
        <f aca="false">G94*I94</f>
        <v>115.5</v>
      </c>
      <c r="K94" s="24" t="s">
        <v>128</v>
      </c>
    </row>
    <row r="95" customFormat="false" ht="15" hidden="false" customHeight="false" outlineLevel="0" collapsed="false">
      <c r="A95" s="5" t="n">
        <v>72</v>
      </c>
      <c r="B95" s="6" t="s">
        <v>308</v>
      </c>
      <c r="C95" s="6" t="s">
        <v>9</v>
      </c>
      <c r="D95" s="6" t="s">
        <v>538</v>
      </c>
      <c r="E95" s="74" t="n">
        <v>2.75</v>
      </c>
      <c r="F95" s="56" t="n">
        <f aca="false">Narxlar!$C$133</f>
        <v>3.5</v>
      </c>
      <c r="G95" s="75" t="n">
        <f aca="false">E95*F95</f>
        <v>9.625</v>
      </c>
      <c r="H95" s="5" t="s">
        <v>424</v>
      </c>
      <c r="I95" s="7" t="n">
        <f aca="false">Narxlar!$C$6</f>
        <v>12</v>
      </c>
      <c r="J95" s="77" t="n">
        <f aca="false">G95*I95</f>
        <v>115.5</v>
      </c>
      <c r="K95" s="24" t="s">
        <v>128</v>
      </c>
    </row>
    <row r="96" customFormat="false" ht="15" hidden="false" customHeight="false" outlineLevel="0" collapsed="false">
      <c r="A96" s="5" t="n">
        <v>73</v>
      </c>
      <c r="B96" s="6" t="s">
        <v>308</v>
      </c>
      <c r="C96" s="6" t="s">
        <v>9</v>
      </c>
      <c r="D96" s="6" t="s">
        <v>529</v>
      </c>
      <c r="E96" s="74" t="n">
        <v>0.2</v>
      </c>
      <c r="F96" s="56" t="n">
        <f aca="false">Narxlar!$C$133</f>
        <v>3.5</v>
      </c>
      <c r="G96" s="75" t="n">
        <f aca="false">E96*F96</f>
        <v>0.7</v>
      </c>
      <c r="H96" s="5" t="s">
        <v>424</v>
      </c>
      <c r="I96" s="7" t="n">
        <f aca="false">Narxlar!$C$6</f>
        <v>12</v>
      </c>
      <c r="J96" s="77" t="n">
        <f aca="false">G96*I96</f>
        <v>8.4</v>
      </c>
      <c r="K96" s="24" t="s">
        <v>128</v>
      </c>
    </row>
    <row r="97" customFormat="false" ht="15" hidden="false" customHeight="false" outlineLevel="0" collapsed="false">
      <c r="A97" s="5" t="n">
        <v>74</v>
      </c>
      <c r="B97" s="6" t="s">
        <v>308</v>
      </c>
      <c r="C97" s="6" t="s">
        <v>9</v>
      </c>
      <c r="D97" s="6" t="s">
        <v>530</v>
      </c>
      <c r="E97" s="74" t="n">
        <v>4.6</v>
      </c>
      <c r="F97" s="56" t="n">
        <f aca="false">Narxlar!$C$135</f>
        <v>1</v>
      </c>
      <c r="G97" s="75" t="n">
        <f aca="false">E97*F97</f>
        <v>4.6</v>
      </c>
      <c r="H97" s="5" t="s">
        <v>424</v>
      </c>
      <c r="I97" s="7" t="n">
        <f aca="false">Narxlar!$C$6</f>
        <v>12</v>
      </c>
      <c r="J97" s="77" t="n">
        <f aca="false">G97*I97</f>
        <v>55.2</v>
      </c>
      <c r="K97" s="24" t="s">
        <v>128</v>
      </c>
    </row>
    <row r="98" customFormat="false" ht="15" hidden="false" customHeight="false" outlineLevel="0" collapsed="false">
      <c r="A98" s="5" t="n">
        <v>75</v>
      </c>
      <c r="B98" s="6" t="s">
        <v>308</v>
      </c>
      <c r="C98" s="6" t="s">
        <v>9</v>
      </c>
      <c r="D98" s="6" t="s">
        <v>532</v>
      </c>
      <c r="E98" s="56" t="n">
        <f aca="false">Narxlar!$C$138</f>
        <v>1</v>
      </c>
      <c r="F98" s="56" t="n">
        <f aca="false">Narxlar!$C$135</f>
        <v>1</v>
      </c>
      <c r="G98" s="75" t="n">
        <f aca="false">E98*F98</f>
        <v>1</v>
      </c>
      <c r="H98" s="5" t="s">
        <v>424</v>
      </c>
      <c r="I98" s="7" t="n">
        <f aca="false">Narxlar!$C$6</f>
        <v>12</v>
      </c>
      <c r="J98" s="77" t="n">
        <f aca="false">G98*I98</f>
        <v>12</v>
      </c>
      <c r="K98" s="24" t="s">
        <v>128</v>
      </c>
    </row>
    <row r="99" customFormat="false" ht="15" hidden="false" customHeight="false" outlineLevel="0" collapsed="false">
      <c r="A99" s="5" t="n">
        <v>76</v>
      </c>
      <c r="B99" s="6" t="s">
        <v>308</v>
      </c>
      <c r="C99" s="6" t="s">
        <v>10</v>
      </c>
      <c r="D99" s="6" t="s">
        <v>516</v>
      </c>
      <c r="E99" s="74" t="n">
        <v>7.7</v>
      </c>
      <c r="F99" s="56" t="n">
        <f aca="false">Narxlar!$C$140</f>
        <v>3.5</v>
      </c>
      <c r="G99" s="75" t="n">
        <f aca="false">E99*F99</f>
        <v>26.95</v>
      </c>
      <c r="H99" s="5" t="s">
        <v>424</v>
      </c>
      <c r="I99" s="7" t="n">
        <f aca="false">Narxlar!$C$7</f>
        <v>15.5</v>
      </c>
      <c r="J99" s="77" t="n">
        <f aca="false">G99*I99</f>
        <v>417.725</v>
      </c>
      <c r="K99" s="24" t="s">
        <v>169</v>
      </c>
    </row>
    <row r="100" customFormat="false" ht="15" hidden="false" customHeight="false" outlineLevel="0" collapsed="false">
      <c r="A100" s="5" t="n">
        <v>77</v>
      </c>
      <c r="B100" s="6" t="s">
        <v>308</v>
      </c>
      <c r="C100" s="6" t="s">
        <v>10</v>
      </c>
      <c r="D100" s="6" t="s">
        <v>517</v>
      </c>
      <c r="E100" s="74" t="n">
        <v>7.7</v>
      </c>
      <c r="F100" s="56" t="n">
        <f aca="false">Narxlar!$C$140</f>
        <v>3.5</v>
      </c>
      <c r="G100" s="75" t="n">
        <f aca="false">E100*F100</f>
        <v>26.95</v>
      </c>
      <c r="H100" s="5" t="s">
        <v>424</v>
      </c>
      <c r="I100" s="7" t="n">
        <f aca="false">Narxlar!$C$7</f>
        <v>15.5</v>
      </c>
      <c r="J100" s="77" t="n">
        <f aca="false">G100*I100</f>
        <v>417.725</v>
      </c>
      <c r="K100" s="24" t="s">
        <v>169</v>
      </c>
    </row>
    <row r="101" customFormat="false" ht="15" hidden="false" customHeight="false" outlineLevel="0" collapsed="false">
      <c r="A101" s="5" t="n">
        <v>78</v>
      </c>
      <c r="B101" s="6" t="s">
        <v>308</v>
      </c>
      <c r="C101" s="6" t="s">
        <v>11</v>
      </c>
      <c r="D101" s="6" t="s">
        <v>518</v>
      </c>
      <c r="E101" s="74"/>
      <c r="F101" s="75"/>
      <c r="G101" s="76" t="n">
        <v>1</v>
      </c>
      <c r="H101" s="5" t="s">
        <v>351</v>
      </c>
      <c r="I101" s="7" t="n">
        <f aca="false">Narxlar!$C$8</f>
        <v>1032</v>
      </c>
      <c r="J101" s="77" t="n">
        <f aca="false">G101*I101</f>
        <v>1032</v>
      </c>
      <c r="K101" s="24" t="s">
        <v>178</v>
      </c>
    </row>
    <row r="102" customFormat="false" ht="15" hidden="false" customHeight="false" outlineLevel="0" collapsed="false">
      <c r="A102" s="5" t="n">
        <v>79</v>
      </c>
      <c r="B102" s="6" t="s">
        <v>308</v>
      </c>
      <c r="C102" s="6" t="s">
        <v>13</v>
      </c>
      <c r="D102" s="6" t="s">
        <v>519</v>
      </c>
      <c r="E102" s="74"/>
      <c r="F102" s="75"/>
      <c r="G102" s="76" t="n">
        <v>1</v>
      </c>
      <c r="H102" s="5" t="s">
        <v>357</v>
      </c>
      <c r="I102" s="7" t="n">
        <f aca="false">Narxlar!$C$12</f>
        <v>168</v>
      </c>
      <c r="J102" s="77" t="n">
        <f aca="false">G102*I102</f>
        <v>168</v>
      </c>
      <c r="K102" s="24" t="s">
        <v>180</v>
      </c>
    </row>
    <row r="103" customFormat="false" ht="15" hidden="false" customHeight="false" outlineLevel="0" collapsed="false">
      <c r="A103" s="5" t="n">
        <v>80</v>
      </c>
      <c r="B103" s="6" t="s">
        <v>308</v>
      </c>
      <c r="C103" s="6" t="s">
        <v>24</v>
      </c>
      <c r="D103" s="6" t="s">
        <v>520</v>
      </c>
      <c r="E103" s="74"/>
      <c r="F103" s="75"/>
      <c r="G103" s="76" t="n">
        <v>1</v>
      </c>
      <c r="H103" s="5" t="s">
        <v>351</v>
      </c>
      <c r="I103" s="7" t="n">
        <f aca="false">Narxlar!$C$101</f>
        <v>150</v>
      </c>
      <c r="J103" s="77" t="n">
        <f aca="false">G103*I103</f>
        <v>150</v>
      </c>
      <c r="K103" s="24" t="s">
        <v>226</v>
      </c>
    </row>
    <row r="104" customFormat="false" ht="15" hidden="false" customHeight="false" outlineLevel="0" collapsed="false">
      <c r="A104" s="78"/>
      <c r="B104" s="78"/>
      <c r="C104" s="78"/>
      <c r="D104" s="11" t="s">
        <v>539</v>
      </c>
      <c r="E104" s="78"/>
      <c r="F104" s="78"/>
      <c r="G104" s="78"/>
      <c r="H104" s="78"/>
      <c r="I104" s="78"/>
      <c r="J104" s="12" t="n">
        <f aca="false">SUM(J92:J103)</f>
        <v>3262.05</v>
      </c>
    </row>
    <row r="106" customFormat="false" ht="15" hidden="false" customHeight="false" outlineLevel="0" collapsed="false">
      <c r="A106" s="54" t="s">
        <v>309</v>
      </c>
      <c r="B106" s="55"/>
      <c r="C106" s="55"/>
      <c r="D106" s="55"/>
      <c r="E106" s="55"/>
      <c r="F106" s="55"/>
      <c r="G106" s="55"/>
      <c r="H106" s="55"/>
      <c r="I106" s="55"/>
      <c r="J106" s="55"/>
    </row>
    <row r="107" customFormat="false" ht="15" hidden="false" customHeight="false" outlineLevel="0" collapsed="false">
      <c r="A107" s="5" t="n">
        <v>81</v>
      </c>
      <c r="B107" s="6" t="s">
        <v>309</v>
      </c>
      <c r="C107" s="6" t="s">
        <v>8</v>
      </c>
      <c r="D107" s="6" t="s">
        <v>526</v>
      </c>
      <c r="E107" s="74" t="n">
        <v>4.6</v>
      </c>
      <c r="F107" s="56" t="n">
        <f aca="false">Narxlar!$C$134</f>
        <v>2.5</v>
      </c>
      <c r="G107" s="75" t="n">
        <f aca="false">E107*F107</f>
        <v>11.5</v>
      </c>
      <c r="H107" s="5" t="s">
        <v>424</v>
      </c>
      <c r="I107" s="7" t="n">
        <f aca="false">Narxlar!$C$5</f>
        <v>55</v>
      </c>
      <c r="J107" s="77" t="n">
        <f aca="false">G107*I107</f>
        <v>632.5</v>
      </c>
      <c r="K107" s="24" t="s">
        <v>168</v>
      </c>
    </row>
    <row r="108" customFormat="false" ht="15" hidden="false" customHeight="false" outlineLevel="0" collapsed="false">
      <c r="A108" s="5" t="n">
        <v>82</v>
      </c>
      <c r="B108" s="6" t="s">
        <v>309</v>
      </c>
      <c r="C108" s="6" t="s">
        <v>8</v>
      </c>
      <c r="D108" s="6" t="s">
        <v>527</v>
      </c>
      <c r="E108" s="56" t="n">
        <f aca="false">Narxlar!$C$138</f>
        <v>1</v>
      </c>
      <c r="F108" s="56" t="n">
        <f aca="false">Narxlar!$C$134</f>
        <v>2.5</v>
      </c>
      <c r="G108" s="75" t="n">
        <f aca="false">E108*F108</f>
        <v>2.5</v>
      </c>
      <c r="H108" s="5" t="s">
        <v>424</v>
      </c>
      <c r="I108" s="7" t="n">
        <f aca="false">Narxlar!$C$5</f>
        <v>55</v>
      </c>
      <c r="J108" s="77" t="n">
        <f aca="false">G108*I108</f>
        <v>137.5</v>
      </c>
      <c r="K108" s="24" t="s">
        <v>168</v>
      </c>
    </row>
    <row r="109" customFormat="false" ht="15" hidden="false" customHeight="false" outlineLevel="0" collapsed="false">
      <c r="A109" s="5" t="n">
        <v>83</v>
      </c>
      <c r="B109" s="6" t="s">
        <v>309</v>
      </c>
      <c r="C109" s="6" t="s">
        <v>9</v>
      </c>
      <c r="D109" s="6" t="s">
        <v>512</v>
      </c>
      <c r="E109" s="74" t="n">
        <v>1.55</v>
      </c>
      <c r="F109" s="56" t="n">
        <f aca="false">Narxlar!$C$133</f>
        <v>3.5</v>
      </c>
      <c r="G109" s="75" t="n">
        <f aca="false">E109*F109</f>
        <v>5.425</v>
      </c>
      <c r="H109" s="5" t="s">
        <v>424</v>
      </c>
      <c r="I109" s="7" t="n">
        <f aca="false">Narxlar!$C$6</f>
        <v>12</v>
      </c>
      <c r="J109" s="77" t="n">
        <f aca="false">G109*I109</f>
        <v>65.1</v>
      </c>
      <c r="K109" s="24" t="s">
        <v>128</v>
      </c>
    </row>
    <row r="110" customFormat="false" ht="15" hidden="false" customHeight="false" outlineLevel="0" collapsed="false">
      <c r="A110" s="5" t="n">
        <v>84</v>
      </c>
      <c r="B110" s="6" t="s">
        <v>309</v>
      </c>
      <c r="C110" s="6" t="s">
        <v>9</v>
      </c>
      <c r="D110" s="6" t="s">
        <v>540</v>
      </c>
      <c r="E110" s="74" t="n">
        <v>2.6</v>
      </c>
      <c r="F110" s="56" t="n">
        <f aca="false">Narxlar!$C$133</f>
        <v>3.5</v>
      </c>
      <c r="G110" s="75" t="n">
        <f aca="false">E110*F110</f>
        <v>9.1</v>
      </c>
      <c r="H110" s="5" t="s">
        <v>424</v>
      </c>
      <c r="I110" s="7" t="n">
        <f aca="false">Narxlar!$C$6</f>
        <v>12</v>
      </c>
      <c r="J110" s="77" t="n">
        <f aca="false">G110*I110</f>
        <v>109.2</v>
      </c>
      <c r="K110" s="24" t="s">
        <v>128</v>
      </c>
    </row>
    <row r="111" customFormat="false" ht="15" hidden="false" customHeight="false" outlineLevel="0" collapsed="false">
      <c r="A111" s="5" t="n">
        <v>85</v>
      </c>
      <c r="B111" s="6" t="s">
        <v>309</v>
      </c>
      <c r="C111" s="6" t="s">
        <v>9</v>
      </c>
      <c r="D111" s="6" t="s">
        <v>535</v>
      </c>
      <c r="E111" s="74" t="n">
        <v>2.75</v>
      </c>
      <c r="F111" s="56" t="n">
        <f aca="false">Narxlar!$C$133</f>
        <v>3.5</v>
      </c>
      <c r="G111" s="75" t="n">
        <f aca="false">E111*F111</f>
        <v>9.625</v>
      </c>
      <c r="H111" s="5" t="s">
        <v>424</v>
      </c>
      <c r="I111" s="7" t="n">
        <f aca="false">Narxlar!$C$6</f>
        <v>12</v>
      </c>
      <c r="J111" s="77" t="n">
        <f aca="false">G111*I111</f>
        <v>115.5</v>
      </c>
      <c r="K111" s="24" t="s">
        <v>128</v>
      </c>
    </row>
    <row r="112" customFormat="false" ht="15" hidden="false" customHeight="false" outlineLevel="0" collapsed="false">
      <c r="A112" s="5" t="n">
        <v>86</v>
      </c>
      <c r="B112" s="6" t="s">
        <v>309</v>
      </c>
      <c r="C112" s="6" t="s">
        <v>9</v>
      </c>
      <c r="D112" s="6" t="s">
        <v>529</v>
      </c>
      <c r="E112" s="74" t="n">
        <v>0.2</v>
      </c>
      <c r="F112" s="56" t="n">
        <f aca="false">Narxlar!$C$133</f>
        <v>3.5</v>
      </c>
      <c r="G112" s="75" t="n">
        <f aca="false">E112*F112</f>
        <v>0.7</v>
      </c>
      <c r="H112" s="5" t="s">
        <v>424</v>
      </c>
      <c r="I112" s="7" t="n">
        <f aca="false">Narxlar!$C$6</f>
        <v>12</v>
      </c>
      <c r="J112" s="77" t="n">
        <f aca="false">G112*I112</f>
        <v>8.4</v>
      </c>
      <c r="K112" s="24" t="s">
        <v>128</v>
      </c>
    </row>
    <row r="113" customFormat="false" ht="15" hidden="false" customHeight="false" outlineLevel="0" collapsed="false">
      <c r="A113" s="5" t="n">
        <v>87</v>
      </c>
      <c r="B113" s="6" t="s">
        <v>309</v>
      </c>
      <c r="C113" s="6" t="s">
        <v>9</v>
      </c>
      <c r="D113" s="6" t="s">
        <v>530</v>
      </c>
      <c r="E113" s="74" t="n">
        <v>4.6</v>
      </c>
      <c r="F113" s="56" t="n">
        <f aca="false">Narxlar!$C$135</f>
        <v>1</v>
      </c>
      <c r="G113" s="75" t="n">
        <f aca="false">E113*F113</f>
        <v>4.6</v>
      </c>
      <c r="H113" s="5" t="s">
        <v>424</v>
      </c>
      <c r="I113" s="7" t="n">
        <f aca="false">Narxlar!$C$6</f>
        <v>12</v>
      </c>
      <c r="J113" s="77" t="n">
        <f aca="false">G113*I113</f>
        <v>55.2</v>
      </c>
      <c r="K113" s="24" t="s">
        <v>128</v>
      </c>
    </row>
    <row r="114" customFormat="false" ht="15" hidden="false" customHeight="false" outlineLevel="0" collapsed="false">
      <c r="A114" s="5" t="n">
        <v>88</v>
      </c>
      <c r="B114" s="6" t="s">
        <v>309</v>
      </c>
      <c r="C114" s="6" t="s">
        <v>9</v>
      </c>
      <c r="D114" s="6" t="s">
        <v>532</v>
      </c>
      <c r="E114" s="56" t="n">
        <f aca="false">Narxlar!$C$138</f>
        <v>1</v>
      </c>
      <c r="F114" s="56" t="n">
        <f aca="false">Narxlar!$C$135</f>
        <v>1</v>
      </c>
      <c r="G114" s="75" t="n">
        <f aca="false">E114*F114</f>
        <v>1</v>
      </c>
      <c r="H114" s="5" t="s">
        <v>424</v>
      </c>
      <c r="I114" s="7" t="n">
        <f aca="false">Narxlar!$C$6</f>
        <v>12</v>
      </c>
      <c r="J114" s="77" t="n">
        <f aca="false">G114*I114</f>
        <v>12</v>
      </c>
      <c r="K114" s="24" t="s">
        <v>128</v>
      </c>
    </row>
    <row r="115" customFormat="false" ht="15" hidden="false" customHeight="false" outlineLevel="0" collapsed="false">
      <c r="A115" s="5" t="n">
        <v>89</v>
      </c>
      <c r="B115" s="6" t="s">
        <v>309</v>
      </c>
      <c r="C115" s="6" t="s">
        <v>10</v>
      </c>
      <c r="D115" s="6" t="s">
        <v>516</v>
      </c>
      <c r="E115" s="74" t="n">
        <v>7.7</v>
      </c>
      <c r="F115" s="56" t="n">
        <f aca="false">Narxlar!$C$140</f>
        <v>3.5</v>
      </c>
      <c r="G115" s="75" t="n">
        <f aca="false">E115*F115</f>
        <v>26.95</v>
      </c>
      <c r="H115" s="5" t="s">
        <v>424</v>
      </c>
      <c r="I115" s="7" t="n">
        <f aca="false">Narxlar!$C$7</f>
        <v>15.5</v>
      </c>
      <c r="J115" s="77" t="n">
        <f aca="false">G115*I115</f>
        <v>417.725</v>
      </c>
      <c r="K115" s="24" t="s">
        <v>169</v>
      </c>
    </row>
    <row r="116" customFormat="false" ht="15" hidden="false" customHeight="false" outlineLevel="0" collapsed="false">
      <c r="A116" s="5" t="n">
        <v>90</v>
      </c>
      <c r="B116" s="6" t="s">
        <v>309</v>
      </c>
      <c r="C116" s="6" t="s">
        <v>10</v>
      </c>
      <c r="D116" s="6" t="s">
        <v>517</v>
      </c>
      <c r="E116" s="74" t="n">
        <v>7.7</v>
      </c>
      <c r="F116" s="56" t="n">
        <f aca="false">Narxlar!$C$140</f>
        <v>3.5</v>
      </c>
      <c r="G116" s="75" t="n">
        <f aca="false">E116*F116</f>
        <v>26.95</v>
      </c>
      <c r="H116" s="5" t="s">
        <v>424</v>
      </c>
      <c r="I116" s="7" t="n">
        <f aca="false">Narxlar!$C$7</f>
        <v>15.5</v>
      </c>
      <c r="J116" s="77" t="n">
        <f aca="false">G116*I116</f>
        <v>417.725</v>
      </c>
      <c r="K116" s="24" t="s">
        <v>169</v>
      </c>
    </row>
    <row r="117" customFormat="false" ht="15" hidden="false" customHeight="false" outlineLevel="0" collapsed="false">
      <c r="A117" s="5" t="n">
        <v>91</v>
      </c>
      <c r="B117" s="6" t="s">
        <v>309</v>
      </c>
      <c r="C117" s="6" t="s">
        <v>11</v>
      </c>
      <c r="D117" s="6" t="s">
        <v>518</v>
      </c>
      <c r="E117" s="74"/>
      <c r="F117" s="75"/>
      <c r="G117" s="76" t="n">
        <v>1</v>
      </c>
      <c r="H117" s="5" t="s">
        <v>351</v>
      </c>
      <c r="I117" s="7" t="n">
        <f aca="false">Narxlar!$C$8</f>
        <v>1032</v>
      </c>
      <c r="J117" s="77" t="n">
        <f aca="false">G117*I117</f>
        <v>1032</v>
      </c>
      <c r="K117" s="24" t="s">
        <v>178</v>
      </c>
    </row>
    <row r="118" customFormat="false" ht="15" hidden="false" customHeight="false" outlineLevel="0" collapsed="false">
      <c r="A118" s="5" t="n">
        <v>92</v>
      </c>
      <c r="B118" s="6" t="s">
        <v>309</v>
      </c>
      <c r="C118" s="6" t="s">
        <v>13</v>
      </c>
      <c r="D118" s="6" t="s">
        <v>519</v>
      </c>
      <c r="E118" s="74"/>
      <c r="F118" s="75"/>
      <c r="G118" s="76" t="n">
        <v>1</v>
      </c>
      <c r="H118" s="5" t="s">
        <v>357</v>
      </c>
      <c r="I118" s="7" t="n">
        <f aca="false">Narxlar!$C$12</f>
        <v>168</v>
      </c>
      <c r="J118" s="77" t="n">
        <f aca="false">G118*I118</f>
        <v>168</v>
      </c>
      <c r="K118" s="24" t="s">
        <v>180</v>
      </c>
    </row>
    <row r="119" customFormat="false" ht="15" hidden="false" customHeight="false" outlineLevel="0" collapsed="false">
      <c r="A119" s="5" t="n">
        <v>93</v>
      </c>
      <c r="B119" s="6" t="s">
        <v>309</v>
      </c>
      <c r="C119" s="6" t="s">
        <v>24</v>
      </c>
      <c r="D119" s="6" t="s">
        <v>520</v>
      </c>
      <c r="E119" s="74"/>
      <c r="F119" s="75"/>
      <c r="G119" s="76" t="n">
        <v>1</v>
      </c>
      <c r="H119" s="5" t="s">
        <v>351</v>
      </c>
      <c r="I119" s="7" t="n">
        <f aca="false">Narxlar!$C$101</f>
        <v>150</v>
      </c>
      <c r="J119" s="77" t="n">
        <f aca="false">G119*I119</f>
        <v>150</v>
      </c>
      <c r="K119" s="24" t="s">
        <v>226</v>
      </c>
    </row>
    <row r="120" customFormat="false" ht="15" hidden="false" customHeight="false" outlineLevel="0" collapsed="false">
      <c r="A120" s="78"/>
      <c r="B120" s="78"/>
      <c r="C120" s="78"/>
      <c r="D120" s="11" t="s">
        <v>541</v>
      </c>
      <c r="E120" s="78"/>
      <c r="F120" s="78"/>
      <c r="G120" s="78"/>
      <c r="H120" s="78"/>
      <c r="I120" s="78"/>
      <c r="J120" s="12" t="n">
        <f aca="false">SUM(J107:J119)</f>
        <v>3320.85</v>
      </c>
    </row>
    <row r="122" customFormat="false" ht="15" hidden="false" customHeight="false" outlineLevel="0" collapsed="false">
      <c r="A122" s="54" t="s">
        <v>311</v>
      </c>
      <c r="B122" s="55"/>
      <c r="C122" s="55"/>
      <c r="D122" s="55"/>
      <c r="E122" s="55"/>
      <c r="F122" s="55"/>
      <c r="G122" s="55"/>
      <c r="H122" s="55"/>
      <c r="I122" s="55"/>
      <c r="J122" s="55"/>
    </row>
    <row r="123" customFormat="false" ht="15" hidden="false" customHeight="false" outlineLevel="0" collapsed="false">
      <c r="A123" s="5" t="n">
        <v>94</v>
      </c>
      <c r="B123" s="6" t="s">
        <v>311</v>
      </c>
      <c r="C123" s="6" t="s">
        <v>8</v>
      </c>
      <c r="D123" s="6" t="s">
        <v>526</v>
      </c>
      <c r="E123" s="74" t="n">
        <v>4.55</v>
      </c>
      <c r="F123" s="56" t="n">
        <f aca="false">Narxlar!$C$134</f>
        <v>2.5</v>
      </c>
      <c r="G123" s="75" t="n">
        <f aca="false">E123*F123</f>
        <v>11.375</v>
      </c>
      <c r="H123" s="5" t="s">
        <v>424</v>
      </c>
      <c r="I123" s="7" t="n">
        <f aca="false">Narxlar!$C$5</f>
        <v>55</v>
      </c>
      <c r="J123" s="77" t="n">
        <f aca="false">G123*I123</f>
        <v>625.625</v>
      </c>
      <c r="K123" s="24" t="s">
        <v>168</v>
      </c>
    </row>
    <row r="124" customFormat="false" ht="15" hidden="false" customHeight="false" outlineLevel="0" collapsed="false">
      <c r="A124" s="5" t="n">
        <v>95</v>
      </c>
      <c r="B124" s="6" t="s">
        <v>311</v>
      </c>
      <c r="C124" s="6" t="s">
        <v>8</v>
      </c>
      <c r="D124" s="6" t="s">
        <v>527</v>
      </c>
      <c r="E124" s="56" t="n">
        <f aca="false">Narxlar!$C$138</f>
        <v>1</v>
      </c>
      <c r="F124" s="56" t="n">
        <f aca="false">Narxlar!$C$134</f>
        <v>2.5</v>
      </c>
      <c r="G124" s="75" t="n">
        <f aca="false">E124*F124</f>
        <v>2.5</v>
      </c>
      <c r="H124" s="5" t="s">
        <v>424</v>
      </c>
      <c r="I124" s="7" t="n">
        <f aca="false">Narxlar!$C$5</f>
        <v>55</v>
      </c>
      <c r="J124" s="77" t="n">
        <f aca="false">G124*I124</f>
        <v>137.5</v>
      </c>
      <c r="K124" s="24" t="s">
        <v>168</v>
      </c>
    </row>
    <row r="125" customFormat="false" ht="15" hidden="false" customHeight="false" outlineLevel="0" collapsed="false">
      <c r="A125" s="5" t="n">
        <v>96</v>
      </c>
      <c r="B125" s="6" t="s">
        <v>311</v>
      </c>
      <c r="C125" s="6" t="s">
        <v>9</v>
      </c>
      <c r="D125" s="6" t="s">
        <v>529</v>
      </c>
      <c r="E125" s="74" t="n">
        <v>0.15</v>
      </c>
      <c r="F125" s="56" t="n">
        <f aca="false">Narxlar!$C$133</f>
        <v>3.5</v>
      </c>
      <c r="G125" s="75" t="n">
        <f aca="false">E125*F125</f>
        <v>0.525</v>
      </c>
      <c r="H125" s="5" t="s">
        <v>424</v>
      </c>
      <c r="I125" s="7" t="n">
        <f aca="false">Narxlar!$C$6</f>
        <v>12</v>
      </c>
      <c r="J125" s="77" t="n">
        <f aca="false">G125*I125</f>
        <v>6.3</v>
      </c>
      <c r="K125" s="24" t="s">
        <v>128</v>
      </c>
    </row>
    <row r="126" customFormat="false" ht="15" hidden="false" customHeight="false" outlineLevel="0" collapsed="false">
      <c r="A126" s="5" t="n">
        <v>97</v>
      </c>
      <c r="B126" s="6" t="s">
        <v>311</v>
      </c>
      <c r="C126" s="6" t="s">
        <v>9</v>
      </c>
      <c r="D126" s="6" t="s">
        <v>530</v>
      </c>
      <c r="E126" s="74" t="n">
        <v>4.55</v>
      </c>
      <c r="F126" s="56" t="n">
        <f aca="false">Narxlar!$C$135</f>
        <v>1</v>
      </c>
      <c r="G126" s="75" t="n">
        <f aca="false">E126*F126</f>
        <v>4.55</v>
      </c>
      <c r="H126" s="5" t="s">
        <v>424</v>
      </c>
      <c r="I126" s="7" t="n">
        <f aca="false">Narxlar!$C$6</f>
        <v>12</v>
      </c>
      <c r="J126" s="77" t="n">
        <f aca="false">G126*I126</f>
        <v>54.6</v>
      </c>
      <c r="K126" s="24" t="s">
        <v>128</v>
      </c>
    </row>
    <row r="127" customFormat="false" ht="15" hidden="false" customHeight="false" outlineLevel="0" collapsed="false">
      <c r="A127" s="5" t="n">
        <v>98</v>
      </c>
      <c r="B127" s="6" t="s">
        <v>311</v>
      </c>
      <c r="C127" s="6" t="s">
        <v>9</v>
      </c>
      <c r="D127" s="6" t="s">
        <v>532</v>
      </c>
      <c r="E127" s="56" t="n">
        <f aca="false">Narxlar!$C$138</f>
        <v>1</v>
      </c>
      <c r="F127" s="56" t="n">
        <f aca="false">Narxlar!$C$135</f>
        <v>1</v>
      </c>
      <c r="G127" s="75" t="n">
        <f aca="false">E127*F127</f>
        <v>1</v>
      </c>
      <c r="H127" s="5" t="s">
        <v>424</v>
      </c>
      <c r="I127" s="7" t="n">
        <f aca="false">Narxlar!$C$6</f>
        <v>12</v>
      </c>
      <c r="J127" s="77" t="n">
        <f aca="false">G127*I127</f>
        <v>12</v>
      </c>
      <c r="K127" s="24" t="s">
        <v>128</v>
      </c>
    </row>
    <row r="128" customFormat="false" ht="15" hidden="false" customHeight="false" outlineLevel="0" collapsed="false">
      <c r="A128" s="5" t="n">
        <v>99</v>
      </c>
      <c r="B128" s="6" t="s">
        <v>311</v>
      </c>
      <c r="C128" s="6" t="s">
        <v>10</v>
      </c>
      <c r="D128" s="6" t="s">
        <v>542</v>
      </c>
      <c r="E128" s="74" t="n">
        <v>2.6</v>
      </c>
      <c r="F128" s="56" t="n">
        <f aca="false">Narxlar!$C$140</f>
        <v>3.5</v>
      </c>
      <c r="G128" s="75" t="n">
        <f aca="false">E128*F128</f>
        <v>9.1</v>
      </c>
      <c r="H128" s="5" t="s">
        <v>424</v>
      </c>
      <c r="I128" s="7" t="n">
        <f aca="false">Narxlar!$C$7</f>
        <v>15.5</v>
      </c>
      <c r="J128" s="77" t="n">
        <f aca="false">G128*I128</f>
        <v>141.05</v>
      </c>
      <c r="K128" s="24" t="s">
        <v>169</v>
      </c>
    </row>
    <row r="129" customFormat="false" ht="15" hidden="false" customHeight="false" outlineLevel="0" collapsed="false">
      <c r="A129" s="5" t="n">
        <v>100</v>
      </c>
      <c r="B129" s="6" t="s">
        <v>311</v>
      </c>
      <c r="C129" s="6" t="s">
        <v>10</v>
      </c>
      <c r="D129" s="6" t="s">
        <v>543</v>
      </c>
      <c r="E129" s="74" t="n">
        <v>2.6</v>
      </c>
      <c r="F129" s="56" t="n">
        <f aca="false">Narxlar!$C$140</f>
        <v>3.5</v>
      </c>
      <c r="G129" s="75" t="n">
        <f aca="false">E129*F129</f>
        <v>9.1</v>
      </c>
      <c r="H129" s="5" t="s">
        <v>424</v>
      </c>
      <c r="I129" s="7" t="n">
        <f aca="false">Narxlar!$C$7</f>
        <v>15.5</v>
      </c>
      <c r="J129" s="77" t="n">
        <f aca="false">G129*I129</f>
        <v>141.05</v>
      </c>
      <c r="K129" s="24" t="s">
        <v>169</v>
      </c>
    </row>
    <row r="130" customFormat="false" ht="15" hidden="false" customHeight="false" outlineLevel="0" collapsed="false">
      <c r="A130" s="5" t="n">
        <v>101</v>
      </c>
      <c r="B130" s="6" t="s">
        <v>311</v>
      </c>
      <c r="C130" s="6" t="s">
        <v>13</v>
      </c>
      <c r="D130" s="6" t="s">
        <v>519</v>
      </c>
      <c r="E130" s="74"/>
      <c r="F130" s="75"/>
      <c r="G130" s="76" t="n">
        <v>1</v>
      </c>
      <c r="H130" s="5" t="s">
        <v>357</v>
      </c>
      <c r="I130" s="7" t="n">
        <f aca="false">Narxlar!$C$12</f>
        <v>168</v>
      </c>
      <c r="J130" s="77" t="n">
        <f aca="false">G130*I130</f>
        <v>168</v>
      </c>
      <c r="K130" s="24" t="s">
        <v>180</v>
      </c>
    </row>
    <row r="131" customFormat="false" ht="15" hidden="false" customHeight="false" outlineLevel="0" collapsed="false">
      <c r="A131" s="5" t="n">
        <v>102</v>
      </c>
      <c r="B131" s="6" t="s">
        <v>311</v>
      </c>
      <c r="C131" s="6" t="s">
        <v>22</v>
      </c>
      <c r="D131" s="6" t="s">
        <v>544</v>
      </c>
      <c r="E131" s="74"/>
      <c r="F131" s="75"/>
      <c r="G131" s="76" t="n">
        <v>2</v>
      </c>
      <c r="H131" s="5" t="s">
        <v>351</v>
      </c>
      <c r="I131" s="7" t="n">
        <f aca="false">Narxlar!$C$104</f>
        <v>220</v>
      </c>
      <c r="J131" s="77" t="n">
        <f aca="false">G131*I131</f>
        <v>440</v>
      </c>
      <c r="K131" s="24" t="s">
        <v>114</v>
      </c>
    </row>
    <row r="132" customFormat="false" ht="15" hidden="false" customHeight="false" outlineLevel="0" collapsed="false">
      <c r="A132" s="5" t="n">
        <v>103</v>
      </c>
      <c r="B132" s="6" t="s">
        <v>311</v>
      </c>
      <c r="C132" s="6" t="s">
        <v>22</v>
      </c>
      <c r="D132" s="6" t="s">
        <v>545</v>
      </c>
      <c r="E132" s="74"/>
      <c r="F132" s="75"/>
      <c r="G132" s="76" t="n">
        <v>2</v>
      </c>
      <c r="H132" s="5" t="s">
        <v>351</v>
      </c>
      <c r="I132" s="7" t="n">
        <f aca="false">Narxlar!$C$105</f>
        <v>130</v>
      </c>
      <c r="J132" s="77" t="n">
        <f aca="false">G132*I132</f>
        <v>260</v>
      </c>
      <c r="K132" s="24" t="s">
        <v>108</v>
      </c>
    </row>
    <row r="133" customFormat="false" ht="15" hidden="false" customHeight="false" outlineLevel="0" collapsed="false">
      <c r="A133" s="5" t="n">
        <v>104</v>
      </c>
      <c r="B133" s="6" t="s">
        <v>311</v>
      </c>
      <c r="C133" s="6" t="s">
        <v>22</v>
      </c>
      <c r="D133" s="6" t="s">
        <v>546</v>
      </c>
      <c r="E133" s="74"/>
      <c r="F133" s="75"/>
      <c r="G133" s="76" t="n">
        <v>4</v>
      </c>
      <c r="H133" s="5" t="s">
        <v>351</v>
      </c>
      <c r="I133" s="7" t="n">
        <f aca="false">Narxlar!$C$106</f>
        <v>60</v>
      </c>
      <c r="J133" s="77" t="n">
        <f aca="false">G133*I133</f>
        <v>240</v>
      </c>
      <c r="K133" s="24" t="s">
        <v>116</v>
      </c>
    </row>
    <row r="134" customFormat="false" ht="15" hidden="false" customHeight="false" outlineLevel="0" collapsed="false">
      <c r="A134" s="5" t="n">
        <v>105</v>
      </c>
      <c r="B134" s="6" t="s">
        <v>311</v>
      </c>
      <c r="C134" s="6" t="s">
        <v>22</v>
      </c>
      <c r="D134" s="6" t="s">
        <v>547</v>
      </c>
      <c r="E134" s="74"/>
      <c r="F134" s="75"/>
      <c r="G134" s="76" t="n">
        <v>1</v>
      </c>
      <c r="H134" s="5" t="s">
        <v>351</v>
      </c>
      <c r="I134" s="7" t="n">
        <f aca="false">Narxlar!$C$107</f>
        <v>450</v>
      </c>
      <c r="J134" s="77" t="n">
        <f aca="false">G134*I134</f>
        <v>450</v>
      </c>
      <c r="K134" s="24" t="s">
        <v>110</v>
      </c>
    </row>
    <row r="135" customFormat="false" ht="15" hidden="false" customHeight="false" outlineLevel="0" collapsed="false">
      <c r="A135" s="5" t="n">
        <v>106</v>
      </c>
      <c r="B135" s="6" t="s">
        <v>311</v>
      </c>
      <c r="C135" s="6" t="s">
        <v>22</v>
      </c>
      <c r="D135" s="6" t="s">
        <v>548</v>
      </c>
      <c r="E135" s="74"/>
      <c r="F135" s="75"/>
      <c r="G135" s="76" t="n">
        <v>1</v>
      </c>
      <c r="H135" s="5" t="s">
        <v>351</v>
      </c>
      <c r="I135" s="7" t="n">
        <f aca="false">Narxlar!$C$108</f>
        <v>350</v>
      </c>
      <c r="J135" s="77" t="n">
        <f aca="false">G135*I135</f>
        <v>350</v>
      </c>
      <c r="K135" s="24" t="s">
        <v>118</v>
      </c>
    </row>
    <row r="136" customFormat="false" ht="15" hidden="false" customHeight="false" outlineLevel="0" collapsed="false">
      <c r="A136" s="5" t="n">
        <v>107</v>
      </c>
      <c r="B136" s="6" t="s">
        <v>311</v>
      </c>
      <c r="C136" s="6" t="s">
        <v>22</v>
      </c>
      <c r="D136" s="6" t="s">
        <v>549</v>
      </c>
      <c r="E136" s="74"/>
      <c r="F136" s="75"/>
      <c r="G136" s="76" t="n">
        <v>1</v>
      </c>
      <c r="H136" s="5" t="s">
        <v>357</v>
      </c>
      <c r="I136" s="7" t="n">
        <f aca="false">Narxlar!$C$110</f>
        <v>600</v>
      </c>
      <c r="J136" s="77" t="n">
        <f aca="false">G136*I136</f>
        <v>600</v>
      </c>
      <c r="K136" s="24" t="s">
        <v>250</v>
      </c>
    </row>
    <row r="137" customFormat="false" ht="15" hidden="false" customHeight="false" outlineLevel="0" collapsed="false">
      <c r="A137" s="5" t="n">
        <v>108</v>
      </c>
      <c r="B137" s="6" t="s">
        <v>311</v>
      </c>
      <c r="C137" s="6" t="s">
        <v>24</v>
      </c>
      <c r="D137" s="6" t="s">
        <v>520</v>
      </c>
      <c r="E137" s="74"/>
      <c r="F137" s="75"/>
      <c r="G137" s="76" t="n">
        <v>1</v>
      </c>
      <c r="H137" s="5" t="s">
        <v>351</v>
      </c>
      <c r="I137" s="7" t="n">
        <f aca="false">Narxlar!$C$101</f>
        <v>150</v>
      </c>
      <c r="J137" s="77" t="n">
        <f aca="false">G137*I137</f>
        <v>150</v>
      </c>
      <c r="K137" s="24" t="s">
        <v>226</v>
      </c>
    </row>
    <row r="138" customFormat="false" ht="15" hidden="false" customHeight="false" outlineLevel="0" collapsed="false">
      <c r="A138" s="78"/>
      <c r="B138" s="78"/>
      <c r="C138" s="78"/>
      <c r="D138" s="11" t="s">
        <v>550</v>
      </c>
      <c r="E138" s="78"/>
      <c r="F138" s="78"/>
      <c r="G138" s="78"/>
      <c r="H138" s="78"/>
      <c r="I138" s="78"/>
      <c r="J138" s="12" t="n">
        <f aca="false">SUM(J123:J137)</f>
        <v>3776.125</v>
      </c>
    </row>
    <row r="140" customFormat="false" ht="15" hidden="false" customHeight="false" outlineLevel="0" collapsed="false">
      <c r="A140" s="54" t="s">
        <v>312</v>
      </c>
      <c r="B140" s="55"/>
      <c r="C140" s="55"/>
      <c r="D140" s="55"/>
      <c r="E140" s="55"/>
      <c r="F140" s="55"/>
      <c r="G140" s="55"/>
      <c r="H140" s="55"/>
      <c r="I140" s="55"/>
      <c r="J140" s="55"/>
    </row>
    <row r="141" customFormat="false" ht="15" hidden="false" customHeight="false" outlineLevel="0" collapsed="false">
      <c r="A141" s="5" t="n">
        <v>109</v>
      </c>
      <c r="B141" s="6" t="s">
        <v>312</v>
      </c>
      <c r="C141" s="6" t="s">
        <v>8</v>
      </c>
      <c r="D141" s="6" t="s">
        <v>526</v>
      </c>
      <c r="E141" s="74" t="n">
        <v>2.4</v>
      </c>
      <c r="F141" s="56" t="n">
        <f aca="false">Narxlar!$C$134</f>
        <v>2.5</v>
      </c>
      <c r="G141" s="75" t="n">
        <f aca="false">E141*F141</f>
        <v>6</v>
      </c>
      <c r="H141" s="5" t="s">
        <v>424</v>
      </c>
      <c r="I141" s="7" t="n">
        <f aca="false">Narxlar!$C$5</f>
        <v>55</v>
      </c>
      <c r="J141" s="77" t="n">
        <f aca="false">G141*I141</f>
        <v>330</v>
      </c>
      <c r="K141" s="24" t="s">
        <v>168</v>
      </c>
    </row>
    <row r="142" customFormat="false" ht="15" hidden="false" customHeight="false" outlineLevel="0" collapsed="false">
      <c r="A142" s="5" t="n">
        <v>110</v>
      </c>
      <c r="B142" s="6" t="s">
        <v>312</v>
      </c>
      <c r="C142" s="6" t="s">
        <v>8</v>
      </c>
      <c r="D142" s="6" t="s">
        <v>526</v>
      </c>
      <c r="E142" s="74" t="n">
        <v>2.4</v>
      </c>
      <c r="F142" s="56" t="n">
        <f aca="false">Narxlar!$C$134</f>
        <v>2.5</v>
      </c>
      <c r="G142" s="75" t="n">
        <f aca="false">E142*F142</f>
        <v>6</v>
      </c>
      <c r="H142" s="5" t="s">
        <v>424</v>
      </c>
      <c r="I142" s="7" t="n">
        <f aca="false">Narxlar!$C$5</f>
        <v>55</v>
      </c>
      <c r="J142" s="77" t="n">
        <f aca="false">G142*I142</f>
        <v>330</v>
      </c>
      <c r="K142" s="24" t="s">
        <v>168</v>
      </c>
    </row>
    <row r="143" customFormat="false" ht="15" hidden="false" customHeight="false" outlineLevel="0" collapsed="false">
      <c r="A143" s="5" t="n">
        <v>111</v>
      </c>
      <c r="B143" s="6" t="s">
        <v>312</v>
      </c>
      <c r="C143" s="6" t="s">
        <v>8</v>
      </c>
      <c r="D143" s="6" t="s">
        <v>527</v>
      </c>
      <c r="E143" s="56" t="n">
        <f aca="false">Narxlar!$C$138</f>
        <v>1</v>
      </c>
      <c r="F143" s="56" t="n">
        <f aca="false">Narxlar!$C$134</f>
        <v>2.5</v>
      </c>
      <c r="G143" s="75" t="n">
        <f aca="false">E143*F143</f>
        <v>2.5</v>
      </c>
      <c r="H143" s="5" t="s">
        <v>424</v>
      </c>
      <c r="I143" s="7" t="n">
        <f aca="false">Narxlar!$C$5</f>
        <v>55</v>
      </c>
      <c r="J143" s="77" t="n">
        <f aca="false">G143*I143</f>
        <v>137.5</v>
      </c>
      <c r="K143" s="24" t="s">
        <v>168</v>
      </c>
    </row>
    <row r="144" customFormat="false" ht="15" hidden="false" customHeight="false" outlineLevel="0" collapsed="false">
      <c r="A144" s="5" t="n">
        <v>112</v>
      </c>
      <c r="B144" s="6" t="s">
        <v>312</v>
      </c>
      <c r="C144" s="6" t="s">
        <v>9</v>
      </c>
      <c r="D144" s="6" t="s">
        <v>530</v>
      </c>
      <c r="E144" s="74" t="n">
        <v>2.4</v>
      </c>
      <c r="F144" s="56" t="n">
        <f aca="false">Narxlar!$C$135</f>
        <v>1</v>
      </c>
      <c r="G144" s="75" t="n">
        <f aca="false">E144*F144</f>
        <v>2.4</v>
      </c>
      <c r="H144" s="5" t="s">
        <v>424</v>
      </c>
      <c r="I144" s="7" t="n">
        <f aca="false">Narxlar!$C$6</f>
        <v>12</v>
      </c>
      <c r="J144" s="77" t="n">
        <f aca="false">G144*I144</f>
        <v>28.8</v>
      </c>
      <c r="K144" s="24" t="s">
        <v>128</v>
      </c>
    </row>
    <row r="145" customFormat="false" ht="15" hidden="false" customHeight="false" outlineLevel="0" collapsed="false">
      <c r="A145" s="5" t="n">
        <v>113</v>
      </c>
      <c r="B145" s="6" t="s">
        <v>312</v>
      </c>
      <c r="C145" s="6" t="s">
        <v>9</v>
      </c>
      <c r="D145" s="6" t="s">
        <v>530</v>
      </c>
      <c r="E145" s="74" t="n">
        <v>2.4</v>
      </c>
      <c r="F145" s="56" t="n">
        <f aca="false">Narxlar!$C$135</f>
        <v>1</v>
      </c>
      <c r="G145" s="75" t="n">
        <f aca="false">E145*F145</f>
        <v>2.4</v>
      </c>
      <c r="H145" s="5" t="s">
        <v>424</v>
      </c>
      <c r="I145" s="7" t="n">
        <f aca="false">Narxlar!$C$6</f>
        <v>12</v>
      </c>
      <c r="J145" s="77" t="n">
        <f aca="false">G145*I145</f>
        <v>28.8</v>
      </c>
      <c r="K145" s="24" t="s">
        <v>128</v>
      </c>
    </row>
    <row r="146" customFormat="false" ht="15" hidden="false" customHeight="false" outlineLevel="0" collapsed="false">
      <c r="A146" s="5" t="n">
        <v>114</v>
      </c>
      <c r="B146" s="6" t="s">
        <v>312</v>
      </c>
      <c r="C146" s="6" t="s">
        <v>9</v>
      </c>
      <c r="D146" s="6" t="s">
        <v>532</v>
      </c>
      <c r="E146" s="56" t="n">
        <f aca="false">Narxlar!$C$138</f>
        <v>1</v>
      </c>
      <c r="F146" s="56" t="n">
        <f aca="false">Narxlar!$C$135</f>
        <v>1</v>
      </c>
      <c r="G146" s="75" t="n">
        <f aca="false">E146*F146</f>
        <v>1</v>
      </c>
      <c r="H146" s="5" t="s">
        <v>424</v>
      </c>
      <c r="I146" s="7" t="n">
        <f aca="false">Narxlar!$C$6</f>
        <v>12</v>
      </c>
      <c r="J146" s="77" t="n">
        <f aca="false">G146*I146</f>
        <v>12</v>
      </c>
      <c r="K146" s="24" t="s">
        <v>128</v>
      </c>
    </row>
    <row r="147" customFormat="false" ht="15" hidden="false" customHeight="false" outlineLevel="0" collapsed="false">
      <c r="A147" s="5" t="n">
        <v>115</v>
      </c>
      <c r="B147" s="6" t="s">
        <v>312</v>
      </c>
      <c r="C147" s="6" t="s">
        <v>10</v>
      </c>
      <c r="D147" s="6" t="s">
        <v>551</v>
      </c>
      <c r="E147" s="74" t="n">
        <v>2.6</v>
      </c>
      <c r="F147" s="56" t="n">
        <f aca="false">Narxlar!$C$140</f>
        <v>3.5</v>
      </c>
      <c r="G147" s="75" t="n">
        <f aca="false">E147*F147</f>
        <v>9.1</v>
      </c>
      <c r="H147" s="5" t="s">
        <v>424</v>
      </c>
      <c r="I147" s="7" t="n">
        <f aca="false">Narxlar!$C$7</f>
        <v>15.5</v>
      </c>
      <c r="J147" s="77" t="n">
        <f aca="false">G147*I147</f>
        <v>141.05</v>
      </c>
      <c r="K147" s="24" t="s">
        <v>169</v>
      </c>
    </row>
    <row r="148" customFormat="false" ht="15" hidden="false" customHeight="false" outlineLevel="0" collapsed="false">
      <c r="A148" s="5" t="n">
        <v>116</v>
      </c>
      <c r="B148" s="6" t="s">
        <v>312</v>
      </c>
      <c r="C148" s="6" t="s">
        <v>10</v>
      </c>
      <c r="D148" s="6" t="s">
        <v>552</v>
      </c>
      <c r="E148" s="74" t="n">
        <v>2.6</v>
      </c>
      <c r="F148" s="56" t="n">
        <f aca="false">Narxlar!$C$140</f>
        <v>3.5</v>
      </c>
      <c r="G148" s="75" t="n">
        <f aca="false">E148*F148</f>
        <v>9.1</v>
      </c>
      <c r="H148" s="5" t="s">
        <v>424</v>
      </c>
      <c r="I148" s="7" t="n">
        <f aca="false">Narxlar!$C$7</f>
        <v>15.5</v>
      </c>
      <c r="J148" s="77" t="n">
        <f aca="false">G148*I148</f>
        <v>141.05</v>
      </c>
      <c r="K148" s="24" t="s">
        <v>169</v>
      </c>
    </row>
    <row r="149" customFormat="false" ht="15" hidden="false" customHeight="false" outlineLevel="0" collapsed="false">
      <c r="A149" s="5" t="n">
        <v>117</v>
      </c>
      <c r="B149" s="6" t="s">
        <v>312</v>
      </c>
      <c r="C149" s="6" t="s">
        <v>13</v>
      </c>
      <c r="D149" s="6" t="s">
        <v>519</v>
      </c>
      <c r="E149" s="74"/>
      <c r="F149" s="75"/>
      <c r="G149" s="76" t="n">
        <v>1</v>
      </c>
      <c r="H149" s="5" t="s">
        <v>357</v>
      </c>
      <c r="I149" s="7" t="n">
        <f aca="false">Narxlar!$C$12</f>
        <v>168</v>
      </c>
      <c r="J149" s="77" t="n">
        <f aca="false">G149*I149</f>
        <v>168</v>
      </c>
      <c r="K149" s="24" t="s">
        <v>180</v>
      </c>
    </row>
    <row r="150" customFormat="false" ht="15" hidden="false" customHeight="false" outlineLevel="0" collapsed="false">
      <c r="A150" s="5" t="n">
        <v>118</v>
      </c>
      <c r="B150" s="6" t="s">
        <v>312</v>
      </c>
      <c r="C150" s="6" t="s">
        <v>22</v>
      </c>
      <c r="D150" s="6" t="s">
        <v>553</v>
      </c>
      <c r="E150" s="74"/>
      <c r="F150" s="75"/>
      <c r="G150" s="76" t="n">
        <v>2</v>
      </c>
      <c r="H150" s="5" t="s">
        <v>351</v>
      </c>
      <c r="I150" s="7" t="n">
        <f aca="false">Narxlar!$C$104</f>
        <v>220</v>
      </c>
      <c r="J150" s="77" t="n">
        <f aca="false">G150*I150</f>
        <v>440</v>
      </c>
      <c r="K150" s="24" t="s">
        <v>114</v>
      </c>
    </row>
    <row r="151" customFormat="false" ht="15" hidden="false" customHeight="false" outlineLevel="0" collapsed="false">
      <c r="A151" s="5" t="n">
        <v>119</v>
      </c>
      <c r="B151" s="6" t="s">
        <v>312</v>
      </c>
      <c r="C151" s="6" t="s">
        <v>22</v>
      </c>
      <c r="D151" s="6" t="s">
        <v>554</v>
      </c>
      <c r="E151" s="74"/>
      <c r="F151" s="75"/>
      <c r="G151" s="76" t="n">
        <v>2</v>
      </c>
      <c r="H151" s="5" t="s">
        <v>351</v>
      </c>
      <c r="I151" s="7" t="n">
        <f aca="false">Narxlar!$C$105</f>
        <v>130</v>
      </c>
      <c r="J151" s="77" t="n">
        <f aca="false">G151*I151</f>
        <v>260</v>
      </c>
      <c r="K151" s="24" t="s">
        <v>108</v>
      </c>
    </row>
    <row r="152" customFormat="false" ht="15" hidden="false" customHeight="false" outlineLevel="0" collapsed="false">
      <c r="A152" s="5" t="n">
        <v>120</v>
      </c>
      <c r="B152" s="6" t="s">
        <v>312</v>
      </c>
      <c r="C152" s="6" t="s">
        <v>22</v>
      </c>
      <c r="D152" s="6" t="s">
        <v>555</v>
      </c>
      <c r="E152" s="74"/>
      <c r="F152" s="75"/>
      <c r="G152" s="76" t="n">
        <v>2</v>
      </c>
      <c r="H152" s="5" t="s">
        <v>351</v>
      </c>
      <c r="I152" s="7" t="n">
        <f aca="false">Narxlar!$C$106</f>
        <v>60</v>
      </c>
      <c r="J152" s="77" t="n">
        <f aca="false">G152*I152</f>
        <v>120</v>
      </c>
      <c r="K152" s="24" t="s">
        <v>116</v>
      </c>
    </row>
    <row r="153" customFormat="false" ht="15" hidden="false" customHeight="false" outlineLevel="0" collapsed="false">
      <c r="A153" s="5" t="n">
        <v>121</v>
      </c>
      <c r="B153" s="6" t="s">
        <v>312</v>
      </c>
      <c r="C153" s="6" t="s">
        <v>22</v>
      </c>
      <c r="D153" s="6" t="s">
        <v>548</v>
      </c>
      <c r="E153" s="74"/>
      <c r="F153" s="75"/>
      <c r="G153" s="76" t="n">
        <v>1</v>
      </c>
      <c r="H153" s="5" t="s">
        <v>351</v>
      </c>
      <c r="I153" s="7" t="n">
        <f aca="false">Narxlar!$C$108</f>
        <v>350</v>
      </c>
      <c r="J153" s="77" t="n">
        <f aca="false">G153*I153</f>
        <v>350</v>
      </c>
      <c r="K153" s="24" t="s">
        <v>118</v>
      </c>
    </row>
    <row r="154" customFormat="false" ht="15" hidden="false" customHeight="false" outlineLevel="0" collapsed="false">
      <c r="A154" s="5" t="n">
        <v>122</v>
      </c>
      <c r="B154" s="6" t="s">
        <v>312</v>
      </c>
      <c r="C154" s="6" t="s">
        <v>22</v>
      </c>
      <c r="D154" s="6" t="s">
        <v>556</v>
      </c>
      <c r="E154" s="74"/>
      <c r="F154" s="75"/>
      <c r="G154" s="76" t="n">
        <v>1</v>
      </c>
      <c r="H154" s="5" t="s">
        <v>357</v>
      </c>
      <c r="I154" s="7" t="n">
        <f aca="false">Narxlar!$C$111</f>
        <v>300</v>
      </c>
      <c r="J154" s="77" t="n">
        <f aca="false">G154*I154</f>
        <v>300</v>
      </c>
      <c r="K154" s="24" t="s">
        <v>252</v>
      </c>
    </row>
    <row r="155" customFormat="false" ht="15" hidden="false" customHeight="false" outlineLevel="0" collapsed="false">
      <c r="A155" s="5" t="n">
        <v>123</v>
      </c>
      <c r="B155" s="6" t="s">
        <v>312</v>
      </c>
      <c r="C155" s="6" t="s">
        <v>24</v>
      </c>
      <c r="D155" s="6" t="s">
        <v>520</v>
      </c>
      <c r="E155" s="74"/>
      <c r="F155" s="75"/>
      <c r="G155" s="76" t="n">
        <v>1</v>
      </c>
      <c r="H155" s="5" t="s">
        <v>351</v>
      </c>
      <c r="I155" s="7" t="n">
        <f aca="false">Narxlar!$C$101</f>
        <v>150</v>
      </c>
      <c r="J155" s="77" t="n">
        <f aca="false">G155*I155</f>
        <v>150</v>
      </c>
      <c r="K155" s="24" t="s">
        <v>226</v>
      </c>
    </row>
    <row r="156" customFormat="false" ht="15" hidden="false" customHeight="false" outlineLevel="0" collapsed="false">
      <c r="A156" s="78"/>
      <c r="B156" s="78"/>
      <c r="C156" s="78"/>
      <c r="D156" s="11" t="s">
        <v>557</v>
      </c>
      <c r="E156" s="78"/>
      <c r="F156" s="78"/>
      <c r="G156" s="78"/>
      <c r="H156" s="78"/>
      <c r="I156" s="78"/>
      <c r="J156" s="12" t="n">
        <f aca="false">SUM(J141:J155)</f>
        <v>2937.2</v>
      </c>
    </row>
    <row r="158" customFormat="false" ht="15" hidden="false" customHeight="false" outlineLevel="0" collapsed="false">
      <c r="A158" s="54" t="s">
        <v>313</v>
      </c>
      <c r="B158" s="55"/>
      <c r="C158" s="55"/>
      <c r="D158" s="55"/>
      <c r="E158" s="55"/>
      <c r="F158" s="55"/>
      <c r="G158" s="55"/>
      <c r="H158" s="55"/>
      <c r="I158" s="55"/>
      <c r="J158" s="55"/>
    </row>
    <row r="159" customFormat="false" ht="15" hidden="false" customHeight="false" outlineLevel="0" collapsed="false">
      <c r="A159" s="5" t="n">
        <v>124</v>
      </c>
      <c r="B159" s="6" t="s">
        <v>313</v>
      </c>
      <c r="C159" s="6" t="s">
        <v>8</v>
      </c>
      <c r="D159" s="6" t="s">
        <v>510</v>
      </c>
      <c r="E159" s="74" t="n">
        <v>0.15</v>
      </c>
      <c r="F159" s="56" t="n">
        <f aca="false">Narxlar!$C$134</f>
        <v>2.5</v>
      </c>
      <c r="G159" s="75" t="n">
        <f aca="false">E159*F159</f>
        <v>0.375</v>
      </c>
      <c r="H159" s="5" t="s">
        <v>424</v>
      </c>
      <c r="I159" s="7" t="n">
        <f aca="false">Narxlar!$C$5</f>
        <v>55</v>
      </c>
      <c r="J159" s="77" t="n">
        <f aca="false">G159*I159</f>
        <v>20.625</v>
      </c>
      <c r="K159" s="24" t="s">
        <v>168</v>
      </c>
    </row>
    <row r="160" customFormat="false" ht="15" hidden="false" customHeight="false" outlineLevel="0" collapsed="false">
      <c r="A160" s="5" t="n">
        <v>125</v>
      </c>
      <c r="B160" s="6" t="s">
        <v>313</v>
      </c>
      <c r="C160" s="6" t="s">
        <v>8</v>
      </c>
      <c r="D160" s="6" t="s">
        <v>510</v>
      </c>
      <c r="E160" s="74" t="n">
        <v>4.65</v>
      </c>
      <c r="F160" s="56" t="n">
        <f aca="false">Narxlar!$C$134</f>
        <v>2.5</v>
      </c>
      <c r="G160" s="75" t="n">
        <f aca="false">E160*F160</f>
        <v>11.625</v>
      </c>
      <c r="H160" s="5" t="s">
        <v>424</v>
      </c>
      <c r="I160" s="7" t="n">
        <f aca="false">Narxlar!$C$5</f>
        <v>55</v>
      </c>
      <c r="J160" s="77" t="n">
        <f aca="false">G160*I160</f>
        <v>639.375</v>
      </c>
      <c r="K160" s="24" t="s">
        <v>168</v>
      </c>
    </row>
    <row r="161" customFormat="false" ht="15" hidden="false" customHeight="false" outlineLevel="0" collapsed="false">
      <c r="A161" s="5" t="n">
        <v>126</v>
      </c>
      <c r="B161" s="6" t="s">
        <v>313</v>
      </c>
      <c r="C161" s="6" t="s">
        <v>8</v>
      </c>
      <c r="D161" s="6" t="s">
        <v>511</v>
      </c>
      <c r="E161" s="56" t="n">
        <f aca="false">Narxlar!$C$138</f>
        <v>1</v>
      </c>
      <c r="F161" s="56" t="n">
        <f aca="false">Narxlar!$C$134</f>
        <v>2.5</v>
      </c>
      <c r="G161" s="75" t="n">
        <f aca="false">E161*F161</f>
        <v>2.5</v>
      </c>
      <c r="H161" s="5" t="s">
        <v>424</v>
      </c>
      <c r="I161" s="7" t="n">
        <f aca="false">Narxlar!$C$5</f>
        <v>55</v>
      </c>
      <c r="J161" s="77" t="n">
        <f aca="false">G161*I161</f>
        <v>137.5</v>
      </c>
      <c r="K161" s="24" t="s">
        <v>168</v>
      </c>
    </row>
    <row r="162" customFormat="false" ht="15" hidden="false" customHeight="false" outlineLevel="0" collapsed="false">
      <c r="A162" s="5" t="n">
        <v>127</v>
      </c>
      <c r="B162" s="6" t="s">
        <v>313</v>
      </c>
      <c r="C162" s="6" t="s">
        <v>9</v>
      </c>
      <c r="D162" s="6" t="s">
        <v>558</v>
      </c>
      <c r="E162" s="74" t="n">
        <v>0.9</v>
      </c>
      <c r="F162" s="56" t="n">
        <f aca="false">Narxlar!$C$133</f>
        <v>3.5</v>
      </c>
      <c r="G162" s="75" t="n">
        <f aca="false">E162*F162</f>
        <v>3.15</v>
      </c>
      <c r="H162" s="5" t="s">
        <v>424</v>
      </c>
      <c r="I162" s="7" t="n">
        <f aca="false">Narxlar!$C$6</f>
        <v>12</v>
      </c>
      <c r="J162" s="77" t="n">
        <f aca="false">G162*I162</f>
        <v>37.8</v>
      </c>
      <c r="K162" s="24" t="s">
        <v>128</v>
      </c>
    </row>
    <row r="163" customFormat="false" ht="15" hidden="false" customHeight="false" outlineLevel="0" collapsed="false">
      <c r="A163" s="5" t="n">
        <v>128</v>
      </c>
      <c r="B163" s="6" t="s">
        <v>313</v>
      </c>
      <c r="C163" s="6" t="s">
        <v>9</v>
      </c>
      <c r="D163" s="6" t="s">
        <v>559</v>
      </c>
      <c r="E163" s="74" t="n">
        <v>1</v>
      </c>
      <c r="F163" s="56" t="n">
        <f aca="false">Narxlar!$C$133</f>
        <v>3.5</v>
      </c>
      <c r="G163" s="75" t="n">
        <f aca="false">E163*F163</f>
        <v>3.5</v>
      </c>
      <c r="H163" s="5" t="s">
        <v>424</v>
      </c>
      <c r="I163" s="7" t="n">
        <f aca="false">Narxlar!$C$6</f>
        <v>12</v>
      </c>
      <c r="J163" s="77" t="n">
        <f aca="false">G163*I163</f>
        <v>42</v>
      </c>
      <c r="K163" s="24" t="s">
        <v>128</v>
      </c>
    </row>
    <row r="164" customFormat="false" ht="15" hidden="false" customHeight="false" outlineLevel="0" collapsed="false">
      <c r="A164" s="5" t="n">
        <v>129</v>
      </c>
      <c r="B164" s="6" t="s">
        <v>313</v>
      </c>
      <c r="C164" s="6" t="s">
        <v>9</v>
      </c>
      <c r="D164" s="6" t="s">
        <v>513</v>
      </c>
      <c r="E164" s="74" t="n">
        <v>0.15</v>
      </c>
      <c r="F164" s="56" t="n">
        <f aca="false">Narxlar!$C$135</f>
        <v>1</v>
      </c>
      <c r="G164" s="75" t="n">
        <f aca="false">E164*F164</f>
        <v>0.15</v>
      </c>
      <c r="H164" s="5" t="s">
        <v>424</v>
      </c>
      <c r="I164" s="7" t="n">
        <f aca="false">Narxlar!$C$6</f>
        <v>12</v>
      </c>
      <c r="J164" s="77" t="n">
        <f aca="false">G164*I164</f>
        <v>1.8</v>
      </c>
      <c r="K164" s="24" t="s">
        <v>128</v>
      </c>
    </row>
    <row r="165" customFormat="false" ht="15" hidden="false" customHeight="false" outlineLevel="0" collapsed="false">
      <c r="A165" s="5" t="n">
        <v>130</v>
      </c>
      <c r="B165" s="6" t="s">
        <v>313</v>
      </c>
      <c r="C165" s="6" t="s">
        <v>9</v>
      </c>
      <c r="D165" s="6" t="s">
        <v>513</v>
      </c>
      <c r="E165" s="74" t="n">
        <v>4.65</v>
      </c>
      <c r="F165" s="56" t="n">
        <f aca="false">Narxlar!$C$135</f>
        <v>1</v>
      </c>
      <c r="G165" s="75" t="n">
        <f aca="false">E165*F165</f>
        <v>4.65</v>
      </c>
      <c r="H165" s="5" t="s">
        <v>424</v>
      </c>
      <c r="I165" s="7" t="n">
        <f aca="false">Narxlar!$C$6</f>
        <v>12</v>
      </c>
      <c r="J165" s="77" t="n">
        <f aca="false">G165*I165</f>
        <v>55.8</v>
      </c>
      <c r="K165" s="24" t="s">
        <v>128</v>
      </c>
    </row>
    <row r="166" customFormat="false" ht="15" hidden="false" customHeight="false" outlineLevel="0" collapsed="false">
      <c r="A166" s="5" t="n">
        <v>131</v>
      </c>
      <c r="B166" s="6" t="s">
        <v>313</v>
      </c>
      <c r="C166" s="6" t="s">
        <v>9</v>
      </c>
      <c r="D166" s="6" t="s">
        <v>515</v>
      </c>
      <c r="E166" s="56" t="n">
        <f aca="false">Narxlar!$C$138</f>
        <v>1</v>
      </c>
      <c r="F166" s="56" t="n">
        <f aca="false">Narxlar!$C$135</f>
        <v>1</v>
      </c>
      <c r="G166" s="75" t="n">
        <f aca="false">E166*F166</f>
        <v>1</v>
      </c>
      <c r="H166" s="5" t="s">
        <v>424</v>
      </c>
      <c r="I166" s="7" t="n">
        <f aca="false">Narxlar!$C$6</f>
        <v>12</v>
      </c>
      <c r="J166" s="77" t="n">
        <f aca="false">G166*I166</f>
        <v>12</v>
      </c>
      <c r="K166" s="24" t="s">
        <v>128</v>
      </c>
    </row>
    <row r="167" customFormat="false" ht="15" hidden="false" customHeight="false" outlineLevel="0" collapsed="false">
      <c r="A167" s="5" t="n">
        <v>132</v>
      </c>
      <c r="B167" s="6" t="s">
        <v>313</v>
      </c>
      <c r="C167" s="6" t="s">
        <v>10</v>
      </c>
      <c r="D167" s="6" t="s">
        <v>560</v>
      </c>
      <c r="E167" s="74" t="n">
        <v>5.8</v>
      </c>
      <c r="F167" s="56" t="n">
        <f aca="false">Narxlar!$C$140</f>
        <v>3.5</v>
      </c>
      <c r="G167" s="75" t="n">
        <f aca="false">E167*F167</f>
        <v>20.3</v>
      </c>
      <c r="H167" s="5" t="s">
        <v>424</v>
      </c>
      <c r="I167" s="7" t="n">
        <f aca="false">Narxlar!$C$7</f>
        <v>15.5</v>
      </c>
      <c r="J167" s="77" t="n">
        <f aca="false">G167*I167</f>
        <v>314.65</v>
      </c>
      <c r="K167" s="24" t="s">
        <v>169</v>
      </c>
    </row>
    <row r="168" customFormat="false" ht="15" hidden="false" customHeight="false" outlineLevel="0" collapsed="false">
      <c r="A168" s="5" t="n">
        <v>133</v>
      </c>
      <c r="B168" s="6" t="s">
        <v>313</v>
      </c>
      <c r="C168" s="6" t="s">
        <v>10</v>
      </c>
      <c r="D168" s="6" t="s">
        <v>561</v>
      </c>
      <c r="E168" s="74" t="n">
        <v>2.8</v>
      </c>
      <c r="F168" s="56" t="n">
        <f aca="false">Narxlar!$C$140</f>
        <v>3.5</v>
      </c>
      <c r="G168" s="75" t="n">
        <f aca="false">E168*F168</f>
        <v>9.8</v>
      </c>
      <c r="H168" s="5" t="s">
        <v>424</v>
      </c>
      <c r="I168" s="7" t="n">
        <f aca="false">Narxlar!$C$7</f>
        <v>15.5</v>
      </c>
      <c r="J168" s="77" t="n">
        <f aca="false">G168*I168</f>
        <v>151.9</v>
      </c>
      <c r="K168" s="24" t="s">
        <v>169</v>
      </c>
    </row>
    <row r="169" customFormat="false" ht="15" hidden="false" customHeight="false" outlineLevel="0" collapsed="false">
      <c r="A169" s="5" t="n">
        <v>134</v>
      </c>
      <c r="B169" s="6" t="s">
        <v>313</v>
      </c>
      <c r="C169" s="6" t="s">
        <v>13</v>
      </c>
      <c r="D169" s="6" t="s">
        <v>519</v>
      </c>
      <c r="E169" s="74"/>
      <c r="F169" s="75"/>
      <c r="G169" s="76" t="n">
        <v>1</v>
      </c>
      <c r="H169" s="5" t="s">
        <v>357</v>
      </c>
      <c r="I169" s="7" t="n">
        <f aca="false">Narxlar!$C$12</f>
        <v>168</v>
      </c>
      <c r="J169" s="77" t="n">
        <f aca="false">G169*I169</f>
        <v>168</v>
      </c>
      <c r="K169" s="24" t="s">
        <v>180</v>
      </c>
    </row>
    <row r="170" customFormat="false" ht="15" hidden="false" customHeight="false" outlineLevel="0" collapsed="false">
      <c r="A170" s="5" t="n">
        <v>135</v>
      </c>
      <c r="B170" s="6" t="s">
        <v>313</v>
      </c>
      <c r="C170" s="6" t="s">
        <v>24</v>
      </c>
      <c r="D170" s="6" t="s">
        <v>520</v>
      </c>
      <c r="E170" s="74"/>
      <c r="F170" s="75"/>
      <c r="G170" s="76" t="n">
        <v>1</v>
      </c>
      <c r="H170" s="5" t="s">
        <v>351</v>
      </c>
      <c r="I170" s="7" t="n">
        <f aca="false">Narxlar!$C$101</f>
        <v>150</v>
      </c>
      <c r="J170" s="77" t="n">
        <f aca="false">G170*I170</f>
        <v>150</v>
      </c>
      <c r="K170" s="24" t="s">
        <v>226</v>
      </c>
    </row>
    <row r="171" customFormat="false" ht="15" hidden="false" customHeight="false" outlineLevel="0" collapsed="false">
      <c r="A171" s="78"/>
      <c r="B171" s="78"/>
      <c r="C171" s="78"/>
      <c r="D171" s="11" t="s">
        <v>562</v>
      </c>
      <c r="E171" s="78"/>
      <c r="F171" s="78"/>
      <c r="G171" s="78"/>
      <c r="H171" s="78"/>
      <c r="I171" s="78"/>
      <c r="J171" s="12" t="n">
        <f aca="false">SUM(J159:J170)</f>
        <v>1731.45</v>
      </c>
    </row>
    <row r="173" customFormat="false" ht="15" hidden="false" customHeight="false" outlineLevel="0" collapsed="false">
      <c r="A173" s="54" t="s">
        <v>314</v>
      </c>
      <c r="B173" s="55"/>
      <c r="C173" s="55"/>
      <c r="D173" s="55"/>
      <c r="E173" s="55"/>
      <c r="F173" s="55"/>
      <c r="G173" s="55"/>
      <c r="H173" s="55"/>
      <c r="I173" s="55"/>
      <c r="J173" s="55"/>
    </row>
    <row r="174" customFormat="false" ht="15" hidden="false" customHeight="false" outlineLevel="0" collapsed="false">
      <c r="A174" s="5" t="n">
        <v>136</v>
      </c>
      <c r="B174" s="6" t="s">
        <v>314</v>
      </c>
      <c r="C174" s="6" t="s">
        <v>8</v>
      </c>
      <c r="D174" s="6" t="s">
        <v>510</v>
      </c>
      <c r="E174" s="74" t="n">
        <v>2.35</v>
      </c>
      <c r="F174" s="56" t="n">
        <f aca="false">Narxlar!$C$134</f>
        <v>2.5</v>
      </c>
      <c r="G174" s="75" t="n">
        <f aca="false">E174*F174</f>
        <v>5.875</v>
      </c>
      <c r="H174" s="5" t="s">
        <v>424</v>
      </c>
      <c r="I174" s="7" t="n">
        <f aca="false">Narxlar!$C$5</f>
        <v>55</v>
      </c>
      <c r="J174" s="77" t="n">
        <f aca="false">G174*I174</f>
        <v>323.125</v>
      </c>
      <c r="K174" s="24" t="s">
        <v>168</v>
      </c>
    </row>
    <row r="175" customFormat="false" ht="15" hidden="false" customHeight="false" outlineLevel="0" collapsed="false">
      <c r="A175" s="5" t="n">
        <v>137</v>
      </c>
      <c r="B175" s="6" t="s">
        <v>314</v>
      </c>
      <c r="C175" s="6" t="s">
        <v>8</v>
      </c>
      <c r="D175" s="6" t="s">
        <v>510</v>
      </c>
      <c r="E175" s="74" t="n">
        <v>2.35</v>
      </c>
      <c r="F175" s="56" t="n">
        <f aca="false">Narxlar!$C$134</f>
        <v>2.5</v>
      </c>
      <c r="G175" s="75" t="n">
        <f aca="false">E175*F175</f>
        <v>5.875</v>
      </c>
      <c r="H175" s="5" t="s">
        <v>424</v>
      </c>
      <c r="I175" s="7" t="n">
        <f aca="false">Narxlar!$C$5</f>
        <v>55</v>
      </c>
      <c r="J175" s="77" t="n">
        <f aca="false">G175*I175</f>
        <v>323.125</v>
      </c>
      <c r="K175" s="24" t="s">
        <v>168</v>
      </c>
    </row>
    <row r="176" customFormat="false" ht="15" hidden="false" customHeight="false" outlineLevel="0" collapsed="false">
      <c r="A176" s="5" t="n">
        <v>138</v>
      </c>
      <c r="B176" s="6" t="s">
        <v>314</v>
      </c>
      <c r="C176" s="6" t="s">
        <v>8</v>
      </c>
      <c r="D176" s="6" t="s">
        <v>511</v>
      </c>
      <c r="E176" s="56" t="n">
        <f aca="false">Narxlar!$C$138</f>
        <v>1</v>
      </c>
      <c r="F176" s="56" t="n">
        <f aca="false">Narxlar!$C$134</f>
        <v>2.5</v>
      </c>
      <c r="G176" s="75" t="n">
        <f aca="false">E176*F176</f>
        <v>2.5</v>
      </c>
      <c r="H176" s="5" t="s">
        <v>424</v>
      </c>
      <c r="I176" s="7" t="n">
        <f aca="false">Narxlar!$C$5</f>
        <v>55</v>
      </c>
      <c r="J176" s="77" t="n">
        <f aca="false">G176*I176</f>
        <v>137.5</v>
      </c>
      <c r="K176" s="24" t="s">
        <v>168</v>
      </c>
    </row>
    <row r="177" customFormat="false" ht="15" hidden="false" customHeight="false" outlineLevel="0" collapsed="false">
      <c r="A177" s="5" t="n">
        <v>139</v>
      </c>
      <c r="B177" s="6" t="s">
        <v>314</v>
      </c>
      <c r="C177" s="6" t="s">
        <v>9</v>
      </c>
      <c r="D177" s="6" t="s">
        <v>512</v>
      </c>
      <c r="E177" s="74" t="n">
        <v>0.6</v>
      </c>
      <c r="F177" s="56" t="n">
        <f aca="false">Narxlar!$C$133</f>
        <v>3.5</v>
      </c>
      <c r="G177" s="75" t="n">
        <f aca="false">E177*F177</f>
        <v>2.1</v>
      </c>
      <c r="H177" s="5" t="s">
        <v>424</v>
      </c>
      <c r="I177" s="7" t="n">
        <f aca="false">Narxlar!$C$6</f>
        <v>12</v>
      </c>
      <c r="J177" s="77" t="n">
        <f aca="false">G177*I177</f>
        <v>25.2</v>
      </c>
      <c r="K177" s="24" t="s">
        <v>128</v>
      </c>
    </row>
    <row r="178" customFormat="false" ht="15" hidden="false" customHeight="false" outlineLevel="0" collapsed="false">
      <c r="A178" s="5" t="n">
        <v>140</v>
      </c>
      <c r="B178" s="6" t="s">
        <v>314</v>
      </c>
      <c r="C178" s="6" t="s">
        <v>9</v>
      </c>
      <c r="D178" s="6" t="s">
        <v>528</v>
      </c>
      <c r="E178" s="74" t="n">
        <v>0.9</v>
      </c>
      <c r="F178" s="56" t="n">
        <f aca="false">Narxlar!$C$133</f>
        <v>3.5</v>
      </c>
      <c r="G178" s="75" t="n">
        <f aca="false">E178*F178</f>
        <v>3.15</v>
      </c>
      <c r="H178" s="5" t="s">
        <v>424</v>
      </c>
      <c r="I178" s="7" t="n">
        <f aca="false">Narxlar!$C$6</f>
        <v>12</v>
      </c>
      <c r="J178" s="77" t="n">
        <f aca="false">G178*I178</f>
        <v>37.8</v>
      </c>
      <c r="K178" s="24" t="s">
        <v>128</v>
      </c>
    </row>
    <row r="179" customFormat="false" ht="15" hidden="false" customHeight="false" outlineLevel="0" collapsed="false">
      <c r="A179" s="5" t="n">
        <v>141</v>
      </c>
      <c r="B179" s="6" t="s">
        <v>314</v>
      </c>
      <c r="C179" s="6" t="s">
        <v>9</v>
      </c>
      <c r="D179" s="6" t="s">
        <v>513</v>
      </c>
      <c r="E179" s="74" t="n">
        <v>2.35</v>
      </c>
      <c r="F179" s="56" t="n">
        <f aca="false">Narxlar!$C$135</f>
        <v>1</v>
      </c>
      <c r="G179" s="75" t="n">
        <f aca="false">E179*F179</f>
        <v>2.35</v>
      </c>
      <c r="H179" s="5" t="s">
        <v>424</v>
      </c>
      <c r="I179" s="7" t="n">
        <f aca="false">Narxlar!$C$6</f>
        <v>12</v>
      </c>
      <c r="J179" s="77" t="n">
        <f aca="false">G179*I179</f>
        <v>28.2</v>
      </c>
      <c r="K179" s="24" t="s">
        <v>128</v>
      </c>
    </row>
    <row r="180" customFormat="false" ht="15" hidden="false" customHeight="false" outlineLevel="0" collapsed="false">
      <c r="A180" s="5" t="n">
        <v>142</v>
      </c>
      <c r="B180" s="6" t="s">
        <v>314</v>
      </c>
      <c r="C180" s="6" t="s">
        <v>9</v>
      </c>
      <c r="D180" s="6" t="s">
        <v>513</v>
      </c>
      <c r="E180" s="74" t="n">
        <v>2.35</v>
      </c>
      <c r="F180" s="56" t="n">
        <f aca="false">Narxlar!$C$135</f>
        <v>1</v>
      </c>
      <c r="G180" s="75" t="n">
        <f aca="false">E180*F180</f>
        <v>2.35</v>
      </c>
      <c r="H180" s="5" t="s">
        <v>424</v>
      </c>
      <c r="I180" s="7" t="n">
        <f aca="false">Narxlar!$C$6</f>
        <v>12</v>
      </c>
      <c r="J180" s="77" t="n">
        <f aca="false">G180*I180</f>
        <v>28.2</v>
      </c>
      <c r="K180" s="24" t="s">
        <v>128</v>
      </c>
    </row>
    <row r="181" customFormat="false" ht="15" hidden="false" customHeight="false" outlineLevel="0" collapsed="false">
      <c r="A181" s="5" t="n">
        <v>143</v>
      </c>
      <c r="B181" s="6" t="s">
        <v>314</v>
      </c>
      <c r="C181" s="6" t="s">
        <v>9</v>
      </c>
      <c r="D181" s="6" t="s">
        <v>515</v>
      </c>
      <c r="E181" s="56" t="n">
        <f aca="false">Narxlar!$C$138</f>
        <v>1</v>
      </c>
      <c r="F181" s="56" t="n">
        <f aca="false">Narxlar!$C$135</f>
        <v>1</v>
      </c>
      <c r="G181" s="75" t="n">
        <f aca="false">E181*F181</f>
        <v>1</v>
      </c>
      <c r="H181" s="5" t="s">
        <v>424</v>
      </c>
      <c r="I181" s="7" t="n">
        <f aca="false">Narxlar!$C$6</f>
        <v>12</v>
      </c>
      <c r="J181" s="77" t="n">
        <f aca="false">G181*I181</f>
        <v>12</v>
      </c>
      <c r="K181" s="24" t="s">
        <v>128</v>
      </c>
    </row>
    <row r="182" customFormat="false" ht="15" hidden="false" customHeight="false" outlineLevel="0" collapsed="false">
      <c r="A182" s="5" t="n">
        <v>144</v>
      </c>
      <c r="B182" s="6" t="s">
        <v>314</v>
      </c>
      <c r="C182" s="6" t="s">
        <v>10</v>
      </c>
      <c r="D182" s="6" t="s">
        <v>563</v>
      </c>
      <c r="E182" s="74" t="n">
        <v>5.7</v>
      </c>
      <c r="F182" s="56" t="n">
        <f aca="false">Narxlar!$C$140</f>
        <v>3.5</v>
      </c>
      <c r="G182" s="75" t="n">
        <f aca="false">E182*F182</f>
        <v>19.95</v>
      </c>
      <c r="H182" s="5" t="s">
        <v>424</v>
      </c>
      <c r="I182" s="7" t="n">
        <f aca="false">Narxlar!$C$7</f>
        <v>15.5</v>
      </c>
      <c r="J182" s="77" t="n">
        <f aca="false">G182*I182</f>
        <v>309.225</v>
      </c>
      <c r="K182" s="24" t="s">
        <v>169</v>
      </c>
    </row>
    <row r="183" customFormat="false" ht="15" hidden="false" customHeight="false" outlineLevel="0" collapsed="false">
      <c r="A183" s="5" t="n">
        <v>145</v>
      </c>
      <c r="B183" s="6" t="s">
        <v>314</v>
      </c>
      <c r="C183" s="6" t="s">
        <v>10</v>
      </c>
      <c r="D183" s="6" t="s">
        <v>542</v>
      </c>
      <c r="E183" s="74" t="n">
        <v>2.8</v>
      </c>
      <c r="F183" s="56" t="n">
        <f aca="false">Narxlar!$C$140</f>
        <v>3.5</v>
      </c>
      <c r="G183" s="75" t="n">
        <f aca="false">E183*F183</f>
        <v>9.8</v>
      </c>
      <c r="H183" s="5" t="s">
        <v>424</v>
      </c>
      <c r="I183" s="7" t="n">
        <f aca="false">Narxlar!$C$7</f>
        <v>15.5</v>
      </c>
      <c r="J183" s="77" t="n">
        <f aca="false">G183*I183</f>
        <v>151.9</v>
      </c>
      <c r="K183" s="24" t="s">
        <v>169</v>
      </c>
    </row>
    <row r="184" customFormat="false" ht="15" hidden="false" customHeight="false" outlineLevel="0" collapsed="false">
      <c r="A184" s="5" t="n">
        <v>146</v>
      </c>
      <c r="B184" s="6" t="s">
        <v>314</v>
      </c>
      <c r="C184" s="6" t="s">
        <v>13</v>
      </c>
      <c r="D184" s="6" t="s">
        <v>519</v>
      </c>
      <c r="E184" s="74"/>
      <c r="F184" s="75"/>
      <c r="G184" s="76" t="n">
        <v>1</v>
      </c>
      <c r="H184" s="5" t="s">
        <v>357</v>
      </c>
      <c r="I184" s="7" t="n">
        <f aca="false">Narxlar!$C$12</f>
        <v>168</v>
      </c>
      <c r="J184" s="77" t="n">
        <f aca="false">G184*I184</f>
        <v>168</v>
      </c>
      <c r="K184" s="24" t="s">
        <v>180</v>
      </c>
    </row>
    <row r="185" customFormat="false" ht="15" hidden="false" customHeight="false" outlineLevel="0" collapsed="false">
      <c r="A185" s="5" t="n">
        <v>147</v>
      </c>
      <c r="B185" s="6" t="s">
        <v>314</v>
      </c>
      <c r="C185" s="6" t="s">
        <v>24</v>
      </c>
      <c r="D185" s="6" t="s">
        <v>520</v>
      </c>
      <c r="E185" s="74"/>
      <c r="F185" s="75"/>
      <c r="G185" s="76" t="n">
        <v>1</v>
      </c>
      <c r="H185" s="5" t="s">
        <v>351</v>
      </c>
      <c r="I185" s="7" t="n">
        <f aca="false">Narxlar!$C$101</f>
        <v>150</v>
      </c>
      <c r="J185" s="77" t="n">
        <f aca="false">G185*I185</f>
        <v>150</v>
      </c>
      <c r="K185" s="24" t="s">
        <v>226</v>
      </c>
    </row>
    <row r="186" customFormat="false" ht="15" hidden="false" customHeight="false" outlineLevel="0" collapsed="false">
      <c r="A186" s="78"/>
      <c r="B186" s="78"/>
      <c r="C186" s="78"/>
      <c r="D186" s="11" t="s">
        <v>564</v>
      </c>
      <c r="E186" s="78"/>
      <c r="F186" s="78"/>
      <c r="G186" s="78"/>
      <c r="H186" s="78"/>
      <c r="I186" s="78"/>
      <c r="J186" s="12" t="n">
        <f aca="false">SUM(J174:J185)</f>
        <v>1694.275</v>
      </c>
    </row>
    <row r="188" customFormat="false" ht="15" hidden="false" customHeight="false" outlineLevel="0" collapsed="false">
      <c r="A188" s="54" t="s">
        <v>315</v>
      </c>
      <c r="B188" s="55"/>
      <c r="C188" s="55"/>
      <c r="D188" s="55"/>
      <c r="E188" s="55"/>
      <c r="F188" s="55"/>
      <c r="G188" s="55"/>
      <c r="H188" s="55"/>
      <c r="I188" s="55"/>
      <c r="J188" s="55"/>
    </row>
    <row r="189" customFormat="false" ht="15" hidden="false" customHeight="false" outlineLevel="0" collapsed="false">
      <c r="A189" s="5" t="n">
        <v>148</v>
      </c>
      <c r="B189" s="6" t="s">
        <v>315</v>
      </c>
      <c r="C189" s="6" t="s">
        <v>10</v>
      </c>
      <c r="D189" s="6" t="s">
        <v>565</v>
      </c>
      <c r="E189" s="74" t="n">
        <v>5.95</v>
      </c>
      <c r="F189" s="56" t="n">
        <f aca="false">Narxlar!$C$140</f>
        <v>3.5</v>
      </c>
      <c r="G189" s="75" t="n">
        <f aca="false">E189*F189</f>
        <v>20.825</v>
      </c>
      <c r="H189" s="5" t="s">
        <v>424</v>
      </c>
      <c r="I189" s="7" t="n">
        <f aca="false">Narxlar!$C$7</f>
        <v>15.5</v>
      </c>
      <c r="J189" s="77" t="n">
        <f aca="false">G189*I189</f>
        <v>322.7875</v>
      </c>
      <c r="K189" s="24" t="s">
        <v>169</v>
      </c>
    </row>
    <row r="190" customFormat="false" ht="15" hidden="false" customHeight="false" outlineLevel="0" collapsed="false">
      <c r="A190" s="5" t="n">
        <v>149</v>
      </c>
      <c r="B190" s="6" t="s">
        <v>315</v>
      </c>
      <c r="C190" s="6" t="s">
        <v>10</v>
      </c>
      <c r="D190" s="6" t="s">
        <v>566</v>
      </c>
      <c r="E190" s="56" t="n">
        <f aca="false">Narxlar!$C$139</f>
        <v>0.9</v>
      </c>
      <c r="F190" s="56" t="n">
        <f aca="false">Narxlar!$C$136</f>
        <v>2.1</v>
      </c>
      <c r="G190" s="75" t="n">
        <f aca="false">-E190*F190</f>
        <v>-1.89</v>
      </c>
      <c r="H190" s="5" t="s">
        <v>424</v>
      </c>
      <c r="I190" s="7" t="n">
        <f aca="false">Narxlar!$C$7</f>
        <v>15.5</v>
      </c>
      <c r="J190" s="77" t="n">
        <f aca="false">G190*I190</f>
        <v>-29.295</v>
      </c>
      <c r="K190" s="24" t="s">
        <v>169</v>
      </c>
    </row>
    <row r="191" customFormat="false" ht="15" hidden="false" customHeight="false" outlineLevel="0" collapsed="false">
      <c r="A191" s="5" t="n">
        <v>150</v>
      </c>
      <c r="B191" s="6" t="s">
        <v>315</v>
      </c>
      <c r="C191" s="6" t="s">
        <v>10</v>
      </c>
      <c r="D191" s="6" t="s">
        <v>567</v>
      </c>
      <c r="E191" s="74" t="n">
        <v>2.95</v>
      </c>
      <c r="F191" s="56" t="n">
        <f aca="false">Narxlar!$C$140</f>
        <v>3.5</v>
      </c>
      <c r="G191" s="75" t="n">
        <f aca="false">E191*F191</f>
        <v>10.325</v>
      </c>
      <c r="H191" s="5" t="s">
        <v>424</v>
      </c>
      <c r="I191" s="7" t="n">
        <f aca="false">Narxlar!$C$7</f>
        <v>15.5</v>
      </c>
      <c r="J191" s="77" t="n">
        <f aca="false">G191*I191</f>
        <v>160.0375</v>
      </c>
      <c r="K191" s="24" t="s">
        <v>169</v>
      </c>
    </row>
    <row r="192" customFormat="false" ht="15" hidden="false" customHeight="false" outlineLevel="0" collapsed="false">
      <c r="A192" s="5" t="n">
        <v>151</v>
      </c>
      <c r="B192" s="6" t="s">
        <v>315</v>
      </c>
      <c r="C192" s="6" t="s">
        <v>13</v>
      </c>
      <c r="D192" s="6" t="s">
        <v>519</v>
      </c>
      <c r="E192" s="74"/>
      <c r="F192" s="75"/>
      <c r="G192" s="76" t="n">
        <v>1</v>
      </c>
      <c r="H192" s="5" t="s">
        <v>357</v>
      </c>
      <c r="I192" s="7" t="n">
        <f aca="false">Narxlar!$C$12</f>
        <v>168</v>
      </c>
      <c r="J192" s="77" t="n">
        <f aca="false">G192*I192</f>
        <v>168</v>
      </c>
      <c r="K192" s="24" t="s">
        <v>180</v>
      </c>
    </row>
    <row r="193" customFormat="false" ht="15" hidden="false" customHeight="false" outlineLevel="0" collapsed="false">
      <c r="A193" s="78"/>
      <c r="B193" s="78"/>
      <c r="C193" s="78"/>
      <c r="D193" s="11" t="s">
        <v>568</v>
      </c>
      <c r="E193" s="78"/>
      <c r="F193" s="78"/>
      <c r="G193" s="78"/>
      <c r="H193" s="78"/>
      <c r="I193" s="78"/>
      <c r="J193" s="12" t="n">
        <f aca="false">SUM(J189:J192)</f>
        <v>621.53</v>
      </c>
    </row>
    <row r="195" customFormat="false" ht="15" hidden="false" customHeight="false" outlineLevel="0" collapsed="false">
      <c r="A195" s="54" t="s">
        <v>317</v>
      </c>
      <c r="B195" s="55"/>
      <c r="C195" s="55"/>
      <c r="D195" s="55"/>
      <c r="E195" s="55"/>
      <c r="F195" s="55"/>
      <c r="G195" s="55"/>
      <c r="H195" s="55"/>
      <c r="I195" s="55"/>
      <c r="J195" s="55"/>
    </row>
    <row r="196" customFormat="false" ht="15" hidden="false" customHeight="false" outlineLevel="0" collapsed="false">
      <c r="A196" s="5" t="n">
        <v>152</v>
      </c>
      <c r="B196" s="6" t="s">
        <v>317</v>
      </c>
      <c r="C196" s="6" t="s">
        <v>9</v>
      </c>
      <c r="D196" s="6" t="s">
        <v>569</v>
      </c>
      <c r="E196" s="74" t="n">
        <v>4.5</v>
      </c>
      <c r="F196" s="56" t="n">
        <f aca="false">Narxlar!$C$135</f>
        <v>1</v>
      </c>
      <c r="G196" s="75" t="n">
        <f aca="false">E196*F196</f>
        <v>4.5</v>
      </c>
      <c r="H196" s="5" t="s">
        <v>424</v>
      </c>
      <c r="I196" s="7" t="n">
        <f aca="false">Narxlar!$C$6</f>
        <v>12</v>
      </c>
      <c r="J196" s="77" t="n">
        <f aca="false">G196*I196</f>
        <v>54</v>
      </c>
      <c r="K196" s="24" t="s">
        <v>128</v>
      </c>
    </row>
    <row r="197" customFormat="false" ht="15" hidden="false" customHeight="false" outlineLevel="0" collapsed="false">
      <c r="A197" s="5" t="n">
        <v>153</v>
      </c>
      <c r="B197" s="6" t="s">
        <v>317</v>
      </c>
      <c r="C197" s="6" t="s">
        <v>9</v>
      </c>
      <c r="D197" s="6" t="s">
        <v>570</v>
      </c>
      <c r="E197" s="74" t="n">
        <v>0.4</v>
      </c>
      <c r="F197" s="56" t="n">
        <f aca="false">Narxlar!$C$133</f>
        <v>3.5</v>
      </c>
      <c r="G197" s="75" t="n">
        <f aca="false">E197*F197</f>
        <v>1.4</v>
      </c>
      <c r="H197" s="5" t="s">
        <v>424</v>
      </c>
      <c r="I197" s="7" t="n">
        <f aca="false">Narxlar!$C$6</f>
        <v>12</v>
      </c>
      <c r="J197" s="77" t="n">
        <f aca="false">G197*I197</f>
        <v>16.8</v>
      </c>
      <c r="K197" s="24" t="s">
        <v>128</v>
      </c>
    </row>
    <row r="198" customFormat="false" ht="15" hidden="false" customHeight="false" outlineLevel="0" collapsed="false">
      <c r="A198" s="5" t="n">
        <v>154</v>
      </c>
      <c r="B198" s="6" t="s">
        <v>317</v>
      </c>
      <c r="C198" s="6" t="s">
        <v>9</v>
      </c>
      <c r="D198" s="6" t="s">
        <v>571</v>
      </c>
      <c r="E198" s="74" t="n">
        <v>4.6</v>
      </c>
      <c r="F198" s="56" t="n">
        <f aca="false">Narxlar!$C$135</f>
        <v>1</v>
      </c>
      <c r="G198" s="75" t="n">
        <f aca="false">E198*F198</f>
        <v>4.6</v>
      </c>
      <c r="H198" s="5" t="s">
        <v>424</v>
      </c>
      <c r="I198" s="7" t="n">
        <f aca="false">Narxlar!$C$6</f>
        <v>12</v>
      </c>
      <c r="J198" s="77" t="n">
        <f aca="false">G198*I198</f>
        <v>55.2</v>
      </c>
      <c r="K198" s="24" t="s">
        <v>128</v>
      </c>
    </row>
    <row r="199" customFormat="false" ht="15" hidden="false" customHeight="false" outlineLevel="0" collapsed="false">
      <c r="A199" s="5" t="n">
        <v>155</v>
      </c>
      <c r="B199" s="6" t="s">
        <v>317</v>
      </c>
      <c r="C199" s="6" t="s">
        <v>9</v>
      </c>
      <c r="D199" s="6" t="s">
        <v>572</v>
      </c>
      <c r="E199" s="74" t="n">
        <v>0.55</v>
      </c>
      <c r="F199" s="56" t="n">
        <f aca="false">Narxlar!$C$133</f>
        <v>3.5</v>
      </c>
      <c r="G199" s="75" t="n">
        <f aca="false">E199*F199</f>
        <v>1.925</v>
      </c>
      <c r="H199" s="5" t="s">
        <v>424</v>
      </c>
      <c r="I199" s="7" t="n">
        <f aca="false">Narxlar!$C$6</f>
        <v>12</v>
      </c>
      <c r="J199" s="77" t="n">
        <f aca="false">G199*I199</f>
        <v>23.1</v>
      </c>
      <c r="K199" s="24" t="s">
        <v>128</v>
      </c>
    </row>
    <row r="200" customFormat="false" ht="15" hidden="false" customHeight="false" outlineLevel="0" collapsed="false">
      <c r="A200" s="5" t="n">
        <v>156</v>
      </c>
      <c r="B200" s="6" t="s">
        <v>317</v>
      </c>
      <c r="C200" s="6" t="s">
        <v>9</v>
      </c>
      <c r="D200" s="6" t="s">
        <v>573</v>
      </c>
      <c r="E200" s="74" t="n">
        <v>1.7</v>
      </c>
      <c r="F200" s="56" t="n">
        <f aca="false">Narxlar!$C$135</f>
        <v>1</v>
      </c>
      <c r="G200" s="75" t="n">
        <f aca="false">E200*F200</f>
        <v>1.7</v>
      </c>
      <c r="H200" s="5" t="s">
        <v>424</v>
      </c>
      <c r="I200" s="7" t="n">
        <f aca="false">Narxlar!$C$6</f>
        <v>12</v>
      </c>
      <c r="J200" s="77" t="n">
        <f aca="false">G200*I200</f>
        <v>20.4</v>
      </c>
      <c r="K200" s="24" t="s">
        <v>128</v>
      </c>
    </row>
    <row r="201" customFormat="false" ht="15" hidden="false" customHeight="false" outlineLevel="0" collapsed="false">
      <c r="A201" s="5" t="n">
        <v>157</v>
      </c>
      <c r="B201" s="6" t="s">
        <v>317</v>
      </c>
      <c r="C201" s="6" t="s">
        <v>9</v>
      </c>
      <c r="D201" s="6" t="s">
        <v>574</v>
      </c>
      <c r="E201" s="74" t="n">
        <v>2.35</v>
      </c>
      <c r="F201" s="56" t="n">
        <f aca="false">Narxlar!$C$135</f>
        <v>1</v>
      </c>
      <c r="G201" s="75" t="n">
        <f aca="false">E201*F201</f>
        <v>2.35</v>
      </c>
      <c r="H201" s="5" t="s">
        <v>424</v>
      </c>
      <c r="I201" s="7" t="n">
        <f aca="false">Narxlar!$C$6</f>
        <v>12</v>
      </c>
      <c r="J201" s="77" t="n">
        <f aca="false">G201*I201</f>
        <v>28.2</v>
      </c>
      <c r="K201" s="24" t="s">
        <v>128</v>
      </c>
    </row>
    <row r="202" customFormat="false" ht="15" hidden="false" customHeight="false" outlineLevel="0" collapsed="false">
      <c r="A202" s="5" t="n">
        <v>158</v>
      </c>
      <c r="B202" s="6" t="s">
        <v>317</v>
      </c>
      <c r="C202" s="6" t="s">
        <v>9</v>
      </c>
      <c r="D202" s="6" t="s">
        <v>574</v>
      </c>
      <c r="E202" s="74" t="n">
        <v>2.35</v>
      </c>
      <c r="F202" s="56" t="n">
        <f aca="false">Narxlar!$C$135</f>
        <v>1</v>
      </c>
      <c r="G202" s="75" t="n">
        <f aca="false">E202*F202</f>
        <v>2.35</v>
      </c>
      <c r="H202" s="5" t="s">
        <v>424</v>
      </c>
      <c r="I202" s="7" t="n">
        <f aca="false">Narxlar!$C$6</f>
        <v>12</v>
      </c>
      <c r="J202" s="77" t="n">
        <f aca="false">G202*I202</f>
        <v>28.2</v>
      </c>
      <c r="K202" s="24" t="s">
        <v>128</v>
      </c>
    </row>
    <row r="203" customFormat="false" ht="15" hidden="false" customHeight="false" outlineLevel="0" collapsed="false">
      <c r="A203" s="5" t="n">
        <v>159</v>
      </c>
      <c r="B203" s="6" t="s">
        <v>317</v>
      </c>
      <c r="C203" s="6" t="s">
        <v>9</v>
      </c>
      <c r="D203" s="6" t="s">
        <v>575</v>
      </c>
      <c r="E203" s="74" t="n">
        <v>0.2</v>
      </c>
      <c r="F203" s="56" t="n">
        <f aca="false">Narxlar!$C$133</f>
        <v>3.5</v>
      </c>
      <c r="G203" s="75" t="n">
        <f aca="false">E203*F203</f>
        <v>0.7</v>
      </c>
      <c r="H203" s="5" t="s">
        <v>424</v>
      </c>
      <c r="I203" s="7" t="n">
        <f aca="false">Narxlar!$C$6</f>
        <v>12</v>
      </c>
      <c r="J203" s="77" t="n">
        <f aca="false">G203*I203</f>
        <v>8.4</v>
      </c>
      <c r="K203" s="24" t="s">
        <v>128</v>
      </c>
    </row>
    <row r="204" customFormat="false" ht="15" hidden="false" customHeight="false" outlineLevel="0" collapsed="false">
      <c r="A204" s="5" t="n">
        <v>160</v>
      </c>
      <c r="B204" s="6" t="s">
        <v>317</v>
      </c>
      <c r="C204" s="6" t="s">
        <v>9</v>
      </c>
      <c r="D204" s="6" t="s">
        <v>576</v>
      </c>
      <c r="E204" s="74" t="n">
        <v>0.15</v>
      </c>
      <c r="F204" s="56" t="n">
        <f aca="false">Narxlar!$C$135</f>
        <v>1</v>
      </c>
      <c r="G204" s="75" t="n">
        <f aca="false">E204*F204</f>
        <v>0.15</v>
      </c>
      <c r="H204" s="5" t="s">
        <v>424</v>
      </c>
      <c r="I204" s="7" t="n">
        <f aca="false">Narxlar!$C$6</f>
        <v>12</v>
      </c>
      <c r="J204" s="77" t="n">
        <f aca="false">G204*I204</f>
        <v>1.8</v>
      </c>
      <c r="K204" s="24" t="s">
        <v>128</v>
      </c>
    </row>
    <row r="205" customFormat="false" ht="15" hidden="false" customHeight="false" outlineLevel="0" collapsed="false">
      <c r="A205" s="5" t="n">
        <v>161</v>
      </c>
      <c r="B205" s="6" t="s">
        <v>317</v>
      </c>
      <c r="C205" s="6" t="s">
        <v>9</v>
      </c>
      <c r="D205" s="6" t="s">
        <v>576</v>
      </c>
      <c r="E205" s="74" t="n">
        <v>4.65</v>
      </c>
      <c r="F205" s="56" t="n">
        <f aca="false">Narxlar!$C$135</f>
        <v>1</v>
      </c>
      <c r="G205" s="75" t="n">
        <f aca="false">E205*F205</f>
        <v>4.65</v>
      </c>
      <c r="H205" s="5" t="s">
        <v>424</v>
      </c>
      <c r="I205" s="7" t="n">
        <f aca="false">Narxlar!$C$6</f>
        <v>12</v>
      </c>
      <c r="J205" s="77" t="n">
        <f aca="false">G205*I205</f>
        <v>55.8</v>
      </c>
      <c r="K205" s="24" t="s">
        <v>128</v>
      </c>
    </row>
    <row r="206" customFormat="false" ht="15" hidden="false" customHeight="false" outlineLevel="0" collapsed="false">
      <c r="A206" s="5" t="n">
        <v>162</v>
      </c>
      <c r="B206" s="6" t="s">
        <v>317</v>
      </c>
      <c r="C206" s="6" t="s">
        <v>9</v>
      </c>
      <c r="D206" s="6" t="s">
        <v>575</v>
      </c>
      <c r="E206" s="74" t="n">
        <v>0.2</v>
      </c>
      <c r="F206" s="56" t="n">
        <f aca="false">Narxlar!$C$133</f>
        <v>3.5</v>
      </c>
      <c r="G206" s="75" t="n">
        <f aca="false">E206*F206</f>
        <v>0.7</v>
      </c>
      <c r="H206" s="5" t="s">
        <v>424</v>
      </c>
      <c r="I206" s="7" t="n">
        <f aca="false">Narxlar!$C$6</f>
        <v>12</v>
      </c>
      <c r="J206" s="77" t="n">
        <f aca="false">G206*I206</f>
        <v>8.4</v>
      </c>
      <c r="K206" s="24" t="s">
        <v>128</v>
      </c>
    </row>
    <row r="207" customFormat="false" ht="15" hidden="false" customHeight="false" outlineLevel="0" collapsed="false">
      <c r="A207" s="5" t="n">
        <v>163</v>
      </c>
      <c r="B207" s="6" t="s">
        <v>317</v>
      </c>
      <c r="C207" s="6" t="s">
        <v>9</v>
      </c>
      <c r="D207" s="6" t="s">
        <v>577</v>
      </c>
      <c r="E207" s="74" t="n">
        <v>2.85</v>
      </c>
      <c r="F207" s="56" t="n">
        <f aca="false">Narxlar!$C$135</f>
        <v>1</v>
      </c>
      <c r="G207" s="75" t="n">
        <f aca="false">E207*F207</f>
        <v>2.85</v>
      </c>
      <c r="H207" s="5" t="s">
        <v>424</v>
      </c>
      <c r="I207" s="7" t="n">
        <f aca="false">Narxlar!$C$6</f>
        <v>12</v>
      </c>
      <c r="J207" s="77" t="n">
        <f aca="false">G207*I207</f>
        <v>34.2</v>
      </c>
      <c r="K207" s="24" t="s">
        <v>128</v>
      </c>
    </row>
    <row r="208" customFormat="false" ht="15" hidden="false" customHeight="false" outlineLevel="0" collapsed="false">
      <c r="A208" s="5" t="n">
        <v>164</v>
      </c>
      <c r="B208" s="6" t="s">
        <v>317</v>
      </c>
      <c r="C208" s="6" t="s">
        <v>9</v>
      </c>
      <c r="D208" s="6" t="s">
        <v>523</v>
      </c>
      <c r="E208" s="74" t="n">
        <v>0.35</v>
      </c>
      <c r="F208" s="56" t="n">
        <f aca="false">Narxlar!$C$133</f>
        <v>3.5</v>
      </c>
      <c r="G208" s="75" t="n">
        <f aca="false">E208*F208</f>
        <v>1.225</v>
      </c>
      <c r="H208" s="5" t="s">
        <v>424</v>
      </c>
      <c r="I208" s="7" t="n">
        <f aca="false">Narxlar!$C$6</f>
        <v>12</v>
      </c>
      <c r="J208" s="77" t="n">
        <f aca="false">G208*I208</f>
        <v>14.7</v>
      </c>
      <c r="K208" s="24" t="s">
        <v>128</v>
      </c>
    </row>
    <row r="209" customFormat="false" ht="15" hidden="false" customHeight="false" outlineLevel="0" collapsed="false">
      <c r="A209" s="5" t="n">
        <v>165</v>
      </c>
      <c r="B209" s="6" t="s">
        <v>317</v>
      </c>
      <c r="C209" s="6" t="s">
        <v>9</v>
      </c>
      <c r="D209" s="6" t="s">
        <v>523</v>
      </c>
      <c r="E209" s="74" t="n">
        <v>0.35</v>
      </c>
      <c r="F209" s="56" t="n">
        <f aca="false">Narxlar!$C$133</f>
        <v>3.5</v>
      </c>
      <c r="G209" s="75" t="n">
        <f aca="false">E209*F209</f>
        <v>1.225</v>
      </c>
      <c r="H209" s="5" t="s">
        <v>424</v>
      </c>
      <c r="I209" s="7" t="n">
        <f aca="false">Narxlar!$C$6</f>
        <v>12</v>
      </c>
      <c r="J209" s="77" t="n">
        <f aca="false">G209*I209</f>
        <v>14.7</v>
      </c>
      <c r="K209" s="24" t="s">
        <v>128</v>
      </c>
    </row>
    <row r="210" customFormat="false" ht="15" hidden="false" customHeight="false" outlineLevel="0" collapsed="false">
      <c r="A210" s="5" t="n">
        <v>166</v>
      </c>
      <c r="B210" s="6" t="s">
        <v>317</v>
      </c>
      <c r="C210" s="6" t="s">
        <v>9</v>
      </c>
      <c r="D210" s="6" t="s">
        <v>578</v>
      </c>
      <c r="E210" s="56" t="n">
        <f aca="false">Narxlar!$C$138</f>
        <v>1</v>
      </c>
      <c r="F210" s="56" t="n">
        <f aca="false">Narxlar!$C$135</f>
        <v>1</v>
      </c>
      <c r="G210" s="75" t="n">
        <f aca="false">E210*F210</f>
        <v>1</v>
      </c>
      <c r="H210" s="5" t="s">
        <v>424</v>
      </c>
      <c r="I210" s="7" t="n">
        <f aca="false">Narxlar!$C$6</f>
        <v>12</v>
      </c>
      <c r="J210" s="77" t="n">
        <f aca="false">G210*I210</f>
        <v>12</v>
      </c>
      <c r="K210" s="24" t="s">
        <v>128</v>
      </c>
    </row>
    <row r="211" customFormat="false" ht="15" hidden="false" customHeight="false" outlineLevel="0" collapsed="false">
      <c r="A211" s="5" t="n">
        <v>167</v>
      </c>
      <c r="B211" s="6" t="s">
        <v>317</v>
      </c>
      <c r="C211" s="6" t="s">
        <v>9</v>
      </c>
      <c r="D211" s="6" t="s">
        <v>579</v>
      </c>
      <c r="E211" s="56" t="n">
        <f aca="false">Narxlar!$C$138</f>
        <v>1</v>
      </c>
      <c r="F211" s="56" t="n">
        <f aca="false">Narxlar!$C$135</f>
        <v>1</v>
      </c>
      <c r="G211" s="75" t="n">
        <f aca="false">E211*F211</f>
        <v>1</v>
      </c>
      <c r="H211" s="5" t="s">
        <v>424</v>
      </c>
      <c r="I211" s="7" t="n">
        <f aca="false">Narxlar!$C$6</f>
        <v>12</v>
      </c>
      <c r="J211" s="77" t="n">
        <f aca="false">G211*I211</f>
        <v>12</v>
      </c>
      <c r="K211" s="24" t="s">
        <v>128</v>
      </c>
    </row>
    <row r="212" customFormat="false" ht="15" hidden="false" customHeight="false" outlineLevel="0" collapsed="false">
      <c r="A212" s="5" t="n">
        <v>168</v>
      </c>
      <c r="B212" s="6" t="s">
        <v>317</v>
      </c>
      <c r="C212" s="6" t="s">
        <v>9</v>
      </c>
      <c r="D212" s="6" t="s">
        <v>580</v>
      </c>
      <c r="E212" s="56" t="n">
        <f aca="false">Narxlar!$C$138</f>
        <v>1</v>
      </c>
      <c r="F212" s="56" t="n">
        <f aca="false">Narxlar!$C$135</f>
        <v>1</v>
      </c>
      <c r="G212" s="75" t="n">
        <f aca="false">E212*F212</f>
        <v>1</v>
      </c>
      <c r="H212" s="5" t="s">
        <v>424</v>
      </c>
      <c r="I212" s="7" t="n">
        <f aca="false">Narxlar!$C$6</f>
        <v>12</v>
      </c>
      <c r="J212" s="77" t="n">
        <f aca="false">G212*I212</f>
        <v>12</v>
      </c>
      <c r="K212" s="24" t="s">
        <v>128</v>
      </c>
    </row>
    <row r="213" customFormat="false" ht="15" hidden="false" customHeight="false" outlineLevel="0" collapsed="false">
      <c r="A213" s="5" t="n">
        <v>169</v>
      </c>
      <c r="B213" s="6" t="s">
        <v>317</v>
      </c>
      <c r="C213" s="6" t="s">
        <v>9</v>
      </c>
      <c r="D213" s="6" t="s">
        <v>581</v>
      </c>
      <c r="E213" s="56" t="n">
        <f aca="false">Narxlar!$C$138</f>
        <v>1</v>
      </c>
      <c r="F213" s="56" t="n">
        <f aca="false">Narxlar!$C$135</f>
        <v>1</v>
      </c>
      <c r="G213" s="75" t="n">
        <f aca="false">E213*F213</f>
        <v>1</v>
      </c>
      <c r="H213" s="5" t="s">
        <v>424</v>
      </c>
      <c r="I213" s="7" t="n">
        <f aca="false">Narxlar!$C$6</f>
        <v>12</v>
      </c>
      <c r="J213" s="77" t="n">
        <f aca="false">G213*I213</f>
        <v>12</v>
      </c>
      <c r="K213" s="24" t="s">
        <v>128</v>
      </c>
    </row>
    <row r="214" customFormat="false" ht="15" hidden="false" customHeight="false" outlineLevel="0" collapsed="false">
      <c r="A214" s="5" t="n">
        <v>170</v>
      </c>
      <c r="B214" s="6" t="s">
        <v>317</v>
      </c>
      <c r="C214" s="6" t="s">
        <v>9</v>
      </c>
      <c r="D214" s="6" t="s">
        <v>582</v>
      </c>
      <c r="E214" s="56" t="n">
        <f aca="false">Narxlar!$C$138</f>
        <v>1</v>
      </c>
      <c r="F214" s="56" t="n">
        <f aca="false">Narxlar!$C$135</f>
        <v>1</v>
      </c>
      <c r="G214" s="75" t="n">
        <f aca="false">E214*F214</f>
        <v>1</v>
      </c>
      <c r="H214" s="5" t="s">
        <v>424</v>
      </c>
      <c r="I214" s="7" t="n">
        <f aca="false">Narxlar!$C$6</f>
        <v>12</v>
      </c>
      <c r="J214" s="77" t="n">
        <f aca="false">G214*I214</f>
        <v>12</v>
      </c>
      <c r="K214" s="24" t="s">
        <v>128</v>
      </c>
    </row>
    <row r="215" customFormat="false" ht="15" hidden="false" customHeight="false" outlineLevel="0" collapsed="false">
      <c r="A215" s="5" t="n">
        <v>171</v>
      </c>
      <c r="B215" s="6" t="s">
        <v>317</v>
      </c>
      <c r="C215" s="6" t="s">
        <v>13</v>
      </c>
      <c r="D215" s="6" t="s">
        <v>583</v>
      </c>
      <c r="E215" s="74"/>
      <c r="F215" s="75"/>
      <c r="G215" s="76" t="n">
        <v>1</v>
      </c>
      <c r="H215" s="5" t="s">
        <v>357</v>
      </c>
      <c r="I215" s="7" t="n">
        <f aca="false">Narxlar!$C$11</f>
        <v>336</v>
      </c>
      <c r="J215" s="77" t="n">
        <f aca="false">G215*I215</f>
        <v>336</v>
      </c>
      <c r="K215" s="24" t="s">
        <v>182</v>
      </c>
    </row>
    <row r="216" customFormat="false" ht="15" hidden="false" customHeight="false" outlineLevel="0" collapsed="false">
      <c r="A216" s="5" t="n">
        <v>172</v>
      </c>
      <c r="B216" s="6" t="s">
        <v>317</v>
      </c>
      <c r="C216" s="6" t="s">
        <v>22</v>
      </c>
      <c r="D216" s="6" t="s">
        <v>584</v>
      </c>
      <c r="E216" s="74"/>
      <c r="F216" s="75"/>
      <c r="G216" s="76" t="n">
        <v>1</v>
      </c>
      <c r="H216" s="5" t="s">
        <v>351</v>
      </c>
      <c r="I216" s="7" t="n">
        <f aca="false">Narxlar!$C$127</f>
        <v>250</v>
      </c>
      <c r="J216" s="77" t="n">
        <f aca="false">G216*I216</f>
        <v>250</v>
      </c>
      <c r="K216" s="24" t="s">
        <v>218</v>
      </c>
    </row>
    <row r="217" customFormat="false" ht="15" hidden="false" customHeight="false" outlineLevel="0" collapsed="false">
      <c r="A217" s="5" t="n">
        <v>173</v>
      </c>
      <c r="B217" s="6" t="s">
        <v>317</v>
      </c>
      <c r="C217" s="6" t="s">
        <v>22</v>
      </c>
      <c r="D217" s="6" t="s">
        <v>585</v>
      </c>
      <c r="E217" s="74"/>
      <c r="F217" s="75"/>
      <c r="G217" s="76" t="n">
        <v>1</v>
      </c>
      <c r="H217" s="5" t="s">
        <v>357</v>
      </c>
      <c r="I217" s="7" t="n">
        <f aca="false">Narxlar!$C$128</f>
        <v>300</v>
      </c>
      <c r="J217" s="77" t="n">
        <f aca="false">G217*I217</f>
        <v>300</v>
      </c>
      <c r="K217" s="24" t="s">
        <v>254</v>
      </c>
    </row>
    <row r="218" customFormat="false" ht="15" hidden="false" customHeight="false" outlineLevel="0" collapsed="false">
      <c r="A218" s="5" t="n">
        <v>174</v>
      </c>
      <c r="B218" s="6" t="s">
        <v>317</v>
      </c>
      <c r="C218" s="6" t="s">
        <v>22</v>
      </c>
      <c r="D218" s="6" t="s">
        <v>586</v>
      </c>
      <c r="E218" s="74"/>
      <c r="F218" s="75"/>
      <c r="G218" s="76" t="n">
        <v>1</v>
      </c>
      <c r="H218" s="5" t="s">
        <v>357</v>
      </c>
      <c r="I218" s="7" t="n">
        <f aca="false">Narxlar!$C$129</f>
        <v>800</v>
      </c>
      <c r="J218" s="77" t="n">
        <f aca="false">G218*I218</f>
        <v>800</v>
      </c>
      <c r="K218" s="24" t="s">
        <v>120</v>
      </c>
    </row>
    <row r="219" customFormat="false" ht="15" hidden="false" customHeight="false" outlineLevel="0" collapsed="false">
      <c r="A219" s="5" t="n">
        <v>175</v>
      </c>
      <c r="B219" s="6" t="s">
        <v>317</v>
      </c>
      <c r="C219" s="6" t="s">
        <v>22</v>
      </c>
      <c r="D219" s="6" t="s">
        <v>587</v>
      </c>
      <c r="E219" s="74"/>
      <c r="F219" s="75"/>
      <c r="G219" s="76" t="n">
        <v>1</v>
      </c>
      <c r="H219" s="5" t="s">
        <v>357</v>
      </c>
      <c r="I219" s="7" t="n">
        <f aca="false">Narxlar!$C$130</f>
        <v>250</v>
      </c>
      <c r="J219" s="77" t="n">
        <f aca="false">G219*I219</f>
        <v>250</v>
      </c>
      <c r="K219" s="24" t="s">
        <v>220</v>
      </c>
    </row>
    <row r="220" customFormat="false" ht="15" hidden="false" customHeight="false" outlineLevel="0" collapsed="false">
      <c r="A220" s="78"/>
      <c r="B220" s="78"/>
      <c r="C220" s="78"/>
      <c r="D220" s="11" t="s">
        <v>588</v>
      </c>
      <c r="E220" s="78"/>
      <c r="F220" s="78"/>
      <c r="G220" s="78"/>
      <c r="H220" s="78"/>
      <c r="I220" s="78"/>
      <c r="J220" s="12" t="n">
        <f aca="false">SUM(J196:J219)</f>
        <v>2359.9</v>
      </c>
    </row>
    <row r="222" customFormat="false" ht="15" hidden="false" customHeight="false" outlineLevel="0" collapsed="false">
      <c r="A222" s="54" t="s">
        <v>318</v>
      </c>
      <c r="B222" s="55"/>
      <c r="C222" s="55"/>
      <c r="D222" s="55"/>
      <c r="E222" s="55"/>
      <c r="F222" s="55"/>
      <c r="G222" s="55"/>
      <c r="H222" s="55"/>
      <c r="I222" s="55"/>
      <c r="J222" s="55"/>
    </row>
    <row r="223" customFormat="false" ht="15" hidden="false" customHeight="false" outlineLevel="0" collapsed="false">
      <c r="A223" s="5" t="n">
        <v>176</v>
      </c>
      <c r="B223" s="6" t="s">
        <v>318</v>
      </c>
      <c r="C223" s="6" t="s">
        <v>9</v>
      </c>
      <c r="D223" s="6" t="s">
        <v>589</v>
      </c>
      <c r="E223" s="74" t="n">
        <v>0.15</v>
      </c>
      <c r="F223" s="56" t="n">
        <f aca="false">Narxlar!$C$133</f>
        <v>3.5</v>
      </c>
      <c r="G223" s="75" t="n">
        <f aca="false">E223*F223</f>
        <v>0.525</v>
      </c>
      <c r="H223" s="5" t="s">
        <v>424</v>
      </c>
      <c r="I223" s="7" t="n">
        <f aca="false">Narxlar!$C$6</f>
        <v>12</v>
      </c>
      <c r="J223" s="77" t="n">
        <f aca="false">G223*I223</f>
        <v>6.3</v>
      </c>
      <c r="K223" s="24" t="s">
        <v>128</v>
      </c>
    </row>
    <row r="224" customFormat="false" ht="15" hidden="false" customHeight="false" outlineLevel="0" collapsed="false">
      <c r="A224" s="5" t="n">
        <v>177</v>
      </c>
      <c r="B224" s="6" t="s">
        <v>318</v>
      </c>
      <c r="C224" s="6" t="s">
        <v>9</v>
      </c>
      <c r="D224" s="6" t="s">
        <v>590</v>
      </c>
      <c r="E224" s="74" t="n">
        <v>4.55</v>
      </c>
      <c r="F224" s="56" t="n">
        <f aca="false">Narxlar!$C$135</f>
        <v>1</v>
      </c>
      <c r="G224" s="75" t="n">
        <f aca="false">E224*F224</f>
        <v>4.55</v>
      </c>
      <c r="H224" s="5" t="s">
        <v>424</v>
      </c>
      <c r="I224" s="7" t="n">
        <f aca="false">Narxlar!$C$6</f>
        <v>12</v>
      </c>
      <c r="J224" s="77" t="n">
        <f aca="false">G224*I224</f>
        <v>54.6</v>
      </c>
      <c r="K224" s="24" t="s">
        <v>128</v>
      </c>
    </row>
    <row r="225" customFormat="false" ht="15" hidden="false" customHeight="false" outlineLevel="0" collapsed="false">
      <c r="A225" s="5" t="n">
        <v>178</v>
      </c>
      <c r="B225" s="6" t="s">
        <v>318</v>
      </c>
      <c r="C225" s="6" t="s">
        <v>9</v>
      </c>
      <c r="D225" s="6" t="s">
        <v>575</v>
      </c>
      <c r="E225" s="74" t="n">
        <v>0.2</v>
      </c>
      <c r="F225" s="56" t="n">
        <f aca="false">Narxlar!$C$133</f>
        <v>3.5</v>
      </c>
      <c r="G225" s="75" t="n">
        <f aca="false">E225*F225</f>
        <v>0.7</v>
      </c>
      <c r="H225" s="5" t="s">
        <v>424</v>
      </c>
      <c r="I225" s="7" t="n">
        <f aca="false">Narxlar!$C$6</f>
        <v>12</v>
      </c>
      <c r="J225" s="77" t="n">
        <f aca="false">G225*I225</f>
        <v>8.4</v>
      </c>
      <c r="K225" s="24" t="s">
        <v>128</v>
      </c>
    </row>
    <row r="226" customFormat="false" ht="15" hidden="false" customHeight="false" outlineLevel="0" collapsed="false">
      <c r="A226" s="5" t="n">
        <v>179</v>
      </c>
      <c r="B226" s="6" t="s">
        <v>318</v>
      </c>
      <c r="C226" s="6" t="s">
        <v>9</v>
      </c>
      <c r="D226" s="6" t="s">
        <v>591</v>
      </c>
      <c r="E226" s="74" t="n">
        <v>2.4</v>
      </c>
      <c r="F226" s="56" t="n">
        <f aca="false">Narxlar!$C$135</f>
        <v>1</v>
      </c>
      <c r="G226" s="75" t="n">
        <f aca="false">E226*F226</f>
        <v>2.4</v>
      </c>
      <c r="H226" s="5" t="s">
        <v>424</v>
      </c>
      <c r="I226" s="7" t="n">
        <f aca="false">Narxlar!$C$6</f>
        <v>12</v>
      </c>
      <c r="J226" s="77" t="n">
        <f aca="false">G226*I226</f>
        <v>28.8</v>
      </c>
      <c r="K226" s="24" t="s">
        <v>128</v>
      </c>
    </row>
    <row r="227" customFormat="false" ht="15" hidden="false" customHeight="false" outlineLevel="0" collapsed="false">
      <c r="A227" s="5" t="n">
        <v>180</v>
      </c>
      <c r="B227" s="6" t="s">
        <v>318</v>
      </c>
      <c r="C227" s="6" t="s">
        <v>9</v>
      </c>
      <c r="D227" s="6" t="s">
        <v>591</v>
      </c>
      <c r="E227" s="74" t="n">
        <v>2.4</v>
      </c>
      <c r="F227" s="56" t="n">
        <f aca="false">Narxlar!$C$135</f>
        <v>1</v>
      </c>
      <c r="G227" s="75" t="n">
        <f aca="false">E227*F227</f>
        <v>2.4</v>
      </c>
      <c r="H227" s="5" t="s">
        <v>424</v>
      </c>
      <c r="I227" s="7" t="n">
        <f aca="false">Narxlar!$C$6</f>
        <v>12</v>
      </c>
      <c r="J227" s="77" t="n">
        <f aca="false">G227*I227</f>
        <v>28.8</v>
      </c>
      <c r="K227" s="24" t="s">
        <v>128</v>
      </c>
    </row>
    <row r="228" customFormat="false" ht="15" hidden="false" customHeight="false" outlineLevel="0" collapsed="false">
      <c r="A228" s="5" t="n">
        <v>181</v>
      </c>
      <c r="B228" s="6" t="s">
        <v>318</v>
      </c>
      <c r="C228" s="6" t="s">
        <v>9</v>
      </c>
      <c r="D228" s="6" t="s">
        <v>592</v>
      </c>
      <c r="E228" s="74" t="n">
        <v>0.3</v>
      </c>
      <c r="F228" s="56" t="n">
        <f aca="false">Narxlar!$C$133</f>
        <v>3.5</v>
      </c>
      <c r="G228" s="75" t="n">
        <f aca="false">E228*F228</f>
        <v>1.05</v>
      </c>
      <c r="H228" s="5" t="s">
        <v>424</v>
      </c>
      <c r="I228" s="7" t="n">
        <f aca="false">Narxlar!$C$6</f>
        <v>12</v>
      </c>
      <c r="J228" s="77" t="n">
        <f aca="false">G228*I228</f>
        <v>12.6</v>
      </c>
      <c r="K228" s="24" t="s">
        <v>128</v>
      </c>
    </row>
    <row r="229" customFormat="false" ht="15" hidden="false" customHeight="false" outlineLevel="0" collapsed="false">
      <c r="A229" s="5" t="n">
        <v>182</v>
      </c>
      <c r="B229" s="6" t="s">
        <v>318</v>
      </c>
      <c r="C229" s="6" t="s">
        <v>9</v>
      </c>
      <c r="D229" s="6" t="s">
        <v>577</v>
      </c>
      <c r="E229" s="74" t="n">
        <v>1.75</v>
      </c>
      <c r="F229" s="56" t="n">
        <f aca="false">Narxlar!$C$135</f>
        <v>1</v>
      </c>
      <c r="G229" s="75" t="n">
        <f aca="false">E229*F229</f>
        <v>1.75</v>
      </c>
      <c r="H229" s="5" t="s">
        <v>424</v>
      </c>
      <c r="I229" s="7" t="n">
        <f aca="false">Narxlar!$C$6</f>
        <v>12</v>
      </c>
      <c r="J229" s="77" t="n">
        <f aca="false">G229*I229</f>
        <v>21</v>
      </c>
      <c r="K229" s="24" t="s">
        <v>128</v>
      </c>
    </row>
    <row r="230" customFormat="false" ht="15" hidden="false" customHeight="false" outlineLevel="0" collapsed="false">
      <c r="A230" s="5" t="n">
        <v>183</v>
      </c>
      <c r="B230" s="6" t="s">
        <v>318</v>
      </c>
      <c r="C230" s="6" t="s">
        <v>9</v>
      </c>
      <c r="D230" s="6" t="s">
        <v>593</v>
      </c>
      <c r="E230" s="74" t="n">
        <v>0.2</v>
      </c>
      <c r="F230" s="56" t="n">
        <f aca="false">Narxlar!$C$133</f>
        <v>3.5</v>
      </c>
      <c r="G230" s="75" t="n">
        <f aca="false">E230*F230</f>
        <v>0.7</v>
      </c>
      <c r="H230" s="5" t="s">
        <v>424</v>
      </c>
      <c r="I230" s="7" t="n">
        <f aca="false">Narxlar!$C$6</f>
        <v>12</v>
      </c>
      <c r="J230" s="77" t="n">
        <f aca="false">G230*I230</f>
        <v>8.4</v>
      </c>
      <c r="K230" s="24" t="s">
        <v>128</v>
      </c>
    </row>
    <row r="231" customFormat="false" ht="15" hidden="false" customHeight="false" outlineLevel="0" collapsed="false">
      <c r="A231" s="5" t="n">
        <v>184</v>
      </c>
      <c r="B231" s="6" t="s">
        <v>318</v>
      </c>
      <c r="C231" s="6" t="s">
        <v>9</v>
      </c>
      <c r="D231" s="6" t="s">
        <v>594</v>
      </c>
      <c r="E231" s="74" t="n">
        <v>4.6</v>
      </c>
      <c r="F231" s="56" t="n">
        <f aca="false">Narxlar!$C$135</f>
        <v>1</v>
      </c>
      <c r="G231" s="75" t="n">
        <f aca="false">E231*F231</f>
        <v>4.6</v>
      </c>
      <c r="H231" s="5" t="s">
        <v>424</v>
      </c>
      <c r="I231" s="7" t="n">
        <f aca="false">Narxlar!$C$6</f>
        <v>12</v>
      </c>
      <c r="J231" s="77" t="n">
        <f aca="false">G231*I231</f>
        <v>55.2</v>
      </c>
      <c r="K231" s="24" t="s">
        <v>128</v>
      </c>
    </row>
    <row r="232" customFormat="false" ht="15" hidden="false" customHeight="false" outlineLevel="0" collapsed="false">
      <c r="A232" s="5" t="n">
        <v>185</v>
      </c>
      <c r="B232" s="6" t="s">
        <v>318</v>
      </c>
      <c r="C232" s="6" t="s">
        <v>9</v>
      </c>
      <c r="D232" s="6" t="s">
        <v>595</v>
      </c>
      <c r="E232" s="74" t="n">
        <v>0.4</v>
      </c>
      <c r="F232" s="56" t="n">
        <f aca="false">Narxlar!$C$133</f>
        <v>3.5</v>
      </c>
      <c r="G232" s="75" t="n">
        <f aca="false">E232*F232</f>
        <v>1.4</v>
      </c>
      <c r="H232" s="5" t="s">
        <v>424</v>
      </c>
      <c r="I232" s="7" t="n">
        <f aca="false">Narxlar!$C$6</f>
        <v>12</v>
      </c>
      <c r="J232" s="77" t="n">
        <f aca="false">G232*I232</f>
        <v>16.8</v>
      </c>
      <c r="K232" s="24" t="s">
        <v>128</v>
      </c>
    </row>
    <row r="233" customFormat="false" ht="15" hidden="false" customHeight="false" outlineLevel="0" collapsed="false">
      <c r="A233" s="5" t="n">
        <v>186</v>
      </c>
      <c r="B233" s="6" t="s">
        <v>318</v>
      </c>
      <c r="C233" s="6" t="s">
        <v>9</v>
      </c>
      <c r="D233" s="6" t="s">
        <v>596</v>
      </c>
      <c r="E233" s="74" t="n">
        <v>4.6</v>
      </c>
      <c r="F233" s="56" t="n">
        <f aca="false">Narxlar!$C$135</f>
        <v>1</v>
      </c>
      <c r="G233" s="75" t="n">
        <f aca="false">E233*F233</f>
        <v>4.6</v>
      </c>
      <c r="H233" s="5" t="s">
        <v>424</v>
      </c>
      <c r="I233" s="7" t="n">
        <f aca="false">Narxlar!$C$6</f>
        <v>12</v>
      </c>
      <c r="J233" s="77" t="n">
        <f aca="false">G233*I233</f>
        <v>55.2</v>
      </c>
      <c r="K233" s="24" t="s">
        <v>128</v>
      </c>
    </row>
    <row r="234" customFormat="false" ht="15" hidden="false" customHeight="false" outlineLevel="0" collapsed="false">
      <c r="A234" s="5" t="n">
        <v>187</v>
      </c>
      <c r="B234" s="6" t="s">
        <v>318</v>
      </c>
      <c r="C234" s="6" t="s">
        <v>9</v>
      </c>
      <c r="D234" s="6" t="s">
        <v>597</v>
      </c>
      <c r="E234" s="74" t="n">
        <v>0.35</v>
      </c>
      <c r="F234" s="56" t="n">
        <f aca="false">Narxlar!$C$133</f>
        <v>3.5</v>
      </c>
      <c r="G234" s="75" t="n">
        <f aca="false">E234*F234</f>
        <v>1.225</v>
      </c>
      <c r="H234" s="5" t="s">
        <v>424</v>
      </c>
      <c r="I234" s="7" t="n">
        <f aca="false">Narxlar!$C$6</f>
        <v>12</v>
      </c>
      <c r="J234" s="77" t="n">
        <f aca="false">G234*I234</f>
        <v>14.7</v>
      </c>
      <c r="K234" s="24" t="s">
        <v>128</v>
      </c>
    </row>
    <row r="235" customFormat="false" ht="15" hidden="false" customHeight="false" outlineLevel="0" collapsed="false">
      <c r="A235" s="5" t="n">
        <v>188</v>
      </c>
      <c r="B235" s="6" t="s">
        <v>318</v>
      </c>
      <c r="C235" s="6" t="s">
        <v>9</v>
      </c>
      <c r="D235" s="6" t="s">
        <v>598</v>
      </c>
      <c r="E235" s="74" t="n">
        <v>1.7</v>
      </c>
      <c r="F235" s="56" t="n">
        <f aca="false">Narxlar!$C$135</f>
        <v>1</v>
      </c>
      <c r="G235" s="75" t="n">
        <f aca="false">E235*F235</f>
        <v>1.7</v>
      </c>
      <c r="H235" s="5" t="s">
        <v>424</v>
      </c>
      <c r="I235" s="7" t="n">
        <f aca="false">Narxlar!$C$6</f>
        <v>12</v>
      </c>
      <c r="J235" s="77" t="n">
        <f aca="false">G235*I235</f>
        <v>20.4</v>
      </c>
      <c r="K235" s="24" t="s">
        <v>128</v>
      </c>
    </row>
    <row r="236" customFormat="false" ht="15" hidden="false" customHeight="false" outlineLevel="0" collapsed="false">
      <c r="A236" s="5" t="n">
        <v>189</v>
      </c>
      <c r="B236" s="6" t="s">
        <v>318</v>
      </c>
      <c r="C236" s="6" t="s">
        <v>9</v>
      </c>
      <c r="D236" s="6" t="s">
        <v>531</v>
      </c>
      <c r="E236" s="74" t="n">
        <v>0.35</v>
      </c>
      <c r="F236" s="56" t="n">
        <f aca="false">Narxlar!$C$133</f>
        <v>3.5</v>
      </c>
      <c r="G236" s="75" t="n">
        <f aca="false">E236*F236</f>
        <v>1.225</v>
      </c>
      <c r="H236" s="5" t="s">
        <v>424</v>
      </c>
      <c r="I236" s="7" t="n">
        <f aca="false">Narxlar!$C$6</f>
        <v>12</v>
      </c>
      <c r="J236" s="77" t="n">
        <f aca="false">G236*I236</f>
        <v>14.7</v>
      </c>
      <c r="K236" s="24" t="s">
        <v>128</v>
      </c>
    </row>
    <row r="237" customFormat="false" ht="15" hidden="false" customHeight="false" outlineLevel="0" collapsed="false">
      <c r="A237" s="5" t="n">
        <v>190</v>
      </c>
      <c r="B237" s="6" t="s">
        <v>318</v>
      </c>
      <c r="C237" s="6" t="s">
        <v>9</v>
      </c>
      <c r="D237" s="6" t="s">
        <v>531</v>
      </c>
      <c r="E237" s="74" t="n">
        <v>0.35</v>
      </c>
      <c r="F237" s="56" t="n">
        <f aca="false">Narxlar!$C$133</f>
        <v>3.5</v>
      </c>
      <c r="G237" s="75" t="n">
        <f aca="false">E237*F237</f>
        <v>1.225</v>
      </c>
      <c r="H237" s="5" t="s">
        <v>424</v>
      </c>
      <c r="I237" s="7" t="n">
        <f aca="false">Narxlar!$C$6</f>
        <v>12</v>
      </c>
      <c r="J237" s="77" t="n">
        <f aca="false">G237*I237</f>
        <v>14.7</v>
      </c>
      <c r="K237" s="24" t="s">
        <v>128</v>
      </c>
    </row>
    <row r="238" customFormat="false" ht="15" hidden="false" customHeight="false" outlineLevel="0" collapsed="false">
      <c r="A238" s="5" t="n">
        <v>191</v>
      </c>
      <c r="B238" s="6" t="s">
        <v>318</v>
      </c>
      <c r="C238" s="6" t="s">
        <v>9</v>
      </c>
      <c r="D238" s="6" t="s">
        <v>599</v>
      </c>
      <c r="E238" s="56" t="n">
        <f aca="false">Narxlar!$C$138</f>
        <v>1</v>
      </c>
      <c r="F238" s="56" t="n">
        <f aca="false">Narxlar!$C$135</f>
        <v>1</v>
      </c>
      <c r="G238" s="75" t="n">
        <f aca="false">E238*F238</f>
        <v>1</v>
      </c>
      <c r="H238" s="5" t="s">
        <v>424</v>
      </c>
      <c r="I238" s="7" t="n">
        <f aca="false">Narxlar!$C$6</f>
        <v>12</v>
      </c>
      <c r="J238" s="77" t="n">
        <f aca="false">G238*I238</f>
        <v>12</v>
      </c>
      <c r="K238" s="24" t="s">
        <v>128</v>
      </c>
    </row>
    <row r="239" customFormat="false" ht="15" hidden="false" customHeight="false" outlineLevel="0" collapsed="false">
      <c r="A239" s="5" t="n">
        <v>192</v>
      </c>
      <c r="B239" s="6" t="s">
        <v>318</v>
      </c>
      <c r="C239" s="6" t="s">
        <v>9</v>
      </c>
      <c r="D239" s="6" t="s">
        <v>600</v>
      </c>
      <c r="E239" s="56" t="n">
        <f aca="false">Narxlar!$C$138</f>
        <v>1</v>
      </c>
      <c r="F239" s="56" t="n">
        <f aca="false">Narxlar!$C$135</f>
        <v>1</v>
      </c>
      <c r="G239" s="75" t="n">
        <f aca="false">E239*F239</f>
        <v>1</v>
      </c>
      <c r="H239" s="5" t="s">
        <v>424</v>
      </c>
      <c r="I239" s="7" t="n">
        <f aca="false">Narxlar!$C$6</f>
        <v>12</v>
      </c>
      <c r="J239" s="77" t="n">
        <f aca="false">G239*I239</f>
        <v>12</v>
      </c>
      <c r="K239" s="24" t="s">
        <v>128</v>
      </c>
    </row>
    <row r="240" customFormat="false" ht="15" hidden="false" customHeight="false" outlineLevel="0" collapsed="false">
      <c r="A240" s="5" t="n">
        <v>193</v>
      </c>
      <c r="B240" s="6" t="s">
        <v>318</v>
      </c>
      <c r="C240" s="6" t="s">
        <v>9</v>
      </c>
      <c r="D240" s="6" t="s">
        <v>601</v>
      </c>
      <c r="E240" s="56" t="n">
        <f aca="false">Narxlar!$C$138</f>
        <v>1</v>
      </c>
      <c r="F240" s="56" t="n">
        <f aca="false">Narxlar!$C$135</f>
        <v>1</v>
      </c>
      <c r="G240" s="75" t="n">
        <f aca="false">E240*F240</f>
        <v>1</v>
      </c>
      <c r="H240" s="5" t="s">
        <v>424</v>
      </c>
      <c r="I240" s="7" t="n">
        <f aca="false">Narxlar!$C$6</f>
        <v>12</v>
      </c>
      <c r="J240" s="77" t="n">
        <f aca="false">G240*I240</f>
        <v>12</v>
      </c>
      <c r="K240" s="24" t="s">
        <v>128</v>
      </c>
    </row>
    <row r="241" customFormat="false" ht="15" hidden="false" customHeight="false" outlineLevel="0" collapsed="false">
      <c r="A241" s="5" t="n">
        <v>194</v>
      </c>
      <c r="B241" s="6" t="s">
        <v>318</v>
      </c>
      <c r="C241" s="6" t="s">
        <v>9</v>
      </c>
      <c r="D241" s="6" t="s">
        <v>602</v>
      </c>
      <c r="E241" s="56" t="n">
        <f aca="false">Narxlar!$C$138</f>
        <v>1</v>
      </c>
      <c r="F241" s="56" t="n">
        <f aca="false">Narxlar!$C$135</f>
        <v>1</v>
      </c>
      <c r="G241" s="75" t="n">
        <f aca="false">E241*F241</f>
        <v>1</v>
      </c>
      <c r="H241" s="5" t="s">
        <v>424</v>
      </c>
      <c r="I241" s="7" t="n">
        <f aca="false">Narxlar!$C$6</f>
        <v>12</v>
      </c>
      <c r="J241" s="77" t="n">
        <f aca="false">G241*I241</f>
        <v>12</v>
      </c>
      <c r="K241" s="24" t="s">
        <v>128</v>
      </c>
    </row>
    <row r="242" customFormat="false" ht="15" hidden="false" customHeight="false" outlineLevel="0" collapsed="false">
      <c r="A242" s="5" t="n">
        <v>195</v>
      </c>
      <c r="B242" s="6" t="s">
        <v>318</v>
      </c>
      <c r="C242" s="6" t="s">
        <v>9</v>
      </c>
      <c r="D242" s="6" t="s">
        <v>603</v>
      </c>
      <c r="E242" s="56" t="n">
        <f aca="false">Narxlar!$C$138</f>
        <v>1</v>
      </c>
      <c r="F242" s="56" t="n">
        <f aca="false">Narxlar!$C$135</f>
        <v>1</v>
      </c>
      <c r="G242" s="75" t="n">
        <f aca="false">E242*F242</f>
        <v>1</v>
      </c>
      <c r="H242" s="5" t="s">
        <v>424</v>
      </c>
      <c r="I242" s="7" t="n">
        <f aca="false">Narxlar!$C$6</f>
        <v>12</v>
      </c>
      <c r="J242" s="77" t="n">
        <f aca="false">G242*I242</f>
        <v>12</v>
      </c>
      <c r="K242" s="24" t="s">
        <v>128</v>
      </c>
    </row>
    <row r="243" customFormat="false" ht="15" hidden="false" customHeight="false" outlineLevel="0" collapsed="false">
      <c r="A243" s="5" t="n">
        <v>196</v>
      </c>
      <c r="B243" s="6" t="s">
        <v>318</v>
      </c>
      <c r="C243" s="6" t="s">
        <v>9</v>
      </c>
      <c r="D243" s="6" t="s">
        <v>604</v>
      </c>
      <c r="E243" s="56" t="n">
        <f aca="false">Narxlar!$C$138</f>
        <v>1</v>
      </c>
      <c r="F243" s="56" t="n">
        <f aca="false">Narxlar!$C$135</f>
        <v>1</v>
      </c>
      <c r="G243" s="75" t="n">
        <f aca="false">E243*F243</f>
        <v>1</v>
      </c>
      <c r="H243" s="5" t="s">
        <v>424</v>
      </c>
      <c r="I243" s="7" t="n">
        <f aca="false">Narxlar!$C$6</f>
        <v>12</v>
      </c>
      <c r="J243" s="77" t="n">
        <f aca="false">G243*I243</f>
        <v>12</v>
      </c>
      <c r="K243" s="24" t="s">
        <v>128</v>
      </c>
    </row>
    <row r="244" customFormat="false" ht="15" hidden="false" customHeight="false" outlineLevel="0" collapsed="false">
      <c r="A244" s="5" t="n">
        <v>197</v>
      </c>
      <c r="B244" s="6" t="s">
        <v>318</v>
      </c>
      <c r="C244" s="6" t="s">
        <v>13</v>
      </c>
      <c r="D244" s="6" t="s">
        <v>583</v>
      </c>
      <c r="E244" s="74"/>
      <c r="F244" s="75"/>
      <c r="G244" s="76" t="n">
        <v>1</v>
      </c>
      <c r="H244" s="5" t="s">
        <v>357</v>
      </c>
      <c r="I244" s="7" t="n">
        <f aca="false">Narxlar!$C$11</f>
        <v>336</v>
      </c>
      <c r="J244" s="77" t="n">
        <f aca="false">G244*I244</f>
        <v>336</v>
      </c>
      <c r="K244" s="24" t="s">
        <v>182</v>
      </c>
    </row>
    <row r="245" customFormat="false" ht="15" hidden="false" customHeight="false" outlineLevel="0" collapsed="false">
      <c r="A245" s="5" t="n">
        <v>198</v>
      </c>
      <c r="B245" s="6" t="s">
        <v>318</v>
      </c>
      <c r="C245" s="6" t="s">
        <v>22</v>
      </c>
      <c r="D245" s="6" t="s">
        <v>584</v>
      </c>
      <c r="E245" s="74"/>
      <c r="F245" s="75"/>
      <c r="G245" s="76" t="n">
        <v>1</v>
      </c>
      <c r="H245" s="5" t="s">
        <v>351</v>
      </c>
      <c r="I245" s="7" t="n">
        <f aca="false">Narxlar!$C$127</f>
        <v>250</v>
      </c>
      <c r="J245" s="77" t="n">
        <f aca="false">G245*I245</f>
        <v>250</v>
      </c>
      <c r="K245" s="24" t="s">
        <v>218</v>
      </c>
    </row>
    <row r="246" customFormat="false" ht="15" hidden="false" customHeight="false" outlineLevel="0" collapsed="false">
      <c r="A246" s="5" t="n">
        <v>199</v>
      </c>
      <c r="B246" s="6" t="s">
        <v>318</v>
      </c>
      <c r="C246" s="6" t="s">
        <v>22</v>
      </c>
      <c r="D246" s="6" t="s">
        <v>585</v>
      </c>
      <c r="E246" s="74"/>
      <c r="F246" s="75"/>
      <c r="G246" s="76" t="n">
        <v>1</v>
      </c>
      <c r="H246" s="5" t="s">
        <v>357</v>
      </c>
      <c r="I246" s="7" t="n">
        <f aca="false">Narxlar!$C$128</f>
        <v>300</v>
      </c>
      <c r="J246" s="77" t="n">
        <f aca="false">G246*I246</f>
        <v>300</v>
      </c>
      <c r="K246" s="24" t="s">
        <v>254</v>
      </c>
    </row>
    <row r="247" customFormat="false" ht="15" hidden="false" customHeight="false" outlineLevel="0" collapsed="false">
      <c r="A247" s="5" t="n">
        <v>200</v>
      </c>
      <c r="B247" s="6" t="s">
        <v>318</v>
      </c>
      <c r="C247" s="6" t="s">
        <v>22</v>
      </c>
      <c r="D247" s="6" t="s">
        <v>586</v>
      </c>
      <c r="E247" s="74"/>
      <c r="F247" s="75"/>
      <c r="G247" s="76" t="n">
        <v>1</v>
      </c>
      <c r="H247" s="5" t="s">
        <v>357</v>
      </c>
      <c r="I247" s="7" t="n">
        <f aca="false">Narxlar!$C$129</f>
        <v>800</v>
      </c>
      <c r="J247" s="77" t="n">
        <f aca="false">G247*I247</f>
        <v>800</v>
      </c>
      <c r="K247" s="24" t="s">
        <v>120</v>
      </c>
    </row>
    <row r="248" customFormat="false" ht="15" hidden="false" customHeight="false" outlineLevel="0" collapsed="false">
      <c r="A248" s="5" t="n">
        <v>201</v>
      </c>
      <c r="B248" s="6" t="s">
        <v>318</v>
      </c>
      <c r="C248" s="6" t="s">
        <v>22</v>
      </c>
      <c r="D248" s="6" t="s">
        <v>587</v>
      </c>
      <c r="E248" s="74"/>
      <c r="F248" s="75"/>
      <c r="G248" s="76" t="n">
        <v>1</v>
      </c>
      <c r="H248" s="5" t="s">
        <v>357</v>
      </c>
      <c r="I248" s="7" t="n">
        <f aca="false">Narxlar!$C$130</f>
        <v>250</v>
      </c>
      <c r="J248" s="77" t="n">
        <f aca="false">G248*I248</f>
        <v>250</v>
      </c>
      <c r="K248" s="24" t="s">
        <v>220</v>
      </c>
    </row>
    <row r="249" customFormat="false" ht="15" hidden="false" customHeight="false" outlineLevel="0" collapsed="false">
      <c r="A249" s="78"/>
      <c r="B249" s="78"/>
      <c r="C249" s="78"/>
      <c r="D249" s="11" t="s">
        <v>605</v>
      </c>
      <c r="E249" s="78"/>
      <c r="F249" s="78"/>
      <c r="G249" s="78"/>
      <c r="H249" s="78"/>
      <c r="I249" s="78"/>
      <c r="J249" s="12" t="n">
        <f aca="false">SUM(J223:J248)</f>
        <v>2368.6</v>
      </c>
    </row>
    <row r="251" customFormat="false" ht="15" hidden="false" customHeight="false" outlineLevel="0" collapsed="false">
      <c r="A251" s="54" t="s">
        <v>319</v>
      </c>
      <c r="B251" s="55"/>
      <c r="C251" s="55"/>
      <c r="D251" s="55"/>
      <c r="E251" s="55"/>
      <c r="F251" s="55"/>
      <c r="G251" s="55"/>
      <c r="H251" s="55"/>
      <c r="I251" s="55"/>
      <c r="J251" s="55"/>
    </row>
    <row r="252" customFormat="false" ht="15" hidden="false" customHeight="false" outlineLevel="0" collapsed="false">
      <c r="A252" s="5" t="n">
        <v>202</v>
      </c>
      <c r="B252" s="6" t="s">
        <v>319</v>
      </c>
      <c r="C252" s="6" t="s">
        <v>9</v>
      </c>
      <c r="D252" s="6" t="s">
        <v>606</v>
      </c>
      <c r="E252" s="74" t="n">
        <v>2.8</v>
      </c>
      <c r="F252" s="56" t="n">
        <f aca="false">Narxlar!$C$133</f>
        <v>3.5</v>
      </c>
      <c r="G252" s="75" t="n">
        <f aca="false">E252*F252</f>
        <v>9.8</v>
      </c>
      <c r="H252" s="5" t="s">
        <v>424</v>
      </c>
      <c r="I252" s="7" t="n">
        <f aca="false">Narxlar!$C$6</f>
        <v>12</v>
      </c>
      <c r="J252" s="77" t="n">
        <f aca="false">G252*I252</f>
        <v>117.6</v>
      </c>
      <c r="K252" s="24" t="s">
        <v>128</v>
      </c>
    </row>
    <row r="253" customFormat="false" ht="15" hidden="false" customHeight="false" outlineLevel="0" collapsed="false">
      <c r="A253" s="5" t="n">
        <v>203</v>
      </c>
      <c r="B253" s="6" t="s">
        <v>319</v>
      </c>
      <c r="C253" s="6" t="s">
        <v>9</v>
      </c>
      <c r="D253" s="6" t="s">
        <v>559</v>
      </c>
      <c r="E253" s="74" t="n">
        <v>2.8</v>
      </c>
      <c r="F253" s="56" t="n">
        <f aca="false">Narxlar!$C$133</f>
        <v>3.5</v>
      </c>
      <c r="G253" s="75" t="n">
        <f aca="false">E253*F253</f>
        <v>9.8</v>
      </c>
      <c r="H253" s="5" t="s">
        <v>424</v>
      </c>
      <c r="I253" s="7" t="n">
        <f aca="false">Narxlar!$C$6</f>
        <v>12</v>
      </c>
      <c r="J253" s="77" t="n">
        <f aca="false">G253*I253</f>
        <v>117.6</v>
      </c>
      <c r="K253" s="24" t="s">
        <v>128</v>
      </c>
    </row>
    <row r="254" customFormat="false" ht="15" hidden="false" customHeight="false" outlineLevel="0" collapsed="false">
      <c r="A254" s="5" t="n">
        <v>204</v>
      </c>
      <c r="B254" s="6" t="s">
        <v>319</v>
      </c>
      <c r="C254" s="6" t="s">
        <v>9</v>
      </c>
      <c r="D254" s="6" t="s">
        <v>607</v>
      </c>
      <c r="E254" s="74" t="n">
        <v>0.35</v>
      </c>
      <c r="F254" s="56" t="n">
        <f aca="false">Narxlar!$C$133</f>
        <v>3.5</v>
      </c>
      <c r="G254" s="75" t="n">
        <f aca="false">E254*F254</f>
        <v>1.225</v>
      </c>
      <c r="H254" s="5" t="s">
        <v>424</v>
      </c>
      <c r="I254" s="7" t="n">
        <f aca="false">Narxlar!$C$6</f>
        <v>12</v>
      </c>
      <c r="J254" s="77" t="n">
        <f aca="false">G254*I254</f>
        <v>14.7</v>
      </c>
      <c r="K254" s="24" t="s">
        <v>128</v>
      </c>
    </row>
    <row r="255" customFormat="false" ht="15" hidden="false" customHeight="false" outlineLevel="0" collapsed="false">
      <c r="A255" s="5" t="n">
        <v>205</v>
      </c>
      <c r="B255" s="6" t="s">
        <v>319</v>
      </c>
      <c r="C255" s="6" t="s">
        <v>9</v>
      </c>
      <c r="D255" s="6" t="s">
        <v>607</v>
      </c>
      <c r="E255" s="74" t="n">
        <v>0.35</v>
      </c>
      <c r="F255" s="56" t="n">
        <f aca="false">Narxlar!$C$133</f>
        <v>3.5</v>
      </c>
      <c r="G255" s="75" t="n">
        <f aca="false">E255*F255</f>
        <v>1.225</v>
      </c>
      <c r="H255" s="5" t="s">
        <v>424</v>
      </c>
      <c r="I255" s="7" t="n">
        <f aca="false">Narxlar!$C$6</f>
        <v>12</v>
      </c>
      <c r="J255" s="77" t="n">
        <f aca="false">G255*I255</f>
        <v>14.7</v>
      </c>
      <c r="K255" s="24" t="s">
        <v>128</v>
      </c>
    </row>
    <row r="256" customFormat="false" ht="15" hidden="false" customHeight="false" outlineLevel="0" collapsed="false">
      <c r="A256" s="5" t="n">
        <v>206</v>
      </c>
      <c r="B256" s="6" t="s">
        <v>319</v>
      </c>
      <c r="C256" s="6" t="s">
        <v>24</v>
      </c>
      <c r="D256" s="6" t="s">
        <v>608</v>
      </c>
      <c r="E256" s="74"/>
      <c r="F256" s="75"/>
      <c r="G256" s="76" t="n">
        <v>1</v>
      </c>
      <c r="H256" s="5" t="s">
        <v>351</v>
      </c>
      <c r="I256" s="7" t="n">
        <f aca="false">Narxlar!$C$102</f>
        <v>350</v>
      </c>
      <c r="J256" s="77" t="n">
        <f aca="false">G256*I256</f>
        <v>350</v>
      </c>
      <c r="K256" s="24" t="s">
        <v>228</v>
      </c>
    </row>
    <row r="257" customFormat="false" ht="15" hidden="false" customHeight="false" outlineLevel="0" collapsed="false">
      <c r="A257" s="78"/>
      <c r="B257" s="78"/>
      <c r="C257" s="78"/>
      <c r="D257" s="11" t="s">
        <v>609</v>
      </c>
      <c r="E257" s="78"/>
      <c r="F257" s="78"/>
      <c r="G257" s="78"/>
      <c r="H257" s="78"/>
      <c r="I257" s="78"/>
      <c r="J257" s="12" t="n">
        <f aca="false">SUM(J252:J256)</f>
        <v>614.6</v>
      </c>
    </row>
    <row r="259" customFormat="false" ht="15" hidden="false" customHeight="false" outlineLevel="0" collapsed="false">
      <c r="A259" s="54" t="s">
        <v>320</v>
      </c>
      <c r="B259" s="55"/>
      <c r="C259" s="55"/>
      <c r="D259" s="55"/>
      <c r="E259" s="55"/>
      <c r="F259" s="55"/>
      <c r="G259" s="55"/>
      <c r="H259" s="55"/>
      <c r="I259" s="55"/>
      <c r="J259" s="55"/>
    </row>
    <row r="260" customFormat="false" ht="15" hidden="false" customHeight="false" outlineLevel="0" collapsed="false">
      <c r="A260" s="5" t="n">
        <v>207</v>
      </c>
      <c r="B260" s="6" t="s">
        <v>320</v>
      </c>
      <c r="C260" s="6" t="s">
        <v>9</v>
      </c>
      <c r="D260" s="6" t="s">
        <v>559</v>
      </c>
      <c r="E260" s="74" t="n">
        <v>2.8</v>
      </c>
      <c r="F260" s="56" t="n">
        <f aca="false">Narxlar!$C$133</f>
        <v>3.5</v>
      </c>
      <c r="G260" s="75" t="n">
        <f aca="false">E260*F260</f>
        <v>9.8</v>
      </c>
      <c r="H260" s="5" t="s">
        <v>424</v>
      </c>
      <c r="I260" s="7" t="n">
        <f aca="false">Narxlar!$C$6</f>
        <v>12</v>
      </c>
      <c r="J260" s="77" t="n">
        <f aca="false">G260*I260</f>
        <v>117.6</v>
      </c>
      <c r="K260" s="24" t="s">
        <v>128</v>
      </c>
    </row>
    <row r="261" customFormat="false" ht="15" hidden="false" customHeight="false" outlineLevel="0" collapsed="false">
      <c r="A261" s="5" t="n">
        <v>208</v>
      </c>
      <c r="B261" s="6" t="s">
        <v>320</v>
      </c>
      <c r="C261" s="6" t="s">
        <v>9</v>
      </c>
      <c r="D261" s="6" t="s">
        <v>538</v>
      </c>
      <c r="E261" s="74" t="n">
        <v>2.8</v>
      </c>
      <c r="F261" s="56" t="n">
        <f aca="false">Narxlar!$C$133</f>
        <v>3.5</v>
      </c>
      <c r="G261" s="75" t="n">
        <f aca="false">E261*F261</f>
        <v>9.8</v>
      </c>
      <c r="H261" s="5" t="s">
        <v>424</v>
      </c>
      <c r="I261" s="7" t="n">
        <f aca="false">Narxlar!$C$6</f>
        <v>12</v>
      </c>
      <c r="J261" s="77" t="n">
        <f aca="false">G261*I261</f>
        <v>117.6</v>
      </c>
      <c r="K261" s="24" t="s">
        <v>128</v>
      </c>
    </row>
    <row r="262" customFormat="false" ht="15" hidden="false" customHeight="false" outlineLevel="0" collapsed="false">
      <c r="A262" s="5" t="n">
        <v>209</v>
      </c>
      <c r="B262" s="6" t="s">
        <v>320</v>
      </c>
      <c r="C262" s="6" t="s">
        <v>9</v>
      </c>
      <c r="D262" s="6" t="s">
        <v>610</v>
      </c>
      <c r="E262" s="74" t="n">
        <v>0.35</v>
      </c>
      <c r="F262" s="56" t="n">
        <f aca="false">Narxlar!$C$133</f>
        <v>3.5</v>
      </c>
      <c r="G262" s="75" t="n">
        <f aca="false">E262*F262</f>
        <v>1.225</v>
      </c>
      <c r="H262" s="5" t="s">
        <v>424</v>
      </c>
      <c r="I262" s="7" t="n">
        <f aca="false">Narxlar!$C$6</f>
        <v>12</v>
      </c>
      <c r="J262" s="77" t="n">
        <f aca="false">G262*I262</f>
        <v>14.7</v>
      </c>
      <c r="K262" s="24" t="s">
        <v>128</v>
      </c>
    </row>
    <row r="263" customFormat="false" ht="15" hidden="false" customHeight="false" outlineLevel="0" collapsed="false">
      <c r="A263" s="5" t="n">
        <v>210</v>
      </c>
      <c r="B263" s="6" t="s">
        <v>320</v>
      </c>
      <c r="C263" s="6" t="s">
        <v>9</v>
      </c>
      <c r="D263" s="6" t="s">
        <v>610</v>
      </c>
      <c r="E263" s="74" t="n">
        <v>0.35</v>
      </c>
      <c r="F263" s="56" t="n">
        <f aca="false">Narxlar!$C$133</f>
        <v>3.5</v>
      </c>
      <c r="G263" s="75" t="n">
        <f aca="false">E263*F263</f>
        <v>1.225</v>
      </c>
      <c r="H263" s="5" t="s">
        <v>424</v>
      </c>
      <c r="I263" s="7" t="n">
        <f aca="false">Narxlar!$C$6</f>
        <v>12</v>
      </c>
      <c r="J263" s="77" t="n">
        <f aca="false">G263*I263</f>
        <v>14.7</v>
      </c>
      <c r="K263" s="24" t="s">
        <v>128</v>
      </c>
    </row>
    <row r="264" customFormat="false" ht="15" hidden="false" customHeight="false" outlineLevel="0" collapsed="false">
      <c r="A264" s="5" t="n">
        <v>211</v>
      </c>
      <c r="B264" s="6" t="s">
        <v>320</v>
      </c>
      <c r="C264" s="6" t="s">
        <v>24</v>
      </c>
      <c r="D264" s="6" t="s">
        <v>608</v>
      </c>
      <c r="E264" s="74"/>
      <c r="F264" s="75"/>
      <c r="G264" s="76" t="n">
        <v>1</v>
      </c>
      <c r="H264" s="5" t="s">
        <v>351</v>
      </c>
      <c r="I264" s="7" t="n">
        <f aca="false">Narxlar!$C$102</f>
        <v>350</v>
      </c>
      <c r="J264" s="77" t="n">
        <f aca="false">G264*I264</f>
        <v>350</v>
      </c>
      <c r="K264" s="24" t="s">
        <v>228</v>
      </c>
    </row>
    <row r="265" customFormat="false" ht="15" hidden="false" customHeight="false" outlineLevel="0" collapsed="false">
      <c r="A265" s="78"/>
      <c r="B265" s="78"/>
      <c r="C265" s="78"/>
      <c r="D265" s="11" t="s">
        <v>611</v>
      </c>
      <c r="E265" s="78"/>
      <c r="F265" s="78"/>
      <c r="G265" s="78"/>
      <c r="H265" s="78"/>
      <c r="I265" s="78"/>
      <c r="J265" s="12" t="n">
        <f aca="false">SUM(J260:J264)</f>
        <v>614.6</v>
      </c>
    </row>
    <row r="267" customFormat="false" ht="15" hidden="false" customHeight="false" outlineLevel="0" collapsed="false">
      <c r="A267" s="54" t="s">
        <v>321</v>
      </c>
      <c r="B267" s="55"/>
      <c r="C267" s="55"/>
      <c r="D267" s="55"/>
      <c r="E267" s="55"/>
      <c r="F267" s="55"/>
      <c r="G267" s="55"/>
      <c r="H267" s="55"/>
      <c r="I267" s="55"/>
      <c r="J267" s="55"/>
    </row>
    <row r="268" customFormat="false" ht="15" hidden="false" customHeight="false" outlineLevel="0" collapsed="false">
      <c r="A268" s="5" t="n">
        <v>212</v>
      </c>
      <c r="B268" s="6" t="s">
        <v>321</v>
      </c>
      <c r="C268" s="6" t="s">
        <v>9</v>
      </c>
      <c r="D268" s="6" t="s">
        <v>612</v>
      </c>
      <c r="E268" s="74" t="n">
        <v>0.4</v>
      </c>
      <c r="F268" s="56" t="n">
        <f aca="false">Narxlar!$C$133</f>
        <v>3.5</v>
      </c>
      <c r="G268" s="75" t="n">
        <f aca="false">E268*F268</f>
        <v>1.4</v>
      </c>
      <c r="H268" s="5" t="s">
        <v>424</v>
      </c>
      <c r="I268" s="7" t="n">
        <f aca="false">Narxlar!$C$6</f>
        <v>12</v>
      </c>
      <c r="J268" s="77" t="n">
        <f aca="false">G268*I268</f>
        <v>16.8</v>
      </c>
      <c r="K268" s="24" t="s">
        <v>128</v>
      </c>
    </row>
    <row r="269" customFormat="false" ht="15" hidden="false" customHeight="false" outlineLevel="0" collapsed="false">
      <c r="A269" s="5" t="n">
        <v>213</v>
      </c>
      <c r="B269" s="6" t="s">
        <v>321</v>
      </c>
      <c r="C269" s="6" t="s">
        <v>9</v>
      </c>
      <c r="D269" s="6" t="s">
        <v>558</v>
      </c>
      <c r="E269" s="74" t="n">
        <v>0.7</v>
      </c>
      <c r="F269" s="56" t="n">
        <f aca="false">Narxlar!$C$133</f>
        <v>3.5</v>
      </c>
      <c r="G269" s="75" t="n">
        <f aca="false">E269*F269</f>
        <v>2.45</v>
      </c>
      <c r="H269" s="5" t="s">
        <v>424</v>
      </c>
      <c r="I269" s="7" t="n">
        <f aca="false">Narxlar!$C$6</f>
        <v>12</v>
      </c>
      <c r="J269" s="77" t="n">
        <f aca="false">G269*I269</f>
        <v>29.4</v>
      </c>
      <c r="K269" s="24" t="s">
        <v>128</v>
      </c>
    </row>
    <row r="270" customFormat="false" ht="15" hidden="false" customHeight="false" outlineLevel="0" collapsed="false">
      <c r="A270" s="5" t="n">
        <v>214</v>
      </c>
      <c r="B270" s="6" t="s">
        <v>321</v>
      </c>
      <c r="C270" s="6" t="s">
        <v>9</v>
      </c>
      <c r="D270" s="6" t="s">
        <v>537</v>
      </c>
      <c r="E270" s="74" t="n">
        <v>1.65</v>
      </c>
      <c r="F270" s="56" t="n">
        <f aca="false">Narxlar!$C$133</f>
        <v>3.5</v>
      </c>
      <c r="G270" s="75" t="n">
        <f aca="false">E270*F270</f>
        <v>5.775</v>
      </c>
      <c r="H270" s="5" t="s">
        <v>424</v>
      </c>
      <c r="I270" s="7" t="n">
        <f aca="false">Narxlar!$C$6</f>
        <v>12</v>
      </c>
      <c r="J270" s="77" t="n">
        <f aca="false">G270*I270</f>
        <v>69.3</v>
      </c>
      <c r="K270" s="24" t="s">
        <v>128</v>
      </c>
    </row>
    <row r="271" customFormat="false" ht="15" hidden="false" customHeight="false" outlineLevel="0" collapsed="false">
      <c r="A271" s="5" t="n">
        <v>215</v>
      </c>
      <c r="B271" s="6" t="s">
        <v>321</v>
      </c>
      <c r="C271" s="6" t="s">
        <v>13</v>
      </c>
      <c r="D271" s="6" t="s">
        <v>583</v>
      </c>
      <c r="E271" s="74"/>
      <c r="F271" s="75"/>
      <c r="G271" s="76" t="n">
        <v>1</v>
      </c>
      <c r="H271" s="5" t="s">
        <v>357</v>
      </c>
      <c r="I271" s="7" t="n">
        <f aca="false">Narxlar!$C$11</f>
        <v>336</v>
      </c>
      <c r="J271" s="77" t="n">
        <f aca="false">G271*I271</f>
        <v>336</v>
      </c>
      <c r="K271" s="24" t="s">
        <v>182</v>
      </c>
    </row>
    <row r="272" customFormat="false" ht="15" hidden="false" customHeight="false" outlineLevel="0" collapsed="false">
      <c r="A272" s="5" t="n">
        <v>216</v>
      </c>
      <c r="B272" s="6" t="s">
        <v>321</v>
      </c>
      <c r="C272" s="6" t="s">
        <v>22</v>
      </c>
      <c r="D272" s="6" t="s">
        <v>613</v>
      </c>
      <c r="E272" s="74"/>
      <c r="F272" s="75"/>
      <c r="G272" s="76" t="n">
        <v>1</v>
      </c>
      <c r="H272" s="5" t="s">
        <v>357</v>
      </c>
      <c r="I272" s="7" t="n">
        <f aca="false">Narxlar!$C$118</f>
        <v>700</v>
      </c>
      <c r="J272" s="77" t="n">
        <f aca="false">G272*I272</f>
        <v>700</v>
      </c>
      <c r="K272" s="24" t="s">
        <v>148</v>
      </c>
    </row>
    <row r="273" customFormat="false" ht="15" hidden="false" customHeight="false" outlineLevel="0" collapsed="false">
      <c r="A273" s="5" t="n">
        <v>217</v>
      </c>
      <c r="B273" s="6" t="s">
        <v>321</v>
      </c>
      <c r="C273" s="6" t="s">
        <v>22</v>
      </c>
      <c r="D273" s="6" t="s">
        <v>614</v>
      </c>
      <c r="E273" s="74"/>
      <c r="F273" s="75"/>
      <c r="G273" s="76" t="n">
        <v>1</v>
      </c>
      <c r="H273" s="5" t="s">
        <v>357</v>
      </c>
      <c r="I273" s="7" t="n">
        <f aca="false">Narxlar!$C$119</f>
        <v>450</v>
      </c>
      <c r="J273" s="77" t="n">
        <f aca="false">G273*I273</f>
        <v>450</v>
      </c>
      <c r="K273" s="24" t="s">
        <v>256</v>
      </c>
    </row>
    <row r="274" customFormat="false" ht="15" hidden="false" customHeight="false" outlineLevel="0" collapsed="false">
      <c r="A274" s="5" t="n">
        <v>218</v>
      </c>
      <c r="B274" s="6" t="s">
        <v>321</v>
      </c>
      <c r="C274" s="6" t="s">
        <v>22</v>
      </c>
      <c r="D274" s="6" t="s">
        <v>615</v>
      </c>
      <c r="E274" s="74"/>
      <c r="F274" s="75"/>
      <c r="G274" s="76" t="n">
        <v>1</v>
      </c>
      <c r="H274" s="5" t="s">
        <v>351</v>
      </c>
      <c r="I274" s="7" t="n">
        <f aca="false">Narxlar!$C$120</f>
        <v>600</v>
      </c>
      <c r="J274" s="77" t="n">
        <f aca="false">G274*I274</f>
        <v>600</v>
      </c>
      <c r="K274" s="24" t="s">
        <v>122</v>
      </c>
    </row>
    <row r="275" customFormat="false" ht="15" hidden="false" customHeight="false" outlineLevel="0" collapsed="false">
      <c r="A275" s="5" t="n">
        <v>219</v>
      </c>
      <c r="B275" s="6" t="s">
        <v>321</v>
      </c>
      <c r="C275" s="6" t="s">
        <v>22</v>
      </c>
      <c r="D275" s="6" t="s">
        <v>616</v>
      </c>
      <c r="E275" s="74"/>
      <c r="F275" s="75"/>
      <c r="G275" s="76" t="n">
        <v>1</v>
      </c>
      <c r="H275" s="5" t="s">
        <v>357</v>
      </c>
      <c r="I275" s="7" t="n">
        <f aca="false">Narxlar!$C$121</f>
        <v>450</v>
      </c>
      <c r="J275" s="77" t="n">
        <f aca="false">G275*I275</f>
        <v>450</v>
      </c>
      <c r="K275" s="24" t="s">
        <v>222</v>
      </c>
    </row>
    <row r="276" customFormat="false" ht="15" hidden="false" customHeight="false" outlineLevel="0" collapsed="false">
      <c r="A276" s="5" t="n">
        <v>220</v>
      </c>
      <c r="B276" s="6" t="s">
        <v>321</v>
      </c>
      <c r="C276" s="6" t="s">
        <v>22</v>
      </c>
      <c r="D276" s="6" t="s">
        <v>617</v>
      </c>
      <c r="E276" s="74"/>
      <c r="F276" s="75"/>
      <c r="G276" s="76" t="n">
        <v>1</v>
      </c>
      <c r="H276" s="5" t="s">
        <v>357</v>
      </c>
      <c r="I276" s="7" t="n">
        <f aca="false">Narxlar!$C$122</f>
        <v>60</v>
      </c>
      <c r="J276" s="77" t="n">
        <f aca="false">G276*I276</f>
        <v>60</v>
      </c>
      <c r="K276" s="24" t="s">
        <v>224</v>
      </c>
    </row>
    <row r="277" customFormat="false" ht="15" hidden="false" customHeight="false" outlineLevel="0" collapsed="false">
      <c r="A277" s="5" t="n">
        <v>221</v>
      </c>
      <c r="B277" s="6" t="s">
        <v>321</v>
      </c>
      <c r="C277" s="6" t="s">
        <v>22</v>
      </c>
      <c r="D277" s="6" t="s">
        <v>618</v>
      </c>
      <c r="E277" s="74"/>
      <c r="F277" s="75"/>
      <c r="G277" s="76" t="n">
        <v>1</v>
      </c>
      <c r="H277" s="5" t="s">
        <v>357</v>
      </c>
      <c r="I277" s="7" t="n">
        <f aca="false">Narxlar!$C$123</f>
        <v>500</v>
      </c>
      <c r="J277" s="77" t="n">
        <f aca="false">G277*I277</f>
        <v>500</v>
      </c>
      <c r="K277" s="24" t="s">
        <v>258</v>
      </c>
    </row>
    <row r="278" customFormat="false" ht="15" hidden="false" customHeight="false" outlineLevel="0" collapsed="false">
      <c r="A278" s="5" t="n">
        <v>222</v>
      </c>
      <c r="B278" s="6" t="s">
        <v>321</v>
      </c>
      <c r="C278" s="6" t="s">
        <v>22</v>
      </c>
      <c r="D278" s="6" t="s">
        <v>619</v>
      </c>
      <c r="E278" s="74"/>
      <c r="F278" s="75"/>
      <c r="G278" s="76" t="n">
        <v>1</v>
      </c>
      <c r="H278" s="5" t="s">
        <v>357</v>
      </c>
      <c r="I278" s="7" t="n">
        <f aca="false">Narxlar!$C$124</f>
        <v>250</v>
      </c>
      <c r="J278" s="77" t="n">
        <f aca="false">G278*I278</f>
        <v>250</v>
      </c>
      <c r="K278" s="24" t="s">
        <v>176</v>
      </c>
    </row>
    <row r="279" customFormat="false" ht="15" hidden="false" customHeight="false" outlineLevel="0" collapsed="false">
      <c r="A279" s="5" t="n">
        <v>223</v>
      </c>
      <c r="B279" s="6" t="s">
        <v>321</v>
      </c>
      <c r="C279" s="6" t="s">
        <v>22</v>
      </c>
      <c r="D279" s="6" t="s">
        <v>620</v>
      </c>
      <c r="E279" s="74"/>
      <c r="F279" s="75"/>
      <c r="G279" s="76" t="n">
        <v>1</v>
      </c>
      <c r="H279" s="5" t="s">
        <v>351</v>
      </c>
      <c r="I279" s="7" t="n">
        <f aca="false">Narxlar!$C$125</f>
        <v>300</v>
      </c>
      <c r="J279" s="77" t="n">
        <f aca="false">G279*I279</f>
        <v>300</v>
      </c>
      <c r="K279" s="24" t="s">
        <v>260</v>
      </c>
    </row>
    <row r="280" customFormat="false" ht="15" hidden="false" customHeight="false" outlineLevel="0" collapsed="false">
      <c r="A280" s="5" t="n">
        <v>224</v>
      </c>
      <c r="B280" s="6" t="s">
        <v>321</v>
      </c>
      <c r="C280" s="6" t="s">
        <v>22</v>
      </c>
      <c r="D280" s="6" t="s">
        <v>621</v>
      </c>
      <c r="E280" s="74"/>
      <c r="F280" s="75"/>
      <c r="G280" s="76" t="n">
        <v>1</v>
      </c>
      <c r="H280" s="5" t="s">
        <v>351</v>
      </c>
      <c r="I280" s="7" t="n">
        <f aca="false">Narxlar!$C$126</f>
        <v>100</v>
      </c>
      <c r="J280" s="77" t="n">
        <f aca="false">G280*I280</f>
        <v>100</v>
      </c>
      <c r="K280" s="24" t="s">
        <v>262</v>
      </c>
    </row>
    <row r="281" customFormat="false" ht="15" hidden="false" customHeight="false" outlineLevel="0" collapsed="false">
      <c r="A281" s="5" t="n">
        <v>225</v>
      </c>
      <c r="B281" s="6" t="s">
        <v>321</v>
      </c>
      <c r="C281" s="6" t="s">
        <v>23</v>
      </c>
      <c r="D281" s="6" t="s">
        <v>622</v>
      </c>
      <c r="E281" s="74"/>
      <c r="F281" s="75"/>
      <c r="G281" s="76" t="n">
        <v>1</v>
      </c>
      <c r="H281" s="5" t="s">
        <v>351</v>
      </c>
      <c r="I281" s="7" t="n">
        <f aca="false">Narxlar!$C$112</f>
        <v>120</v>
      </c>
      <c r="J281" s="77" t="n">
        <f aca="false">G281*I281</f>
        <v>120</v>
      </c>
      <c r="K281" s="24" t="s">
        <v>264</v>
      </c>
    </row>
    <row r="282" customFormat="false" ht="15" hidden="false" customHeight="false" outlineLevel="0" collapsed="false">
      <c r="A282" s="5" t="n">
        <v>226</v>
      </c>
      <c r="B282" s="6" t="s">
        <v>321</v>
      </c>
      <c r="C282" s="6" t="s">
        <v>23</v>
      </c>
      <c r="D282" s="6" t="s">
        <v>623</v>
      </c>
      <c r="E282" s="74"/>
      <c r="F282" s="75"/>
      <c r="G282" s="76" t="n">
        <v>1</v>
      </c>
      <c r="H282" s="5" t="s">
        <v>351</v>
      </c>
      <c r="I282" s="7" t="n">
        <f aca="false">Narxlar!$C$113</f>
        <v>250</v>
      </c>
      <c r="J282" s="77" t="n">
        <f aca="false">G282*I282</f>
        <v>250</v>
      </c>
      <c r="K282" s="24" t="s">
        <v>266</v>
      </c>
    </row>
    <row r="283" customFormat="false" ht="15" hidden="false" customHeight="false" outlineLevel="0" collapsed="false">
      <c r="A283" s="78"/>
      <c r="B283" s="78"/>
      <c r="C283" s="78"/>
      <c r="D283" s="11" t="s">
        <v>624</v>
      </c>
      <c r="E283" s="78"/>
      <c r="F283" s="78"/>
      <c r="G283" s="78"/>
      <c r="H283" s="78"/>
      <c r="I283" s="78"/>
      <c r="J283" s="12" t="n">
        <f aca="false">SUM(J268:J282)</f>
        <v>4231.5</v>
      </c>
    </row>
    <row r="285" customFormat="false" ht="15" hidden="false" customHeight="false" outlineLevel="0" collapsed="false">
      <c r="A285" s="54" t="s">
        <v>322</v>
      </c>
      <c r="B285" s="55"/>
      <c r="C285" s="55"/>
      <c r="D285" s="55"/>
      <c r="E285" s="55"/>
      <c r="F285" s="55"/>
      <c r="G285" s="55"/>
      <c r="H285" s="55"/>
      <c r="I285" s="55"/>
      <c r="J285" s="55"/>
    </row>
    <row r="286" customFormat="false" ht="15" hidden="false" customHeight="false" outlineLevel="0" collapsed="false">
      <c r="A286" s="5" t="n">
        <v>227</v>
      </c>
      <c r="B286" s="6" t="s">
        <v>322</v>
      </c>
      <c r="C286" s="6" t="s">
        <v>9</v>
      </c>
      <c r="D286" s="6" t="s">
        <v>537</v>
      </c>
      <c r="E286" s="74" t="n">
        <v>2.6</v>
      </c>
      <c r="F286" s="56" t="n">
        <f aca="false">Narxlar!$C$133</f>
        <v>3.5</v>
      </c>
      <c r="G286" s="75" t="n">
        <f aca="false">E286*F286</f>
        <v>9.1</v>
      </c>
      <c r="H286" s="5" t="s">
        <v>424</v>
      </c>
      <c r="I286" s="7" t="n">
        <f aca="false">Narxlar!$C$6</f>
        <v>12</v>
      </c>
      <c r="J286" s="77" t="n">
        <f aca="false">G286*I286</f>
        <v>109.2</v>
      </c>
      <c r="K286" s="24" t="s">
        <v>128</v>
      </c>
    </row>
    <row r="287" customFormat="false" ht="15" hidden="false" customHeight="false" outlineLevel="0" collapsed="false">
      <c r="A287" s="78"/>
      <c r="B287" s="78"/>
      <c r="C287" s="78"/>
      <c r="D287" s="11" t="s">
        <v>625</v>
      </c>
      <c r="E287" s="78"/>
      <c r="F287" s="78"/>
      <c r="G287" s="78"/>
      <c r="H287" s="78"/>
      <c r="I287" s="78"/>
      <c r="J287" s="12" t="n">
        <f aca="false">SUM(J286:J286)</f>
        <v>109.2</v>
      </c>
    </row>
    <row r="289" customFormat="false" ht="15" hidden="false" customHeight="false" outlineLevel="0" collapsed="false">
      <c r="A289" s="54" t="s">
        <v>323</v>
      </c>
      <c r="B289" s="55"/>
      <c r="C289" s="55"/>
      <c r="D289" s="55"/>
      <c r="E289" s="55"/>
      <c r="F289" s="55"/>
      <c r="G289" s="55"/>
      <c r="H289" s="55"/>
      <c r="I289" s="55"/>
      <c r="J289" s="55"/>
    </row>
    <row r="290" customFormat="false" ht="15" hidden="false" customHeight="false" outlineLevel="0" collapsed="false">
      <c r="A290" s="5" t="n">
        <v>228</v>
      </c>
      <c r="B290" s="6" t="s">
        <v>323</v>
      </c>
      <c r="C290" s="6" t="s">
        <v>12</v>
      </c>
      <c r="D290" s="6" t="s">
        <v>626</v>
      </c>
      <c r="E290" s="56" t="n">
        <f aca="false">Narxlar!$C$10</f>
        <v>24</v>
      </c>
      <c r="F290" s="75"/>
      <c r="G290" s="75" t="n">
        <f aca="false">E290</f>
        <v>24</v>
      </c>
      <c r="H290" s="5" t="s">
        <v>345</v>
      </c>
      <c r="I290" s="7" t="n">
        <f aca="false">Narxlar!$C$9</f>
        <v>84</v>
      </c>
      <c r="J290" s="77" t="n">
        <f aca="false">G290*I290</f>
        <v>2016</v>
      </c>
      <c r="K290" s="24" t="s">
        <v>179</v>
      </c>
    </row>
    <row r="291" customFormat="false" ht="15" hidden="false" customHeight="false" outlineLevel="0" collapsed="false">
      <c r="A291" s="5" t="n">
        <v>229</v>
      </c>
      <c r="B291" s="6" t="s">
        <v>323</v>
      </c>
      <c r="C291" s="6" t="s">
        <v>12</v>
      </c>
      <c r="D291" s="6" t="s">
        <v>627</v>
      </c>
      <c r="E291" s="74" t="n">
        <v>3.65</v>
      </c>
      <c r="F291" s="75"/>
      <c r="G291" s="75" t="n">
        <f aca="false">E291</f>
        <v>3.65</v>
      </c>
      <c r="H291" s="5" t="s">
        <v>345</v>
      </c>
      <c r="I291" s="7" t="n">
        <f aca="false">Narxlar!$C$9</f>
        <v>84</v>
      </c>
      <c r="J291" s="77" t="n">
        <f aca="false">G291*I291</f>
        <v>306.6</v>
      </c>
      <c r="K291" s="24" t="s">
        <v>179</v>
      </c>
    </row>
    <row r="292" customFormat="false" ht="15" hidden="false" customHeight="false" outlineLevel="0" collapsed="false">
      <c r="A292" s="78"/>
      <c r="B292" s="78"/>
      <c r="C292" s="78"/>
      <c r="D292" s="11" t="s">
        <v>628</v>
      </c>
      <c r="E292" s="78"/>
      <c r="F292" s="78"/>
      <c r="G292" s="78"/>
      <c r="H292" s="78"/>
      <c r="I292" s="78"/>
      <c r="J292" s="12" t="n">
        <f aca="false">SUM(J290:J291)</f>
        <v>2322.6</v>
      </c>
    </row>
    <row r="294" customFormat="false" ht="15" hidden="false" customHeight="false" outlineLevel="0" collapsed="false">
      <c r="A294" s="54" t="s">
        <v>324</v>
      </c>
      <c r="B294" s="55"/>
      <c r="C294" s="55"/>
      <c r="D294" s="55"/>
      <c r="E294" s="55"/>
      <c r="F294" s="55"/>
      <c r="G294" s="55"/>
      <c r="H294" s="55"/>
      <c r="I294" s="55"/>
      <c r="J294" s="55"/>
    </row>
    <row r="295" customFormat="false" ht="15" hidden="false" customHeight="false" outlineLevel="0" collapsed="false">
      <c r="A295" s="5" t="n">
        <v>230</v>
      </c>
      <c r="B295" s="6" t="s">
        <v>324</v>
      </c>
      <c r="C295" s="6" t="s">
        <v>14</v>
      </c>
      <c r="D295" s="6" t="s">
        <v>185</v>
      </c>
      <c r="E295" s="74"/>
      <c r="F295" s="75"/>
      <c r="G295" s="57" t="n">
        <f aca="false">Narxlar!$C$14</f>
        <v>24</v>
      </c>
      <c r="H295" s="5" t="s">
        <v>351</v>
      </c>
      <c r="I295" s="7" t="n">
        <f aca="false">Narxlar!$C$13</f>
        <v>40</v>
      </c>
      <c r="J295" s="77" t="n">
        <f aca="false">G295*I295</f>
        <v>960</v>
      </c>
      <c r="K295" s="24" t="s">
        <v>184</v>
      </c>
    </row>
    <row r="296" customFormat="false" ht="15" hidden="false" customHeight="false" outlineLevel="0" collapsed="false">
      <c r="A296" s="5" t="n">
        <v>231</v>
      </c>
      <c r="B296" s="6" t="s">
        <v>324</v>
      </c>
      <c r="C296" s="6" t="s">
        <v>14</v>
      </c>
      <c r="D296" s="6" t="s">
        <v>629</v>
      </c>
      <c r="E296" s="74"/>
      <c r="F296" s="75"/>
      <c r="G296" s="57" t="n">
        <f aca="false">Narxlar!$C$14</f>
        <v>24</v>
      </c>
      <c r="H296" s="5" t="s">
        <v>351</v>
      </c>
      <c r="I296" s="7" t="n">
        <f aca="false">Narxlar!$C$15</f>
        <v>21</v>
      </c>
      <c r="J296" s="77" t="n">
        <f aca="false">G296*I296</f>
        <v>504</v>
      </c>
      <c r="K296" s="24" t="s">
        <v>186</v>
      </c>
    </row>
    <row r="297" customFormat="false" ht="15" hidden="false" customHeight="false" outlineLevel="0" collapsed="false">
      <c r="A297" s="5" t="n">
        <v>232</v>
      </c>
      <c r="B297" s="6" t="s">
        <v>324</v>
      </c>
      <c r="C297" s="6" t="s">
        <v>14</v>
      </c>
      <c r="D297" s="6" t="s">
        <v>189</v>
      </c>
      <c r="E297" s="74"/>
      <c r="F297" s="75"/>
      <c r="G297" s="76" t="n">
        <v>1</v>
      </c>
      <c r="H297" s="5" t="s">
        <v>351</v>
      </c>
      <c r="I297" s="7" t="n">
        <f aca="false">Narxlar!$C$16</f>
        <v>840</v>
      </c>
      <c r="J297" s="77" t="n">
        <f aca="false">G297*I297</f>
        <v>840</v>
      </c>
      <c r="K297" s="24" t="s">
        <v>188</v>
      </c>
    </row>
    <row r="298" customFormat="false" ht="15" hidden="false" customHeight="false" outlineLevel="0" collapsed="false">
      <c r="A298" s="5" t="n">
        <v>233</v>
      </c>
      <c r="B298" s="6" t="s">
        <v>324</v>
      </c>
      <c r="C298" s="6" t="s">
        <v>14</v>
      </c>
      <c r="D298" s="6" t="s">
        <v>630</v>
      </c>
      <c r="E298" s="74"/>
      <c r="F298" s="75"/>
      <c r="G298" s="57" t="n">
        <f aca="false">Narxlar!$C$18</f>
        <v>1.5</v>
      </c>
      <c r="H298" s="5" t="s">
        <v>357</v>
      </c>
      <c r="I298" s="7" t="n">
        <f aca="false">Narxlar!$C$17</f>
        <v>303</v>
      </c>
      <c r="J298" s="77" t="n">
        <f aca="false">G298*I298</f>
        <v>454.5</v>
      </c>
      <c r="K298" s="24" t="s">
        <v>130</v>
      </c>
    </row>
    <row r="299" customFormat="false" ht="15" hidden="false" customHeight="false" outlineLevel="0" collapsed="false">
      <c r="A299" s="5" t="n">
        <v>234</v>
      </c>
      <c r="B299" s="6" t="s">
        <v>324</v>
      </c>
      <c r="C299" s="6" t="s">
        <v>14</v>
      </c>
      <c r="D299" s="6" t="s">
        <v>631</v>
      </c>
      <c r="E299" s="74"/>
      <c r="F299" s="75"/>
      <c r="G299" s="76" t="n">
        <v>1</v>
      </c>
      <c r="H299" s="5" t="s">
        <v>351</v>
      </c>
      <c r="I299" s="7" t="n">
        <f aca="false">Narxlar!$C$19</f>
        <v>280</v>
      </c>
      <c r="J299" s="77" t="n">
        <f aca="false">G299*I299</f>
        <v>280</v>
      </c>
      <c r="K299" s="24" t="s">
        <v>190</v>
      </c>
    </row>
    <row r="300" customFormat="false" ht="15" hidden="false" customHeight="false" outlineLevel="0" collapsed="false">
      <c r="A300" s="5" t="n">
        <v>235</v>
      </c>
      <c r="B300" s="6" t="s">
        <v>324</v>
      </c>
      <c r="C300" s="6" t="s">
        <v>14</v>
      </c>
      <c r="D300" s="6" t="s">
        <v>632</v>
      </c>
      <c r="E300" s="74"/>
      <c r="F300" s="75"/>
      <c r="G300" s="76" t="n">
        <v>1</v>
      </c>
      <c r="H300" s="5" t="s">
        <v>351</v>
      </c>
      <c r="I300" s="7" t="n">
        <f aca="false">Narxlar!$C$20</f>
        <v>220</v>
      </c>
      <c r="J300" s="77" t="n">
        <f aca="false">G300*I300</f>
        <v>220</v>
      </c>
      <c r="K300" s="24" t="s">
        <v>192</v>
      </c>
    </row>
    <row r="301" customFormat="false" ht="15" hidden="false" customHeight="false" outlineLevel="0" collapsed="false">
      <c r="A301" s="5" t="n">
        <v>236</v>
      </c>
      <c r="B301" s="6" t="s">
        <v>324</v>
      </c>
      <c r="C301" s="6" t="s">
        <v>14</v>
      </c>
      <c r="D301" s="6" t="s">
        <v>633</v>
      </c>
      <c r="E301" s="74"/>
      <c r="F301" s="75"/>
      <c r="G301" s="76" t="n">
        <v>1</v>
      </c>
      <c r="H301" s="5" t="s">
        <v>351</v>
      </c>
      <c r="I301" s="7" t="n">
        <f aca="false">Narxlar!$C$21</f>
        <v>180</v>
      </c>
      <c r="J301" s="77" t="n">
        <f aca="false">G301*I301</f>
        <v>180</v>
      </c>
      <c r="K301" s="24" t="s">
        <v>194</v>
      </c>
    </row>
    <row r="302" customFormat="false" ht="15" hidden="false" customHeight="false" outlineLevel="0" collapsed="false">
      <c r="A302" s="5" t="n">
        <v>237</v>
      </c>
      <c r="B302" s="6" t="s">
        <v>324</v>
      </c>
      <c r="C302" s="6" t="s">
        <v>15</v>
      </c>
      <c r="D302" s="6" t="s">
        <v>634</v>
      </c>
      <c r="E302" s="74"/>
      <c r="F302" s="75"/>
      <c r="G302" s="76" t="n">
        <v>1</v>
      </c>
      <c r="H302" s="5" t="s">
        <v>357</v>
      </c>
      <c r="I302" s="7" t="n">
        <f aca="false">Narxlar!$C$57</f>
        <v>2500</v>
      </c>
      <c r="J302" s="77" t="n">
        <f aca="false">G302*I302</f>
        <v>2500</v>
      </c>
      <c r="K302" s="24" t="s">
        <v>100</v>
      </c>
    </row>
    <row r="303" customFormat="false" ht="15" hidden="false" customHeight="false" outlineLevel="0" collapsed="false">
      <c r="A303" s="5" t="n">
        <v>238</v>
      </c>
      <c r="B303" s="6" t="s">
        <v>324</v>
      </c>
      <c r="C303" s="6" t="s">
        <v>16</v>
      </c>
      <c r="D303" s="6" t="s">
        <v>635</v>
      </c>
      <c r="E303" s="74"/>
      <c r="F303" s="75"/>
      <c r="G303" s="57" t="n">
        <f aca="false">Narxlar!$C$60</f>
        <v>8</v>
      </c>
      <c r="H303" s="5" t="s">
        <v>351</v>
      </c>
      <c r="I303" s="7" t="n">
        <f aca="false">Narxlar!$C$59/Narxlar!$C$58</f>
        <v>67.2268907563025</v>
      </c>
      <c r="J303" s="77" t="n">
        <f aca="false">G303*I303</f>
        <v>537.81512605042</v>
      </c>
      <c r="K303" s="24" t="s">
        <v>196</v>
      </c>
    </row>
    <row r="304" customFormat="false" ht="15" hidden="false" customHeight="false" outlineLevel="0" collapsed="false">
      <c r="A304" s="5" t="n">
        <v>239</v>
      </c>
      <c r="B304" s="6" t="s">
        <v>324</v>
      </c>
      <c r="C304" s="6" t="s">
        <v>17</v>
      </c>
      <c r="D304" s="6" t="s">
        <v>636</v>
      </c>
      <c r="E304" s="74"/>
      <c r="F304" s="75"/>
      <c r="G304" s="76" t="n">
        <v>1</v>
      </c>
      <c r="H304" s="5" t="s">
        <v>357</v>
      </c>
      <c r="I304" s="7" t="n">
        <f aca="false">Narxlar!$C$61/Narxlar!$C$58</f>
        <v>1512.60504201681</v>
      </c>
      <c r="J304" s="77" t="n">
        <f aca="false">G304*I304</f>
        <v>1512.60504201681</v>
      </c>
      <c r="K304" s="24" t="s">
        <v>132</v>
      </c>
    </row>
    <row r="305" customFormat="false" ht="15" hidden="false" customHeight="false" outlineLevel="0" collapsed="false">
      <c r="A305" s="5" t="n">
        <v>240</v>
      </c>
      <c r="B305" s="6" t="s">
        <v>324</v>
      </c>
      <c r="C305" s="6" t="s">
        <v>18</v>
      </c>
      <c r="D305" s="6" t="s">
        <v>637</v>
      </c>
      <c r="E305" s="74" t="n">
        <v>3.65</v>
      </c>
      <c r="F305" s="56" t="n">
        <f aca="false">Narxlar!$C$133</f>
        <v>3.5</v>
      </c>
      <c r="G305" s="75" t="n">
        <f aca="false">E305*F305</f>
        <v>12.775</v>
      </c>
      <c r="H305" s="5" t="s">
        <v>424</v>
      </c>
      <c r="I305" s="7" t="n">
        <f aca="false">Narxlar!$C$62/Narxlar!$C$58</f>
        <v>4.20168067226891</v>
      </c>
      <c r="J305" s="77" t="n">
        <f aca="false">G305*I305</f>
        <v>53.6764705882353</v>
      </c>
      <c r="K305" s="24" t="s">
        <v>124</v>
      </c>
    </row>
    <row r="306" customFormat="false" ht="15" hidden="false" customHeight="false" outlineLevel="0" collapsed="false">
      <c r="A306" s="5" t="n">
        <v>241</v>
      </c>
      <c r="B306" s="6" t="s">
        <v>324</v>
      </c>
      <c r="C306" s="6" t="s">
        <v>18</v>
      </c>
      <c r="D306" s="6" t="s">
        <v>638</v>
      </c>
      <c r="E306" s="74" t="n">
        <v>1.1</v>
      </c>
      <c r="F306" s="56" t="n">
        <f aca="false">Narxlar!$C$133</f>
        <v>3.5</v>
      </c>
      <c r="G306" s="75" t="n">
        <f aca="false">E306*F306</f>
        <v>3.85</v>
      </c>
      <c r="H306" s="5" t="s">
        <v>424</v>
      </c>
      <c r="I306" s="7" t="n">
        <f aca="false">Narxlar!$C$62/Narxlar!$C$58</f>
        <v>4.20168067226891</v>
      </c>
      <c r="J306" s="77" t="n">
        <f aca="false">G306*I306</f>
        <v>16.1764705882353</v>
      </c>
      <c r="K306" s="24" t="s">
        <v>124</v>
      </c>
    </row>
    <row r="307" customFormat="false" ht="15" hidden="false" customHeight="false" outlineLevel="0" collapsed="false">
      <c r="A307" s="5" t="n">
        <v>242</v>
      </c>
      <c r="B307" s="6" t="s">
        <v>324</v>
      </c>
      <c r="C307" s="6" t="s">
        <v>18</v>
      </c>
      <c r="D307" s="6" t="s">
        <v>639</v>
      </c>
      <c r="E307" s="74" t="n">
        <v>0.75</v>
      </c>
      <c r="F307" s="56" t="n">
        <f aca="false">Narxlar!$C$133</f>
        <v>3.5</v>
      </c>
      <c r="G307" s="75" t="n">
        <f aca="false">E307*F307</f>
        <v>2.625</v>
      </c>
      <c r="H307" s="5" t="s">
        <v>424</v>
      </c>
      <c r="I307" s="7" t="n">
        <f aca="false">Narxlar!$C$62/Narxlar!$C$58</f>
        <v>4.20168067226891</v>
      </c>
      <c r="J307" s="77" t="n">
        <f aca="false">G307*I307</f>
        <v>11.0294117647059</v>
      </c>
      <c r="K307" s="24" t="s">
        <v>124</v>
      </c>
    </row>
    <row r="308" customFormat="false" ht="15" hidden="false" customHeight="false" outlineLevel="0" collapsed="false">
      <c r="A308" s="5" t="n">
        <v>243</v>
      </c>
      <c r="B308" s="6" t="s">
        <v>324</v>
      </c>
      <c r="C308" s="6" t="s">
        <v>18</v>
      </c>
      <c r="D308" s="6" t="s">
        <v>639</v>
      </c>
      <c r="E308" s="74" t="n">
        <v>3.4</v>
      </c>
      <c r="F308" s="56" t="n">
        <f aca="false">Narxlar!$C$133</f>
        <v>3.5</v>
      </c>
      <c r="G308" s="75" t="n">
        <f aca="false">E308*F308</f>
        <v>11.9</v>
      </c>
      <c r="H308" s="5" t="s">
        <v>424</v>
      </c>
      <c r="I308" s="7" t="n">
        <f aca="false">Narxlar!$C$62/Narxlar!$C$58</f>
        <v>4.20168067226891</v>
      </c>
      <c r="J308" s="77" t="n">
        <f aca="false">G308*I308</f>
        <v>50</v>
      </c>
      <c r="K308" s="24" t="s">
        <v>124</v>
      </c>
    </row>
    <row r="309" customFormat="false" ht="15" hidden="false" customHeight="false" outlineLevel="0" collapsed="false">
      <c r="A309" s="5" t="n">
        <v>244</v>
      </c>
      <c r="B309" s="6" t="s">
        <v>324</v>
      </c>
      <c r="C309" s="6" t="s">
        <v>18</v>
      </c>
      <c r="D309" s="6" t="s">
        <v>640</v>
      </c>
      <c r="E309" s="74" t="n">
        <v>4.2</v>
      </c>
      <c r="F309" s="56" t="n">
        <f aca="false">Narxlar!$C$133</f>
        <v>3.5</v>
      </c>
      <c r="G309" s="75" t="n">
        <f aca="false">E309*F309</f>
        <v>14.7</v>
      </c>
      <c r="H309" s="5" t="s">
        <v>424</v>
      </c>
      <c r="I309" s="7" t="n">
        <f aca="false">Narxlar!$C$62/Narxlar!$C$58</f>
        <v>4.20168067226891</v>
      </c>
      <c r="J309" s="77" t="n">
        <f aca="false">G309*I309</f>
        <v>61.764705882353</v>
      </c>
      <c r="K309" s="24" t="s">
        <v>124</v>
      </c>
    </row>
    <row r="310" customFormat="false" ht="15" hidden="false" customHeight="false" outlineLevel="0" collapsed="false">
      <c r="A310" s="5" t="n">
        <v>245</v>
      </c>
      <c r="B310" s="6" t="s">
        <v>324</v>
      </c>
      <c r="C310" s="6" t="s">
        <v>18</v>
      </c>
      <c r="D310" s="6" t="s">
        <v>638</v>
      </c>
      <c r="E310" s="74" t="n">
        <v>1.5</v>
      </c>
      <c r="F310" s="56" t="n">
        <f aca="false">Narxlar!$C$133</f>
        <v>3.5</v>
      </c>
      <c r="G310" s="75" t="n">
        <f aca="false">E310*F310</f>
        <v>5.25</v>
      </c>
      <c r="H310" s="5" t="s">
        <v>424</v>
      </c>
      <c r="I310" s="7" t="n">
        <f aca="false">Narxlar!$C$62/Narxlar!$C$58</f>
        <v>4.20168067226891</v>
      </c>
      <c r="J310" s="77" t="n">
        <f aca="false">G310*I310</f>
        <v>22.0588235294118</v>
      </c>
      <c r="K310" s="24" t="s">
        <v>124</v>
      </c>
    </row>
    <row r="311" customFormat="false" ht="15" hidden="false" customHeight="false" outlineLevel="0" collapsed="false">
      <c r="A311" s="5" t="n">
        <v>246</v>
      </c>
      <c r="B311" s="6" t="s">
        <v>324</v>
      </c>
      <c r="C311" s="6" t="s">
        <v>18</v>
      </c>
      <c r="D311" s="6" t="s">
        <v>641</v>
      </c>
      <c r="E311" s="74" t="n">
        <v>0.2</v>
      </c>
      <c r="F311" s="56" t="n">
        <f aca="false">Narxlar!$C$133</f>
        <v>3.5</v>
      </c>
      <c r="G311" s="75" t="n">
        <f aca="false">E311*F311</f>
        <v>0.7</v>
      </c>
      <c r="H311" s="5" t="s">
        <v>424</v>
      </c>
      <c r="I311" s="7" t="n">
        <f aca="false">Narxlar!$C$62/Narxlar!$C$58</f>
        <v>4.20168067226891</v>
      </c>
      <c r="J311" s="77" t="n">
        <f aca="false">G311*I311</f>
        <v>2.94117647058824</v>
      </c>
      <c r="K311" s="24" t="s">
        <v>124</v>
      </c>
    </row>
    <row r="312" customFormat="false" ht="15" hidden="false" customHeight="false" outlineLevel="0" collapsed="false">
      <c r="A312" s="5" t="n">
        <v>247</v>
      </c>
      <c r="B312" s="6" t="s">
        <v>324</v>
      </c>
      <c r="C312" s="6" t="s">
        <v>18</v>
      </c>
      <c r="D312" s="6" t="s">
        <v>638</v>
      </c>
      <c r="E312" s="74" t="n">
        <v>1.5</v>
      </c>
      <c r="F312" s="56" t="n">
        <f aca="false">Narxlar!$C$133</f>
        <v>3.5</v>
      </c>
      <c r="G312" s="75" t="n">
        <f aca="false">E312*F312</f>
        <v>5.25</v>
      </c>
      <c r="H312" s="5" t="s">
        <v>424</v>
      </c>
      <c r="I312" s="7" t="n">
        <f aca="false">Narxlar!$C$62/Narxlar!$C$58</f>
        <v>4.20168067226891</v>
      </c>
      <c r="J312" s="77" t="n">
        <f aca="false">G312*I312</f>
        <v>22.0588235294118</v>
      </c>
      <c r="K312" s="24" t="s">
        <v>124</v>
      </c>
    </row>
    <row r="313" customFormat="false" ht="15" hidden="false" customHeight="false" outlineLevel="0" collapsed="false">
      <c r="A313" s="5" t="n">
        <v>248</v>
      </c>
      <c r="B313" s="6" t="s">
        <v>324</v>
      </c>
      <c r="C313" s="6" t="s">
        <v>18</v>
      </c>
      <c r="D313" s="6" t="s">
        <v>642</v>
      </c>
      <c r="E313" s="74"/>
      <c r="F313" s="75"/>
      <c r="G313" s="76" t="n">
        <v>1</v>
      </c>
      <c r="H313" s="5" t="s">
        <v>357</v>
      </c>
      <c r="I313" s="7" t="n">
        <f aca="false">Narxlar!$C$63/Narxlar!$C$58</f>
        <v>100.840336134454</v>
      </c>
      <c r="J313" s="77" t="n">
        <f aca="false">G313*I313</f>
        <v>100.840336134454</v>
      </c>
      <c r="K313" s="24" t="s">
        <v>126</v>
      </c>
    </row>
    <row r="314" customFormat="false" ht="15" hidden="false" customHeight="false" outlineLevel="0" collapsed="false">
      <c r="A314" s="5" t="n">
        <v>249</v>
      </c>
      <c r="B314" s="6" t="s">
        <v>324</v>
      </c>
      <c r="C314" s="6" t="s">
        <v>21</v>
      </c>
      <c r="D314" s="6" t="s">
        <v>643</v>
      </c>
      <c r="E314" s="74"/>
      <c r="F314" s="75"/>
      <c r="G314" s="57" t="n">
        <f aca="false">Narxlar!$C$92</f>
        <v>2</v>
      </c>
      <c r="H314" s="5" t="s">
        <v>351</v>
      </c>
      <c r="I314" s="7" t="n">
        <f aca="false">Narxlar!$C$91</f>
        <v>5000</v>
      </c>
      <c r="J314" s="77" t="n">
        <f aca="false">G314*I314</f>
        <v>10000</v>
      </c>
      <c r="K314" s="24" t="s">
        <v>102</v>
      </c>
    </row>
    <row r="315" customFormat="false" ht="15" hidden="false" customHeight="false" outlineLevel="0" collapsed="false">
      <c r="A315" s="5" t="n">
        <v>250</v>
      </c>
      <c r="B315" s="6" t="s">
        <v>324</v>
      </c>
      <c r="C315" s="6" t="s">
        <v>21</v>
      </c>
      <c r="D315" s="6" t="s">
        <v>644</v>
      </c>
      <c r="E315" s="74"/>
      <c r="F315" s="75"/>
      <c r="G315" s="56" t="n">
        <f aca="false">Narxlar!$C$94</f>
        <v>175</v>
      </c>
      <c r="H315" s="5" t="s">
        <v>345</v>
      </c>
      <c r="I315" s="7" t="n">
        <f aca="false">Narxlar!$C$93/Narxlar!$C$58</f>
        <v>25.2100840336134</v>
      </c>
      <c r="J315" s="77" t="n">
        <f aca="false">G315*I315</f>
        <v>4411.76470588235</v>
      </c>
      <c r="K315" s="24" t="s">
        <v>144</v>
      </c>
    </row>
    <row r="316" customFormat="false" ht="15" hidden="false" customHeight="false" outlineLevel="0" collapsed="false">
      <c r="A316" s="5" t="n">
        <v>251</v>
      </c>
      <c r="B316" s="6" t="s">
        <v>324</v>
      </c>
      <c r="C316" s="6" t="s">
        <v>21</v>
      </c>
      <c r="D316" s="6" t="s">
        <v>645</v>
      </c>
      <c r="E316" s="74"/>
      <c r="F316" s="75"/>
      <c r="G316" s="57" t="n">
        <f aca="false">Narxlar!$C$96</f>
        <v>18</v>
      </c>
      <c r="H316" s="5" t="s">
        <v>351</v>
      </c>
      <c r="I316" s="7" t="n">
        <f aca="false">Narxlar!$C$95</f>
        <v>60</v>
      </c>
      <c r="J316" s="77" t="n">
        <f aca="false">G316*I316</f>
        <v>1080</v>
      </c>
      <c r="K316" s="24" t="s">
        <v>212</v>
      </c>
    </row>
    <row r="317" customFormat="false" ht="15" hidden="false" customHeight="false" outlineLevel="0" collapsed="false">
      <c r="A317" s="5" t="n">
        <v>252</v>
      </c>
      <c r="B317" s="6" t="s">
        <v>324</v>
      </c>
      <c r="C317" s="6" t="s">
        <v>21</v>
      </c>
      <c r="D317" s="6" t="s">
        <v>646</v>
      </c>
      <c r="E317" s="74"/>
      <c r="F317" s="75"/>
      <c r="G317" s="57" t="n">
        <f aca="false">Narxlar!$C$98</f>
        <v>18</v>
      </c>
      <c r="H317" s="5" t="s">
        <v>351</v>
      </c>
      <c r="I317" s="7" t="n">
        <f aca="false">Narxlar!$C$97</f>
        <v>15</v>
      </c>
      <c r="J317" s="77" t="n">
        <f aca="false">G317*I317</f>
        <v>270</v>
      </c>
      <c r="K317" s="24" t="s">
        <v>214</v>
      </c>
    </row>
    <row r="318" customFormat="false" ht="15" hidden="false" customHeight="false" outlineLevel="0" collapsed="false">
      <c r="A318" s="5" t="n">
        <v>253</v>
      </c>
      <c r="B318" s="6" t="s">
        <v>324</v>
      </c>
      <c r="C318" s="6" t="s">
        <v>21</v>
      </c>
      <c r="D318" s="6" t="s">
        <v>647</v>
      </c>
      <c r="E318" s="74"/>
      <c r="F318" s="75"/>
      <c r="G318" s="76" t="n">
        <v>1</v>
      </c>
      <c r="H318" s="5" t="s">
        <v>357</v>
      </c>
      <c r="I318" s="7" t="n">
        <f aca="false">Narxlar!$C$99</f>
        <v>400</v>
      </c>
      <c r="J318" s="77" t="n">
        <f aca="false">G318*I318</f>
        <v>400</v>
      </c>
      <c r="K318" s="24" t="s">
        <v>216</v>
      </c>
    </row>
    <row r="319" customFormat="false" ht="15" hidden="false" customHeight="false" outlineLevel="0" collapsed="false">
      <c r="A319" s="5" t="n">
        <v>254</v>
      </c>
      <c r="B319" s="6" t="s">
        <v>324</v>
      </c>
      <c r="C319" s="6" t="s">
        <v>21</v>
      </c>
      <c r="D319" s="6" t="s">
        <v>648</v>
      </c>
      <c r="E319" s="74"/>
      <c r="F319" s="75"/>
      <c r="G319" s="76" t="n">
        <v>1</v>
      </c>
      <c r="H319" s="5" t="s">
        <v>351</v>
      </c>
      <c r="I319" s="7" t="n">
        <f aca="false">Narxlar!$C$100</f>
        <v>900</v>
      </c>
      <c r="J319" s="77" t="n">
        <f aca="false">G319*I319</f>
        <v>900</v>
      </c>
      <c r="K319" s="24" t="s">
        <v>146</v>
      </c>
    </row>
    <row r="320" customFormat="false" ht="15" hidden="false" customHeight="false" outlineLevel="0" collapsed="false">
      <c r="A320" s="5" t="n">
        <v>255</v>
      </c>
      <c r="B320" s="6" t="s">
        <v>324</v>
      </c>
      <c r="C320" s="6" t="s">
        <v>25</v>
      </c>
      <c r="D320" s="6" t="s">
        <v>649</v>
      </c>
      <c r="E320" s="74"/>
      <c r="F320" s="75"/>
      <c r="G320" s="57" t="n">
        <f aca="false">Narxlar!$C$27</f>
        <v>16</v>
      </c>
      <c r="H320" s="5" t="s">
        <v>351</v>
      </c>
      <c r="I320" s="7" t="n">
        <f aca="false">Narxlar!$C$26/Narxlar!$C$58</f>
        <v>10.0840336134454</v>
      </c>
      <c r="J320" s="77" t="n">
        <f aca="false">G320*I320</f>
        <v>161.344537815126</v>
      </c>
      <c r="K320" s="24" t="s">
        <v>230</v>
      </c>
    </row>
    <row r="321" customFormat="false" ht="15" hidden="false" customHeight="false" outlineLevel="0" collapsed="false">
      <c r="A321" s="5" t="n">
        <v>256</v>
      </c>
      <c r="B321" s="6" t="s">
        <v>324</v>
      </c>
      <c r="C321" s="6" t="s">
        <v>25</v>
      </c>
      <c r="D321" s="6" t="s">
        <v>650</v>
      </c>
      <c r="E321" s="74"/>
      <c r="F321" s="75"/>
      <c r="G321" s="57" t="n">
        <f aca="false">Narxlar!$C$29</f>
        <v>6</v>
      </c>
      <c r="H321" s="5" t="s">
        <v>351</v>
      </c>
      <c r="I321" s="7" t="n">
        <f aca="false">Narxlar!$C$28</f>
        <v>130</v>
      </c>
      <c r="J321" s="77" t="n">
        <f aca="false">G321*I321</f>
        <v>780</v>
      </c>
      <c r="K321" s="24" t="s">
        <v>232</v>
      </c>
    </row>
    <row r="322" customFormat="false" ht="15" hidden="false" customHeight="false" outlineLevel="0" collapsed="false">
      <c r="A322" s="5" t="n">
        <v>257</v>
      </c>
      <c r="B322" s="6" t="s">
        <v>324</v>
      </c>
      <c r="C322" s="6" t="s">
        <v>25</v>
      </c>
      <c r="D322" s="6" t="s">
        <v>651</v>
      </c>
      <c r="E322" s="74"/>
      <c r="F322" s="75"/>
      <c r="G322" s="76" t="n">
        <v>1</v>
      </c>
      <c r="H322" s="5" t="s">
        <v>351</v>
      </c>
      <c r="I322" s="7" t="n">
        <f aca="false">Narxlar!$C$22</f>
        <v>200</v>
      </c>
      <c r="J322" s="77" t="n">
        <f aca="false">G322*I322</f>
        <v>200</v>
      </c>
      <c r="K322" s="24" t="s">
        <v>234</v>
      </c>
    </row>
    <row r="323" customFormat="false" ht="15" hidden="false" customHeight="false" outlineLevel="0" collapsed="false">
      <c r="A323" s="5" t="n">
        <v>258</v>
      </c>
      <c r="B323" s="6" t="s">
        <v>324</v>
      </c>
      <c r="C323" s="6" t="s">
        <v>25</v>
      </c>
      <c r="D323" s="6" t="s">
        <v>652</v>
      </c>
      <c r="E323" s="74"/>
      <c r="F323" s="75"/>
      <c r="G323" s="76" t="n">
        <v>1</v>
      </c>
      <c r="H323" s="5" t="s">
        <v>351</v>
      </c>
      <c r="I323" s="7" t="n">
        <f aca="false">Narxlar!$C$23</f>
        <v>350</v>
      </c>
      <c r="J323" s="77" t="n">
        <f aca="false">G323*I323</f>
        <v>350</v>
      </c>
      <c r="K323" s="24" t="s">
        <v>236</v>
      </c>
    </row>
    <row r="324" customFormat="false" ht="15" hidden="false" customHeight="false" outlineLevel="0" collapsed="false">
      <c r="A324" s="5" t="n">
        <v>259</v>
      </c>
      <c r="B324" s="6" t="s">
        <v>324</v>
      </c>
      <c r="C324" s="6" t="s">
        <v>25</v>
      </c>
      <c r="D324" s="6" t="s">
        <v>653</v>
      </c>
      <c r="E324" s="74"/>
      <c r="F324" s="75"/>
      <c r="G324" s="57" t="n">
        <f aca="false">Narxlar!$C$25</f>
        <v>3</v>
      </c>
      <c r="H324" s="5" t="s">
        <v>351</v>
      </c>
      <c r="I324" s="7" t="n">
        <f aca="false">Narxlar!$C$24</f>
        <v>60</v>
      </c>
      <c r="J324" s="77" t="n">
        <f aca="false">G324*I324</f>
        <v>180</v>
      </c>
      <c r="K324" s="24" t="s">
        <v>238</v>
      </c>
    </row>
    <row r="325" customFormat="false" ht="15" hidden="false" customHeight="false" outlineLevel="0" collapsed="false">
      <c r="A325" s="5" t="n">
        <v>260</v>
      </c>
      <c r="B325" s="6" t="s">
        <v>324</v>
      </c>
      <c r="C325" s="6" t="s">
        <v>25</v>
      </c>
      <c r="D325" s="6" t="s">
        <v>654</v>
      </c>
      <c r="E325" s="74"/>
      <c r="F325" s="75"/>
      <c r="G325" s="56" t="n">
        <f aca="false">Narxlar!$C$31</f>
        <v>983</v>
      </c>
      <c r="H325" s="5" t="s">
        <v>345</v>
      </c>
      <c r="I325" s="7" t="n">
        <f aca="false">Narxlar!$C$30/Narxlar!$C$58</f>
        <v>0.504201680672269</v>
      </c>
      <c r="J325" s="77" t="n">
        <f aca="false">G325*I325</f>
        <v>495.63025210084</v>
      </c>
      <c r="K325" s="24" t="s">
        <v>150</v>
      </c>
    </row>
    <row r="326" customFormat="false" ht="15" hidden="false" customHeight="false" outlineLevel="0" collapsed="false">
      <c r="A326" s="5" t="n">
        <v>261</v>
      </c>
      <c r="B326" s="6" t="s">
        <v>324</v>
      </c>
      <c r="C326" s="6" t="s">
        <v>25</v>
      </c>
      <c r="D326" s="6" t="s">
        <v>655</v>
      </c>
      <c r="E326" s="74"/>
      <c r="F326" s="75"/>
      <c r="G326" s="56" t="n">
        <f aca="false">Narxlar!$C$35</f>
        <v>82</v>
      </c>
      <c r="H326" s="5" t="s">
        <v>345</v>
      </c>
      <c r="I326" s="7" t="n">
        <f aca="false">Narxlar!$C$34/Narxlar!$C$58</f>
        <v>4.6218487394958</v>
      </c>
      <c r="J326" s="77" t="n">
        <f aca="false">G326*I326</f>
        <v>378.991596638655</v>
      </c>
      <c r="K326" s="24" t="s">
        <v>152</v>
      </c>
    </row>
    <row r="327" customFormat="false" ht="15" hidden="false" customHeight="false" outlineLevel="0" collapsed="false">
      <c r="A327" s="5" t="n">
        <v>262</v>
      </c>
      <c r="B327" s="6" t="s">
        <v>324</v>
      </c>
      <c r="C327" s="6" t="s">
        <v>25</v>
      </c>
      <c r="D327" s="6" t="s">
        <v>656</v>
      </c>
      <c r="E327" s="74"/>
      <c r="F327" s="75"/>
      <c r="G327" s="57" t="n">
        <f aca="false">Narxlar!$C$33</f>
        <v>38</v>
      </c>
      <c r="H327" s="5" t="s">
        <v>374</v>
      </c>
      <c r="I327" s="7" t="n">
        <f aca="false">Narxlar!$C$32/Narxlar!$C$58</f>
        <v>5.04201680672269</v>
      </c>
      <c r="J327" s="77" t="n">
        <f aca="false">G327*I327</f>
        <v>191.596638655462</v>
      </c>
      <c r="K327" s="24" t="s">
        <v>154</v>
      </c>
    </row>
    <row r="328" customFormat="false" ht="15" hidden="false" customHeight="false" outlineLevel="0" collapsed="false">
      <c r="A328" s="5" t="n">
        <v>263</v>
      </c>
      <c r="B328" s="6" t="s">
        <v>324</v>
      </c>
      <c r="C328" s="6" t="s">
        <v>26</v>
      </c>
      <c r="D328" s="6" t="s">
        <v>157</v>
      </c>
      <c r="E328" s="74"/>
      <c r="F328" s="75"/>
      <c r="G328" s="56" t="n">
        <f aca="false">Narxlar!$C$38</f>
        <v>538</v>
      </c>
      <c r="H328" s="5" t="s">
        <v>345</v>
      </c>
      <c r="I328" s="7" t="n">
        <f aca="false">Narxlar!$C$37/Narxlar!$C$58</f>
        <v>1.26050420168067</v>
      </c>
      <c r="J328" s="77" t="n">
        <f aca="false">G328*I328</f>
        <v>678.151260504202</v>
      </c>
      <c r="K328" s="24" t="s">
        <v>156</v>
      </c>
    </row>
    <row r="329" customFormat="false" ht="15" hidden="false" customHeight="false" outlineLevel="0" collapsed="false">
      <c r="A329" s="5" t="n">
        <v>264</v>
      </c>
      <c r="B329" s="6" t="s">
        <v>324</v>
      </c>
      <c r="C329" s="6" t="s">
        <v>26</v>
      </c>
      <c r="D329" s="6" t="s">
        <v>159</v>
      </c>
      <c r="E329" s="74"/>
      <c r="F329" s="75"/>
      <c r="G329" s="56" t="n">
        <f aca="false">Narxlar!$C$40</f>
        <v>521</v>
      </c>
      <c r="H329" s="5" t="s">
        <v>345</v>
      </c>
      <c r="I329" s="7" t="n">
        <f aca="false">Narxlar!$C$39/Narxlar!$C$58</f>
        <v>0.840336134453782</v>
      </c>
      <c r="J329" s="77" t="n">
        <f aca="false">G329*I329</f>
        <v>437.81512605042</v>
      </c>
      <c r="K329" s="24" t="s">
        <v>158</v>
      </c>
    </row>
    <row r="330" customFormat="false" ht="15" hidden="false" customHeight="false" outlineLevel="0" collapsed="false">
      <c r="A330" s="5" t="n">
        <v>265</v>
      </c>
      <c r="B330" s="6" t="s">
        <v>324</v>
      </c>
      <c r="C330" s="6" t="s">
        <v>26</v>
      </c>
      <c r="D330" s="6" t="s">
        <v>657</v>
      </c>
      <c r="E330" s="74"/>
      <c r="F330" s="75"/>
      <c r="G330" s="56" t="n">
        <f aca="false">Narxlar!$C$42</f>
        <v>64</v>
      </c>
      <c r="H330" s="5" t="s">
        <v>345</v>
      </c>
      <c r="I330" s="7" t="n">
        <f aca="false">Narxlar!$C$41/Narxlar!$C$58</f>
        <v>3.78151260504202</v>
      </c>
      <c r="J330" s="77" t="n">
        <f aca="false">G330*I330</f>
        <v>242.016806722689</v>
      </c>
      <c r="K330" s="24" t="s">
        <v>160</v>
      </c>
    </row>
    <row r="331" customFormat="false" ht="15" hidden="false" customHeight="false" outlineLevel="0" collapsed="false">
      <c r="A331" s="5" t="n">
        <v>266</v>
      </c>
      <c r="B331" s="6" t="s">
        <v>324</v>
      </c>
      <c r="C331" s="6" t="s">
        <v>26</v>
      </c>
      <c r="D331" s="6" t="s">
        <v>658</v>
      </c>
      <c r="E331" s="74"/>
      <c r="F331" s="75"/>
      <c r="G331" s="56" t="n">
        <f aca="false">Narxlar!$C$36</f>
        <v>57</v>
      </c>
      <c r="H331" s="5" t="s">
        <v>345</v>
      </c>
      <c r="I331" s="7" t="n">
        <f aca="false">Narxlar!$C$34/Narxlar!$C$58</f>
        <v>4.6218487394958</v>
      </c>
      <c r="J331" s="77" t="n">
        <f aca="false">G331*I331</f>
        <v>263.44537815126</v>
      </c>
      <c r="K331" s="24" t="s">
        <v>152</v>
      </c>
    </row>
    <row r="332" customFormat="false" ht="15" hidden="false" customHeight="false" outlineLevel="0" collapsed="false">
      <c r="A332" s="5" t="n">
        <v>267</v>
      </c>
      <c r="B332" s="6" t="s">
        <v>324</v>
      </c>
      <c r="C332" s="6" t="s">
        <v>26</v>
      </c>
      <c r="D332" s="6" t="s">
        <v>659</v>
      </c>
      <c r="E332" s="74"/>
      <c r="F332" s="75"/>
      <c r="G332" s="56" t="n">
        <f aca="false">Narxlar!$C$44</f>
        <v>543</v>
      </c>
      <c r="H332" s="5" t="s">
        <v>345</v>
      </c>
      <c r="I332" s="7" t="n">
        <f aca="false">Narxlar!$C$43/Narxlar!$C$58</f>
        <v>0.126050420168067</v>
      </c>
      <c r="J332" s="77" t="n">
        <f aca="false">G332*I332</f>
        <v>68.4453781512605</v>
      </c>
      <c r="K332" s="24" t="s">
        <v>162</v>
      </c>
    </row>
    <row r="333" customFormat="false" ht="15" hidden="false" customHeight="false" outlineLevel="0" collapsed="false">
      <c r="A333" s="5" t="n">
        <v>268</v>
      </c>
      <c r="B333" s="6" t="s">
        <v>324</v>
      </c>
      <c r="C333" s="6" t="s">
        <v>26</v>
      </c>
      <c r="D333" s="6" t="s">
        <v>660</v>
      </c>
      <c r="E333" s="74"/>
      <c r="F333" s="75"/>
      <c r="G333" s="57" t="n">
        <f aca="false">Narxlar!$C$46</f>
        <v>87</v>
      </c>
      <c r="H333" s="5" t="s">
        <v>351</v>
      </c>
      <c r="I333" s="7" t="n">
        <f aca="false">Narxlar!$C$45/Narxlar!$C$58</f>
        <v>3.78151260504202</v>
      </c>
      <c r="J333" s="77" t="n">
        <f aca="false">G333*I333</f>
        <v>328.991596638655</v>
      </c>
      <c r="K333" s="24" t="s">
        <v>240</v>
      </c>
    </row>
    <row r="334" customFormat="false" ht="15" hidden="false" customHeight="false" outlineLevel="0" collapsed="false">
      <c r="A334" s="5" t="n">
        <v>269</v>
      </c>
      <c r="B334" s="6" t="s">
        <v>324</v>
      </c>
      <c r="C334" s="6" t="s">
        <v>26</v>
      </c>
      <c r="D334" s="6" t="s">
        <v>661</v>
      </c>
      <c r="E334" s="74"/>
      <c r="F334" s="75"/>
      <c r="G334" s="57" t="n">
        <f aca="false">Narxlar!$C$48</f>
        <v>13</v>
      </c>
      <c r="H334" s="5" t="s">
        <v>351</v>
      </c>
      <c r="I334" s="7" t="n">
        <f aca="false">Narxlar!$C$47/Narxlar!$C$58</f>
        <v>3.36134453781513</v>
      </c>
      <c r="J334" s="77" t="n">
        <f aca="false">G334*I334</f>
        <v>43.6974789915966</v>
      </c>
      <c r="K334" s="24" t="s">
        <v>242</v>
      </c>
    </row>
    <row r="335" customFormat="false" ht="15" hidden="false" customHeight="false" outlineLevel="0" collapsed="false">
      <c r="A335" s="5" t="n">
        <v>270</v>
      </c>
      <c r="B335" s="6" t="s">
        <v>324</v>
      </c>
      <c r="C335" s="6" t="s">
        <v>26</v>
      </c>
      <c r="D335" s="6" t="s">
        <v>662</v>
      </c>
      <c r="E335" s="74"/>
      <c r="F335" s="75"/>
      <c r="G335" s="57" t="n">
        <f aca="false">Narxlar!$C$50</f>
        <v>13</v>
      </c>
      <c r="H335" s="5" t="s">
        <v>351</v>
      </c>
      <c r="I335" s="7" t="n">
        <f aca="false">Narxlar!$C$49/Narxlar!$C$58</f>
        <v>18.4873949579832</v>
      </c>
      <c r="J335" s="77" t="n">
        <f aca="false">G335*I335</f>
        <v>240.336134453781</v>
      </c>
      <c r="K335" s="24" t="s">
        <v>244</v>
      </c>
    </row>
    <row r="336" customFormat="false" ht="15" hidden="false" customHeight="false" outlineLevel="0" collapsed="false">
      <c r="A336" s="5" t="n">
        <v>271</v>
      </c>
      <c r="B336" s="6" t="s">
        <v>324</v>
      </c>
      <c r="C336" s="6" t="s">
        <v>26</v>
      </c>
      <c r="D336" s="6" t="s">
        <v>663</v>
      </c>
      <c r="E336" s="74"/>
      <c r="F336" s="75"/>
      <c r="G336" s="57" t="n">
        <f aca="false">Narxlar!$C$52</f>
        <v>13</v>
      </c>
      <c r="H336" s="5" t="s">
        <v>351</v>
      </c>
      <c r="I336" s="7" t="n">
        <f aca="false">Narxlar!$C$51/Narxlar!$C$58</f>
        <v>3.78151260504202</v>
      </c>
      <c r="J336" s="77" t="n">
        <f aca="false">G336*I336</f>
        <v>49.1596638655462</v>
      </c>
      <c r="K336" s="24" t="s">
        <v>246</v>
      </c>
    </row>
    <row r="337" customFormat="false" ht="15" hidden="false" customHeight="false" outlineLevel="0" collapsed="false">
      <c r="A337" s="5" t="n">
        <v>272</v>
      </c>
      <c r="B337" s="6" t="s">
        <v>324</v>
      </c>
      <c r="C337" s="6" t="s">
        <v>26</v>
      </c>
      <c r="D337" s="6" t="s">
        <v>664</v>
      </c>
      <c r="E337" s="74"/>
      <c r="F337" s="75"/>
      <c r="G337" s="76" t="n">
        <v>2</v>
      </c>
      <c r="H337" s="5" t="s">
        <v>351</v>
      </c>
      <c r="I337" s="7" t="n">
        <f aca="false">Narxlar!$C$53/Narxlar!$C$58</f>
        <v>15.1260504201681</v>
      </c>
      <c r="J337" s="77" t="n">
        <f aca="false">G337*I337</f>
        <v>30.2521008403361</v>
      </c>
      <c r="K337" s="24" t="s">
        <v>248</v>
      </c>
    </row>
    <row r="338" customFormat="false" ht="15" hidden="false" customHeight="false" outlineLevel="0" collapsed="false">
      <c r="A338" s="5" t="n">
        <v>273</v>
      </c>
      <c r="B338" s="6" t="s">
        <v>324</v>
      </c>
      <c r="C338" s="6" t="s">
        <v>26</v>
      </c>
      <c r="D338" s="6" t="s">
        <v>665</v>
      </c>
      <c r="E338" s="74"/>
      <c r="F338" s="75"/>
      <c r="G338" s="76" t="n">
        <v>1</v>
      </c>
      <c r="H338" s="5" t="s">
        <v>351</v>
      </c>
      <c r="I338" s="7" t="n">
        <f aca="false">Narxlar!$C$54/Narxlar!$C$58</f>
        <v>37.8151260504202</v>
      </c>
      <c r="J338" s="77" t="n">
        <f aca="false">G338*I338</f>
        <v>37.8151260504202</v>
      </c>
      <c r="K338" s="24" t="s">
        <v>164</v>
      </c>
    </row>
    <row r="339" customFormat="false" ht="15" hidden="false" customHeight="false" outlineLevel="0" collapsed="false">
      <c r="A339" s="5" t="n">
        <v>274</v>
      </c>
      <c r="B339" s="6" t="s">
        <v>324</v>
      </c>
      <c r="C339" s="6" t="s">
        <v>26</v>
      </c>
      <c r="D339" s="6" t="s">
        <v>666</v>
      </c>
      <c r="E339" s="74"/>
      <c r="F339" s="75"/>
      <c r="G339" s="57" t="n">
        <f aca="false">Narxlar!$C$56</f>
        <v>201</v>
      </c>
      <c r="H339" s="5" t="s">
        <v>400</v>
      </c>
      <c r="I339" s="7" t="n">
        <f aca="false">Narxlar!$C$55/Narxlar!$C$58</f>
        <v>4.20168067226891</v>
      </c>
      <c r="J339" s="77" t="n">
        <f aca="false">G339*I339</f>
        <v>844.53781512605</v>
      </c>
      <c r="K339" s="24" t="s">
        <v>166</v>
      </c>
    </row>
    <row r="340" customFormat="false" ht="15" hidden="false" customHeight="false" outlineLevel="0" collapsed="false">
      <c r="A340" s="78"/>
      <c r="B340" s="78"/>
      <c r="C340" s="78"/>
      <c r="D340" s="11" t="s">
        <v>667</v>
      </c>
      <c r="E340" s="78"/>
      <c r="F340" s="78"/>
      <c r="G340" s="78"/>
      <c r="H340" s="78"/>
      <c r="I340" s="78"/>
      <c r="J340" s="12" t="n">
        <f aca="false">SUM(J295:J339)</f>
        <v>31393.4579831933</v>
      </c>
    </row>
    <row r="342" customFormat="false" ht="15" hidden="false" customHeight="false" outlineLevel="0" collapsed="false">
      <c r="A342" s="54" t="s">
        <v>326</v>
      </c>
      <c r="B342" s="55"/>
      <c r="C342" s="55"/>
      <c r="D342" s="55"/>
      <c r="E342" s="55"/>
      <c r="F342" s="55"/>
      <c r="G342" s="55"/>
      <c r="H342" s="55"/>
      <c r="I342" s="55"/>
      <c r="J342" s="55"/>
    </row>
    <row r="343" customFormat="false" ht="15" hidden="false" customHeight="false" outlineLevel="0" collapsed="false">
      <c r="A343" s="5" t="n">
        <v>275</v>
      </c>
      <c r="B343" s="6" t="s">
        <v>326</v>
      </c>
      <c r="C343" s="6" t="s">
        <v>10</v>
      </c>
      <c r="D343" s="6" t="s">
        <v>668</v>
      </c>
      <c r="E343" s="74" t="n">
        <v>5.45</v>
      </c>
      <c r="F343" s="56" t="n">
        <f aca="false">Narxlar!$C$141</f>
        <v>2.5</v>
      </c>
      <c r="G343" s="75" t="n">
        <f aca="false">E343*F343</f>
        <v>13.625</v>
      </c>
      <c r="H343" s="5" t="s">
        <v>424</v>
      </c>
      <c r="I343" s="7" t="n">
        <f aca="false">Narxlar!$C$7</f>
        <v>15.5</v>
      </c>
      <c r="J343" s="77" t="n">
        <f aca="false">G343*I343</f>
        <v>211.1875</v>
      </c>
      <c r="K343" s="24" t="s">
        <v>169</v>
      </c>
    </row>
    <row r="344" customFormat="false" ht="15" hidden="false" customHeight="false" outlineLevel="0" collapsed="false">
      <c r="A344" s="5" t="n">
        <v>276</v>
      </c>
      <c r="B344" s="6" t="s">
        <v>326</v>
      </c>
      <c r="C344" s="6" t="s">
        <v>10</v>
      </c>
      <c r="D344" s="6" t="s">
        <v>669</v>
      </c>
      <c r="E344" s="74" t="n">
        <v>5.45</v>
      </c>
      <c r="F344" s="56" t="n">
        <f aca="false">Narxlar!$C$141</f>
        <v>2.5</v>
      </c>
      <c r="G344" s="75" t="n">
        <f aca="false">E344*F344</f>
        <v>13.625</v>
      </c>
      <c r="H344" s="5" t="s">
        <v>424</v>
      </c>
      <c r="I344" s="7" t="n">
        <f aca="false">Narxlar!$C$7</f>
        <v>15.5</v>
      </c>
      <c r="J344" s="77" t="n">
        <f aca="false">G344*I344</f>
        <v>211.1875</v>
      </c>
      <c r="K344" s="24" t="s">
        <v>169</v>
      </c>
    </row>
    <row r="345" customFormat="false" ht="15" hidden="false" customHeight="false" outlineLevel="0" collapsed="false">
      <c r="A345" s="5" t="n">
        <v>277</v>
      </c>
      <c r="B345" s="6" t="s">
        <v>326</v>
      </c>
      <c r="C345" s="6" t="s">
        <v>10</v>
      </c>
      <c r="D345" s="6" t="s">
        <v>670</v>
      </c>
      <c r="E345" s="74" t="n">
        <v>8.6</v>
      </c>
      <c r="F345" s="56" t="n">
        <f aca="false">Narxlar!$C$141</f>
        <v>2.5</v>
      </c>
      <c r="G345" s="75" t="n">
        <f aca="false">E345*F345</f>
        <v>21.5</v>
      </c>
      <c r="H345" s="5" t="s">
        <v>424</v>
      </c>
      <c r="I345" s="7" t="n">
        <f aca="false">Narxlar!$C$7</f>
        <v>15.5</v>
      </c>
      <c r="J345" s="77" t="n">
        <f aca="false">G345*I345</f>
        <v>333.25</v>
      </c>
      <c r="K345" s="24" t="s">
        <v>169</v>
      </c>
    </row>
    <row r="346" customFormat="false" ht="15" hidden="false" customHeight="false" outlineLevel="0" collapsed="false">
      <c r="A346" s="5" t="n">
        <v>278</v>
      </c>
      <c r="B346" s="6" t="s">
        <v>326</v>
      </c>
      <c r="C346" s="6" t="s">
        <v>10</v>
      </c>
      <c r="D346" s="6" t="s">
        <v>566</v>
      </c>
      <c r="E346" s="56" t="n">
        <f aca="false">Narxlar!$C$139</f>
        <v>0.9</v>
      </c>
      <c r="F346" s="56" t="n">
        <f aca="false">Narxlar!$C$136</f>
        <v>2.1</v>
      </c>
      <c r="G346" s="75" t="n">
        <f aca="false">-E346*F346</f>
        <v>-1.89</v>
      </c>
      <c r="H346" s="5" t="s">
        <v>424</v>
      </c>
      <c r="I346" s="7" t="n">
        <f aca="false">Narxlar!$C$7</f>
        <v>15.5</v>
      </c>
      <c r="J346" s="77" t="n">
        <f aca="false">G346*I346</f>
        <v>-29.295</v>
      </c>
      <c r="K346" s="24" t="s">
        <v>169</v>
      </c>
    </row>
    <row r="347" customFormat="false" ht="15" hidden="false" customHeight="false" outlineLevel="0" collapsed="false">
      <c r="A347" s="5" t="n">
        <v>279</v>
      </c>
      <c r="B347" s="6" t="s">
        <v>326</v>
      </c>
      <c r="C347" s="6" t="s">
        <v>11</v>
      </c>
      <c r="D347" s="6" t="s">
        <v>671</v>
      </c>
      <c r="E347" s="74"/>
      <c r="F347" s="75"/>
      <c r="G347" s="76" t="n">
        <v>1</v>
      </c>
      <c r="H347" s="5" t="s">
        <v>351</v>
      </c>
      <c r="I347" s="7" t="n">
        <f aca="false">Narxlar!$C$8</f>
        <v>1032</v>
      </c>
      <c r="J347" s="77" t="n">
        <f aca="false">G347*I347</f>
        <v>1032</v>
      </c>
      <c r="K347" s="24" t="s">
        <v>178</v>
      </c>
    </row>
    <row r="348" customFormat="false" ht="15" hidden="false" customHeight="false" outlineLevel="0" collapsed="false">
      <c r="A348" s="5" t="n">
        <v>280</v>
      </c>
      <c r="B348" s="6" t="s">
        <v>326</v>
      </c>
      <c r="C348" s="6" t="s">
        <v>21</v>
      </c>
      <c r="D348" s="6" t="s">
        <v>672</v>
      </c>
      <c r="E348" s="74"/>
      <c r="F348" s="75"/>
      <c r="G348" s="76" t="n">
        <v>1</v>
      </c>
      <c r="H348" s="5" t="s">
        <v>351</v>
      </c>
      <c r="I348" s="7" t="n">
        <f aca="false">Narxlar!$C$103</f>
        <v>1000</v>
      </c>
      <c r="J348" s="77" t="n">
        <f aca="false">G348*I348</f>
        <v>1000</v>
      </c>
      <c r="K348" s="24" t="s">
        <v>174</v>
      </c>
    </row>
    <row r="349" customFormat="false" ht="15" hidden="false" customHeight="false" outlineLevel="0" collapsed="false">
      <c r="A349" s="78"/>
      <c r="B349" s="78"/>
      <c r="C349" s="78"/>
      <c r="D349" s="11" t="s">
        <v>673</v>
      </c>
      <c r="E349" s="78"/>
      <c r="F349" s="78"/>
      <c r="G349" s="78"/>
      <c r="H349" s="78"/>
      <c r="I349" s="78"/>
      <c r="J349" s="12" t="n">
        <f aca="false">SUM(J343:J348)</f>
        <v>2758.33</v>
      </c>
    </row>
    <row r="351" customFormat="false" ht="15" hidden="false" customHeight="false" outlineLevel="0" collapsed="false">
      <c r="A351" s="54" t="s">
        <v>327</v>
      </c>
      <c r="B351" s="55"/>
      <c r="C351" s="55"/>
      <c r="D351" s="55"/>
      <c r="E351" s="55"/>
      <c r="F351" s="55"/>
      <c r="G351" s="55"/>
      <c r="H351" s="55"/>
      <c r="I351" s="55"/>
      <c r="J351" s="55"/>
    </row>
    <row r="352" customFormat="false" ht="15" hidden="false" customHeight="false" outlineLevel="0" collapsed="false">
      <c r="A352" s="5" t="n">
        <v>281</v>
      </c>
      <c r="B352" s="6" t="s">
        <v>327</v>
      </c>
      <c r="C352" s="6" t="s">
        <v>9</v>
      </c>
      <c r="D352" s="6" t="s">
        <v>674</v>
      </c>
      <c r="E352" s="74" t="n">
        <v>2.85</v>
      </c>
      <c r="F352" s="56" t="n">
        <f aca="false">Narxlar!$C$133</f>
        <v>3.5</v>
      </c>
      <c r="G352" s="75" t="n">
        <f aca="false">E352*F352</f>
        <v>9.975</v>
      </c>
      <c r="H352" s="5" t="s">
        <v>424</v>
      </c>
      <c r="I352" s="7" t="n">
        <f aca="false">Narxlar!$C$6</f>
        <v>12</v>
      </c>
      <c r="J352" s="77" t="n">
        <f aca="false">G352*I352</f>
        <v>119.7</v>
      </c>
      <c r="K352" s="24" t="s">
        <v>128</v>
      </c>
    </row>
    <row r="353" customFormat="false" ht="15" hidden="false" customHeight="false" outlineLevel="0" collapsed="false">
      <c r="A353" s="5" t="n">
        <v>282</v>
      </c>
      <c r="B353" s="6" t="s">
        <v>327</v>
      </c>
      <c r="C353" s="6" t="s">
        <v>9</v>
      </c>
      <c r="D353" s="6" t="s">
        <v>675</v>
      </c>
      <c r="E353" s="74" t="n">
        <v>2.85</v>
      </c>
      <c r="F353" s="56" t="n">
        <f aca="false">Narxlar!$C$133</f>
        <v>3.5</v>
      </c>
      <c r="G353" s="75" t="n">
        <f aca="false">E353*F353</f>
        <v>9.975</v>
      </c>
      <c r="H353" s="5" t="s">
        <v>424</v>
      </c>
      <c r="I353" s="7" t="n">
        <f aca="false">Narxlar!$C$6</f>
        <v>12</v>
      </c>
      <c r="J353" s="77" t="n">
        <f aca="false">G353*I353</f>
        <v>119.7</v>
      </c>
      <c r="K353" s="24" t="s">
        <v>128</v>
      </c>
    </row>
    <row r="354" customFormat="false" ht="15" hidden="false" customHeight="false" outlineLevel="0" collapsed="false">
      <c r="A354" s="5" t="n">
        <v>283</v>
      </c>
      <c r="B354" s="6" t="s">
        <v>327</v>
      </c>
      <c r="C354" s="6" t="s">
        <v>19</v>
      </c>
      <c r="D354" s="6" t="s">
        <v>676</v>
      </c>
      <c r="E354" s="74"/>
      <c r="F354" s="75"/>
      <c r="G354" s="57" t="n">
        <f aca="false">Narxlar!$C$65</f>
        <v>3</v>
      </c>
      <c r="H354" s="5" t="s">
        <v>351</v>
      </c>
      <c r="I354" s="7" t="n">
        <f aca="false">Narxlar!$C$64/Narxlar!$C$58</f>
        <v>58.8235294117647</v>
      </c>
      <c r="J354" s="77" t="n">
        <f aca="false">G354*I354</f>
        <v>176.470588235294</v>
      </c>
      <c r="K354" s="24" t="s">
        <v>198</v>
      </c>
    </row>
    <row r="355" customFormat="false" ht="15" hidden="false" customHeight="false" outlineLevel="0" collapsed="false">
      <c r="A355" s="5" t="n">
        <v>284</v>
      </c>
      <c r="B355" s="6" t="s">
        <v>327</v>
      </c>
      <c r="C355" s="6" t="s">
        <v>19</v>
      </c>
      <c r="D355" s="6" t="s">
        <v>677</v>
      </c>
      <c r="E355" s="74"/>
      <c r="F355" s="75"/>
      <c r="G355" s="57" t="n">
        <f aca="false">Narxlar!$C$67</f>
        <v>3</v>
      </c>
      <c r="H355" s="5" t="s">
        <v>351</v>
      </c>
      <c r="I355" s="7" t="n">
        <f aca="false">Narxlar!$C$66/Narxlar!$C$58</f>
        <v>100.840336134454</v>
      </c>
      <c r="J355" s="77" t="n">
        <f aca="false">G355*I355</f>
        <v>302.521008403361</v>
      </c>
      <c r="K355" s="24" t="s">
        <v>200</v>
      </c>
    </row>
    <row r="356" customFormat="false" ht="15" hidden="false" customHeight="false" outlineLevel="0" collapsed="false">
      <c r="A356" s="5" t="n">
        <v>285</v>
      </c>
      <c r="B356" s="6" t="s">
        <v>327</v>
      </c>
      <c r="C356" s="6" t="s">
        <v>19</v>
      </c>
      <c r="D356" s="6" t="s">
        <v>678</v>
      </c>
      <c r="E356" s="74"/>
      <c r="F356" s="75"/>
      <c r="G356" s="57" t="n">
        <f aca="false">Narxlar!$C$69</f>
        <v>4</v>
      </c>
      <c r="H356" s="5" t="s">
        <v>351</v>
      </c>
      <c r="I356" s="7" t="n">
        <f aca="false">Narxlar!$C$68/Narxlar!$C$58</f>
        <v>54.6218487394958</v>
      </c>
      <c r="J356" s="77" t="n">
        <f aca="false">G356*I356</f>
        <v>218.487394957983</v>
      </c>
      <c r="K356" s="24" t="s">
        <v>202</v>
      </c>
    </row>
    <row r="357" customFormat="false" ht="15" hidden="false" customHeight="false" outlineLevel="0" collapsed="false">
      <c r="A357" s="5" t="n">
        <v>286</v>
      </c>
      <c r="B357" s="6" t="s">
        <v>327</v>
      </c>
      <c r="C357" s="6" t="s">
        <v>19</v>
      </c>
      <c r="D357" s="6" t="s">
        <v>679</v>
      </c>
      <c r="E357" s="74"/>
      <c r="F357" s="75"/>
      <c r="G357" s="57" t="n">
        <f aca="false">Narxlar!$C$71</f>
        <v>6</v>
      </c>
      <c r="H357" s="5" t="s">
        <v>351</v>
      </c>
      <c r="I357" s="7" t="n">
        <f aca="false">Narxlar!$C$70/Narxlar!$C$58</f>
        <v>16.8067226890756</v>
      </c>
      <c r="J357" s="77" t="n">
        <f aca="false">G357*I357</f>
        <v>100.840336134454</v>
      </c>
      <c r="K357" s="24" t="s">
        <v>204</v>
      </c>
    </row>
    <row r="358" customFormat="false" ht="15" hidden="false" customHeight="false" outlineLevel="0" collapsed="false">
      <c r="A358" s="5" t="n">
        <v>287</v>
      </c>
      <c r="B358" s="6" t="s">
        <v>327</v>
      </c>
      <c r="C358" s="6" t="s">
        <v>19</v>
      </c>
      <c r="D358" s="6" t="s">
        <v>680</v>
      </c>
      <c r="E358" s="74"/>
      <c r="F358" s="75"/>
      <c r="G358" s="57" t="n">
        <f aca="false">Narxlar!$C$73</f>
        <v>4</v>
      </c>
      <c r="H358" s="5" t="s">
        <v>351</v>
      </c>
      <c r="I358" s="7" t="n">
        <f aca="false">Narxlar!$C$72/Narxlar!$C$58</f>
        <v>33.6134453781513</v>
      </c>
      <c r="J358" s="77" t="n">
        <f aca="false">G358*I358</f>
        <v>134.453781512605</v>
      </c>
      <c r="K358" s="24" t="s">
        <v>206</v>
      </c>
    </row>
    <row r="359" customFormat="false" ht="15" hidden="false" customHeight="false" outlineLevel="0" collapsed="false">
      <c r="A359" s="5" t="n">
        <v>288</v>
      </c>
      <c r="B359" s="6" t="s">
        <v>327</v>
      </c>
      <c r="C359" s="6" t="s">
        <v>19</v>
      </c>
      <c r="D359" s="6" t="s">
        <v>681</v>
      </c>
      <c r="E359" s="74"/>
      <c r="F359" s="75"/>
      <c r="G359" s="57" t="n">
        <f aca="false">Narxlar!$C$75</f>
        <v>4</v>
      </c>
      <c r="H359" s="5" t="s">
        <v>351</v>
      </c>
      <c r="I359" s="7" t="n">
        <f aca="false">Narxlar!$C$74/Narxlar!$C$58</f>
        <v>33.6134453781513</v>
      </c>
      <c r="J359" s="77" t="n">
        <f aca="false">G359*I359</f>
        <v>134.453781512605</v>
      </c>
      <c r="K359" s="24" t="s">
        <v>208</v>
      </c>
    </row>
    <row r="360" customFormat="false" ht="15" hidden="false" customHeight="false" outlineLevel="0" collapsed="false">
      <c r="A360" s="5" t="n">
        <v>289</v>
      </c>
      <c r="B360" s="6" t="s">
        <v>327</v>
      </c>
      <c r="C360" s="6" t="s">
        <v>19</v>
      </c>
      <c r="D360" s="6" t="s">
        <v>682</v>
      </c>
      <c r="E360" s="74"/>
      <c r="F360" s="75"/>
      <c r="G360" s="57" t="n">
        <f aca="false">Narxlar!$C$77</f>
        <v>16</v>
      </c>
      <c r="H360" s="5" t="s">
        <v>400</v>
      </c>
      <c r="I360" s="7" t="n">
        <f aca="false">Narxlar!$C$76/Narxlar!$C$58</f>
        <v>84.0336134453782</v>
      </c>
      <c r="J360" s="77" t="n">
        <f aca="false">G360*I360</f>
        <v>1344.53781512605</v>
      </c>
      <c r="K360" s="24" t="s">
        <v>134</v>
      </c>
    </row>
    <row r="361" customFormat="false" ht="15" hidden="false" customHeight="false" outlineLevel="0" collapsed="false">
      <c r="A361" s="5" t="n">
        <v>290</v>
      </c>
      <c r="B361" s="6" t="s">
        <v>327</v>
      </c>
      <c r="C361" s="6" t="s">
        <v>19</v>
      </c>
      <c r="D361" s="6" t="s">
        <v>683</v>
      </c>
      <c r="E361" s="74"/>
      <c r="F361" s="75"/>
      <c r="G361" s="57" t="n">
        <f aca="false">Narxlar!$C$83</f>
        <v>4</v>
      </c>
      <c r="H361" s="5" t="s">
        <v>351</v>
      </c>
      <c r="I361" s="7" t="n">
        <f aca="false">Narxlar!$C$82/Narxlar!$C$58</f>
        <v>100.840336134454</v>
      </c>
      <c r="J361" s="77" t="n">
        <f aca="false">G361*I361</f>
        <v>403.361344537815</v>
      </c>
      <c r="K361" s="24" t="s">
        <v>210</v>
      </c>
    </row>
    <row r="362" customFormat="false" ht="15" hidden="false" customHeight="false" outlineLevel="0" collapsed="false">
      <c r="A362" s="5" t="n">
        <v>291</v>
      </c>
      <c r="B362" s="6" t="s">
        <v>327</v>
      </c>
      <c r="C362" s="6" t="s">
        <v>19</v>
      </c>
      <c r="D362" s="6" t="s">
        <v>137</v>
      </c>
      <c r="E362" s="74"/>
      <c r="F362" s="75"/>
      <c r="G362" s="56" t="n">
        <f aca="false">Narxlar!$C$85</f>
        <v>40</v>
      </c>
      <c r="H362" s="5" t="s">
        <v>345</v>
      </c>
      <c r="I362" s="7" t="n">
        <f aca="false">Narxlar!$C$84/Narxlar!$C$58</f>
        <v>2.10084033613445</v>
      </c>
      <c r="J362" s="77" t="n">
        <f aca="false">G362*I362</f>
        <v>84.0336134453782</v>
      </c>
      <c r="K362" s="24" t="s">
        <v>136</v>
      </c>
    </row>
    <row r="363" customFormat="false" ht="15" hidden="false" customHeight="false" outlineLevel="0" collapsed="false">
      <c r="A363" s="5" t="n">
        <v>292</v>
      </c>
      <c r="B363" s="6" t="s">
        <v>327</v>
      </c>
      <c r="C363" s="6" t="s">
        <v>19</v>
      </c>
      <c r="D363" s="6" t="s">
        <v>139</v>
      </c>
      <c r="E363" s="74"/>
      <c r="F363" s="75"/>
      <c r="G363" s="56" t="n">
        <f aca="false">Narxlar!$C$87</f>
        <v>40</v>
      </c>
      <c r="H363" s="5" t="s">
        <v>345</v>
      </c>
      <c r="I363" s="7" t="n">
        <f aca="false">Narxlar!$C$86/Narxlar!$C$58</f>
        <v>1.00840336134454</v>
      </c>
      <c r="J363" s="77" t="n">
        <f aca="false">G363*I363</f>
        <v>40.3361344537815</v>
      </c>
      <c r="K363" s="24" t="s">
        <v>138</v>
      </c>
    </row>
    <row r="364" customFormat="false" ht="15" hidden="false" customHeight="false" outlineLevel="0" collapsed="false">
      <c r="A364" s="5" t="n">
        <v>293</v>
      </c>
      <c r="B364" s="6" t="s">
        <v>327</v>
      </c>
      <c r="C364" s="6" t="s">
        <v>19</v>
      </c>
      <c r="D364" s="6" t="s">
        <v>141</v>
      </c>
      <c r="E364" s="74"/>
      <c r="F364" s="75"/>
      <c r="G364" s="57" t="n">
        <f aca="false">Narxlar!$C$89</f>
        <v>100</v>
      </c>
      <c r="H364" s="5" t="s">
        <v>351</v>
      </c>
      <c r="I364" s="7" t="n">
        <f aca="false">Narxlar!$C$88/Narxlar!$C$58</f>
        <v>0.420168067226891</v>
      </c>
      <c r="J364" s="77" t="n">
        <f aca="false">G364*I364</f>
        <v>42.0168067226891</v>
      </c>
      <c r="K364" s="24" t="s">
        <v>140</v>
      </c>
    </row>
    <row r="365" customFormat="false" ht="15" hidden="false" customHeight="false" outlineLevel="0" collapsed="false">
      <c r="A365" s="5" t="n">
        <v>294</v>
      </c>
      <c r="B365" s="6" t="s">
        <v>327</v>
      </c>
      <c r="C365" s="6" t="s">
        <v>19</v>
      </c>
      <c r="D365" s="6" t="s">
        <v>684</v>
      </c>
      <c r="E365" s="74"/>
      <c r="F365" s="75"/>
      <c r="G365" s="76" t="n">
        <v>1</v>
      </c>
      <c r="H365" s="5" t="s">
        <v>357</v>
      </c>
      <c r="I365" s="7" t="n">
        <f aca="false">Narxlar!$C$90/Narxlar!$C$58</f>
        <v>336.134453781513</v>
      </c>
      <c r="J365" s="77" t="n">
        <f aca="false">G365*I365</f>
        <v>336.134453781513</v>
      </c>
      <c r="K365" s="24" t="s">
        <v>142</v>
      </c>
    </row>
    <row r="366" customFormat="false" ht="15" hidden="false" customHeight="false" outlineLevel="0" collapsed="false">
      <c r="A366" s="5" t="n">
        <v>295</v>
      </c>
      <c r="B366" s="6" t="s">
        <v>327</v>
      </c>
      <c r="C366" s="6" t="s">
        <v>20</v>
      </c>
      <c r="D366" s="6" t="s">
        <v>685</v>
      </c>
      <c r="E366" s="74"/>
      <c r="F366" s="75"/>
      <c r="G366" s="56" t="n">
        <f aca="false">Narxlar!$C$80</f>
        <v>58</v>
      </c>
      <c r="H366" s="5" t="s">
        <v>424</v>
      </c>
      <c r="I366" s="7" t="n">
        <f aca="false">Narxlar!$C$78/Narxlar!$C$58</f>
        <v>8.40336134453782</v>
      </c>
      <c r="J366" s="77" t="n">
        <f aca="false">G366*I366</f>
        <v>487.394957983193</v>
      </c>
      <c r="K366" s="24" t="s">
        <v>170</v>
      </c>
    </row>
    <row r="367" customFormat="false" ht="15" hidden="false" customHeight="false" outlineLevel="0" collapsed="false">
      <c r="A367" s="5" t="n">
        <v>296</v>
      </c>
      <c r="B367" s="6" t="s">
        <v>327</v>
      </c>
      <c r="C367" s="6" t="s">
        <v>20</v>
      </c>
      <c r="D367" s="6" t="s">
        <v>686</v>
      </c>
      <c r="E367" s="74"/>
      <c r="F367" s="75"/>
      <c r="G367" s="56" t="n">
        <f aca="false">Narxlar!$C$80</f>
        <v>58</v>
      </c>
      <c r="H367" s="5" t="s">
        <v>424</v>
      </c>
      <c r="I367" s="7" t="n">
        <f aca="false">Narxlar!$C$79/Narxlar!$C$58</f>
        <v>8.40336134453782</v>
      </c>
      <c r="J367" s="77" t="n">
        <f aca="false">G367*I367</f>
        <v>487.394957983193</v>
      </c>
      <c r="K367" s="24" t="s">
        <v>172</v>
      </c>
    </row>
    <row r="368" customFormat="false" ht="15" hidden="false" customHeight="false" outlineLevel="0" collapsed="false">
      <c r="A368" s="5" t="n">
        <v>297</v>
      </c>
      <c r="B368" s="6" t="s">
        <v>327</v>
      </c>
      <c r="C368" s="6" t="s">
        <v>20</v>
      </c>
      <c r="D368" s="6" t="s">
        <v>687</v>
      </c>
      <c r="E368" s="74"/>
      <c r="F368" s="75"/>
      <c r="G368" s="56" t="n">
        <f aca="false">Narxlar!$C$81</f>
        <v>16</v>
      </c>
      <c r="H368" s="5" t="s">
        <v>424</v>
      </c>
      <c r="I368" s="7" t="n">
        <f aca="false">Narxlar!$C$78/Narxlar!$C$58</f>
        <v>8.40336134453782</v>
      </c>
      <c r="J368" s="77" t="n">
        <f aca="false">G368*I368</f>
        <v>134.453781512605</v>
      </c>
      <c r="K368" s="24" t="s">
        <v>170</v>
      </c>
    </row>
    <row r="369" customFormat="false" ht="15" hidden="false" customHeight="false" outlineLevel="0" collapsed="false">
      <c r="A369" s="5" t="n">
        <v>298</v>
      </c>
      <c r="B369" s="6" t="s">
        <v>327</v>
      </c>
      <c r="C369" s="6" t="s">
        <v>20</v>
      </c>
      <c r="D369" s="6" t="s">
        <v>688</v>
      </c>
      <c r="E369" s="74"/>
      <c r="F369" s="75"/>
      <c r="G369" s="56" t="n">
        <f aca="false">Narxlar!$C$81</f>
        <v>16</v>
      </c>
      <c r="H369" s="5" t="s">
        <v>424</v>
      </c>
      <c r="I369" s="7" t="n">
        <f aca="false">Narxlar!$C$79/Narxlar!$C$58</f>
        <v>8.40336134453782</v>
      </c>
      <c r="J369" s="77" t="n">
        <f aca="false">G369*I369</f>
        <v>134.453781512605</v>
      </c>
      <c r="K369" s="24" t="s">
        <v>172</v>
      </c>
    </row>
    <row r="370" customFormat="false" ht="15" hidden="false" customHeight="false" outlineLevel="0" collapsed="false">
      <c r="A370" s="78"/>
      <c r="B370" s="78"/>
      <c r="C370" s="78"/>
      <c r="D370" s="11" t="s">
        <v>689</v>
      </c>
      <c r="E370" s="78"/>
      <c r="F370" s="78"/>
      <c r="G370" s="78"/>
      <c r="H370" s="78"/>
      <c r="I370" s="78"/>
      <c r="J370" s="12" t="n">
        <f aca="false">SUM(J352:J369)</f>
        <v>4800.74453781513</v>
      </c>
    </row>
    <row r="372" customFormat="false" ht="15" hidden="false" customHeight="false" outlineLevel="0" collapsed="false">
      <c r="A372" s="78"/>
      <c r="B372" s="78"/>
      <c r="C372" s="78"/>
      <c r="D372" s="11" t="s">
        <v>690</v>
      </c>
      <c r="E372" s="78"/>
      <c r="F372" s="78"/>
      <c r="G372" s="78"/>
      <c r="H372" s="78"/>
      <c r="I372" s="78"/>
      <c r="J372" s="12" t="n">
        <f aca="false">J13+J27+J40+J55+J74+J89+J104+J120+J138+J156+J171+J186+J193+J220+J249+J257+J265+J283+J287+J292+J340+J349+J370</f>
        <v>87217.4225210084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2026-10-18T05:57:16Z</dcterms:created>
  <dc:creator>openpyxl</dc:creator>
  <dc:description/>
  <dc:language>en-US</dc:language>
  <cp:lastModifiedBy/>
  <dcterms:modified xsi:type="dcterms:W3CDTF">2026-10-18T05:57:17Z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
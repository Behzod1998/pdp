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<sst xmlns="http://schemas.openxmlformats.org/spreadsheetml/2006/main" count="1384" uniqueCount="403">
  <si>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</si>
  <si>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</si>
  <si>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</si>
  <si>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</si>
  <si>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</si>
  <si>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</si>
  <si>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</si>
  <si>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</si>
  <si>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</si>
  <si>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</si>
  <si>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</si>
  <si>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</si>
  <si>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</si>
  <si>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</si>
  <si>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</si>
  <si>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</si>
  <si>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</si>
  <si>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</si>
  <si>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</si>
  <si>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</si>
  <si>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</si>
  <si>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</si>
  <si>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</si>
  <si>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</si>
  <si>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</si>
  <si>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</si>
  <si>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</si>
  <si>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</si>
  <si>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</si>
  <si>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</si>
  <si>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</si>
  <si>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</si>
  <si>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</si>
  <si>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</si>
  <si>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</si>
  <si>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</si>
  <si>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</si>
  <si>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</si>
  <si>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</si>
  <si>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</si>
  <si>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</si>
  <si>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</si>
  <si>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</si>
  <si>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</si>
  <si>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</si>
  <si>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</si>
  <si>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</si>
  <si>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</si>
  <si>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</si>
  <si>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</si>
  <si>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</si>
  <si>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</si>
  <si>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</si>
  <si>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</si>
  <si>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</si>
  <si>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</si>
  <si>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</si>
  <si>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</si>
  <si>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</si>
  <si>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</si>
  <si>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</si>
  <si>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</si>
  <si>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</si>
  <si>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</si>
  <si>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</si>
  <si>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</si>
  <si>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</si>
  <si>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</si>
  <si>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</si>
  <si>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</si>
  <si>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</si>
  <si>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</si>
  <si>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</si>
  <si>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</si>
  <si>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</si>
  <si>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</si>
  <si>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</si>
  <si>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</si>
  <si>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</si>
  <si>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</si>
  <si>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</si>
  <si>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</si>
  <si>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</si>
  <si>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</si>
  <si>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</si>
  <si>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</si>
  <si>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</si>
  <si>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</si>
  <si>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</si>
  <si>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</si>
  <si>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</si>
  <si>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</si>
  <si>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</si>
  <si>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</si>
  <si>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</si>
  <si>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</si>
  <si>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</si>
  <si>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</si>
  <si>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</si>
  <si>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</si>
  <si>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</si>
  <si>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</si>
  <si>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</si>
  <si>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</si>
  <si>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</si>
  <si>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</si>
  <si>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</si>
  <si>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</si>
  <si>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</si>
  <si>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</si>
  <si>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</si>
  <si>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</si>
  <si>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</si>
  <si>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</si>
  <si>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</si>
  <si>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</si>
  <si>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</si>
  <si>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</si>
  <si>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</si>
  <si>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</si>
  <si>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</si>
  <si>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</si>
  <si>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</si>
  <si>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</si>
  <si>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</si>
  <si>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</si>
  <si>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</si>
  <si>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</si>
  <si>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</si>
  <si>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</si>
  <si>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</si>
  <si>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</si>
  <si>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</si>
  <si>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</si>
  <si>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</si>
  <si>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</si>
  <si>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</si>
  <si>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</si>
  <si>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</si>
  <si>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</si>
  <si>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</si>
  <si>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</si>
  <si>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</si>
  <si>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</si>
  <si>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</si>
  <si>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</si>
  <si>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</si>
  <si>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</si>
  <si>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</si>
  <si>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</si>
  <si>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</si>
  <si>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</si>
  <si>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</si>
  <si>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</si>
  <si>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</si>
  <si>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</si>
  <si>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</si>
  <si>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</si>
  <si>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</si>
  <si>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</si>
  <si>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</si>
  <si>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</si>
  <si>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</si>
  <si>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</si>
  <si>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</si>
  <si>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</si>
  <si>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</si>
  <si>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</si>
  <si>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</si>
  <si>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</si>
  <si>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</si>
  <si>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</si>
  <si>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</si>
  <si>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</si>
  <si>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</si>
  <si>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</si>
  <si>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</si>
  <si>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</si>
  <si>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</si>
  <si>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</si>
  <si>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</si>
  <si>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</si>
  <si>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</si>
  <si>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</si>
  <si>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</si>
  <si>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</si>
  <si>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</si>
  <si>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</si>
  <si>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</si>
  <si>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</si>
  <si>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</si>
  <si>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</si>
  <si>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</si>
  <si>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</si>
  <si>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</si>
  <si>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~2.0 m, ichidan yoritilgan (akril harflar, LED)</t>
  </si>
  <si>
    <t xml:space="preserve">TAXMIN — reklama ustasi narxi bilan almashtiring</t>
  </si>
  <si>
    <t xml:space="preserve">Sahna yoritishi: 3 ta yo'naltirilgan spot, shift ostida chiziqli LED, yashil LED chiziq</t>
  </si>
  <si>
    <t xml:space="preserve">Sahna ekrani: koworkingdagi mavjud ekranni ko'chirish, kronshteyn va kabel</t>
  </si>
  <si>
    <t xml:space="preserve">TAXMIN — ekran mavjud deb olingan</t>
  </si>
  <si>
    <t xml:space="preserve">Minbar (tribuna), ko'chma, logotip bilan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</si>
  <si>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</si>
  <si>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</si>
  <si>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</si>
  <si>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</si>
  <si>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</si>
  <si>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</si>
  <si>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</si>
  <si>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</si>
  <si>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</si>
  <si>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</si>
  <si>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</si>
  <si>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</si>
  <si>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</si>
  <si>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</si>
  <si>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</si>
  <si>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</si>
  <si>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</si>
  <si>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</si>
  <si>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</si>
  <si>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</si>
  <si>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</si>
  <si>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</si>
  <si>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</si>
  <si>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</si>
  <si>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</si>
  <si>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</si>
  <si>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</si>
  <si>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</si>
  <si>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</si>
  <si>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</si>
  <si>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</si>
  <si>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</si>
  <si>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</si>
  <si>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</si>
  <si>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</si>
  <si>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</si>
  <si>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</si>
  <si>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yoritish,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</si>
  <si>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</si>
  <si>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</si>
  <si>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</si>
  <si>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</si>
  <si>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</si>
  <si>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</si>
  <si>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</si>
  <si>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</si>
  <si>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</si>
  <si>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</si>
  <si>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</si>
  <si>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</si>
  <si>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</si>
  <si>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</si>
  <si>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</si>
  <si>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</si>
  <si>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</si>
  <si>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</si>
  <si>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</si>
  <si>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</si>
  <si>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</si>
  <si>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</si>
  <si>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</si>
  <si>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</si>
  <si>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</si>
  <si>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</si>
  <si>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</si>
  <si>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</si>
  <si>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</si>
  <si>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</si>
  <si>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</si>
  <si>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</si>
  <si>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</si>
  <si>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</si>
  <si>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</si>
  <si>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</si>
  <si>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</si>
  <si>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</si>
  <si>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</si>
  <si>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</si>
  <si>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</si>
  <si>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</si>
  <si>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</si>
  <si>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</si>
  <si>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</si>
  <si>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</si>
  <si>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</si>
  <si>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</si>
  <si>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</si>
  <si>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</si>
  <si>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</si>
  <si>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</si>
  <si>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</si>
  <si>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</si>
  <si>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</si>
  <si>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</si>
  <si>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</si>
  <si>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</si>
  <si>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</si>
  <si>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</si>
  <si>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</si>
  <si>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</si>
  <si>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</si>
  <si>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</si>
  <si>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</si>
  <si>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</si>
  <si>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</si>
  <si>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</si>
  <si>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</si>
  <si>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</si>
  <si>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</si>
  <si>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</si>
  <si>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</si>
  <si>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</si>
  <si>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</si>
  <si>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</si>
  <si>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</si>
  <si>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</si>
  <si>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</si>
  <si>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</si>
  <si>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</si>
  <si>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</si>
  <si>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</si>
  <si>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</si>
  <si>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</si>
  <si>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</si>
  <si>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</si>
  <si>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</si>
  <si>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</si>
  <si>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</si>
  <si>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</si>
  <si>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</si>
  <si>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</si>
  <si>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</si>
  <si>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</si>
  <si>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</si>
  <si>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</si>
  <si>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</si>
  <si>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</si>
  <si>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</si>
  <si>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</si>
  <si>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</si>
  <si>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</si>
  <si>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</si>
  <si>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</si>
  <si>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</si>
  <si>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</si>
  <si>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</si>
  <si>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</si>
  <si>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</si>
  <si>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</si>
  <si>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</si>
  <si>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</si>
  <si>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</si>
  <si>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</si>
  <si>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</si>
  <si>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</si>
  <si>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</si>
  <si>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</si>
  <si>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</si>
  <si>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</si>
  <si>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</si>
  <si>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</si>
  <si>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(spotlar, LED chiziqlar)</t>
  </si>
  <si>
    <t xml:space="preserve">Ekranni sahna devoriga ko'chirish (kronshteyn, kabel)</t>
  </si>
  <si>
    <t xml:space="preserve">Minbar (tribuna)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</si>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</sst>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(batafsil)'!$J$5:$J$307,'Hisob (batafsil)'!$C$5:$C$307,"Shisha devor")</f>
        <v>4991.25</v>
      </c>
      <c r="D6" s="8" t="n">
        <f aca="false">C6*Narxlar!$C$19</f>
        <v>59395875</v>
      </c>
      <c r="E6" s="9" t="n">
        <f aca="false">IF($C$22=0,0,C6/$C$22)</f>
        <v>0.0714459015278948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(batafsil)'!$J$5:$J$307,'Hisob (batafsil)'!$C$5:$C$307,"Gips karton (GKL)")</f>
        <v>5146.8</v>
      </c>
      <c r="D7" s="8" t="n">
        <f aca="false">C7*Narxlar!$C$19</f>
        <v>61246920</v>
      </c>
      <c r="E7" s="9" t="n">
        <f aca="false">IF($C$22=0,0,C7/$C$22)</f>
        <v>0.0736724800368182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(batafsil)'!$J$5:$J$307,'Hisob (batafsil)'!$C$5:$C$307,"Bambuk panel")</f>
        <v>9404.16</v>
      </c>
      <c r="D8" s="8" t="n">
        <f aca="false">C8*Narxlar!$C$19</f>
        <v>111909504</v>
      </c>
      <c r="E8" s="9" t="n">
        <f aca="false">IF($C$22=0,0,C8/$C$22)</f>
        <v>0.134613311157038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(batafsil)'!$J$5:$J$307,'Hisob (batafsil)'!$C$5:$C$307,"Interaktiv doska")</f>
        <v>8256</v>
      </c>
      <c r="D9" s="8" t="n">
        <f aca="false">C9*Narxlar!$C$19</f>
        <v>98246400</v>
      </c>
      <c r="E9" s="9" t="n">
        <f aca="false">IF($C$22=0,0,C9/$C$22)</f>
        <v>0.118178284600911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(batafsil)'!$J$5:$J$307,'Hisob (batafsil)'!$C$5:$C$307,"Perila")</f>
        <v>2016</v>
      </c>
      <c r="D10" s="8" t="n">
        <f aca="false">C10*Narxlar!$C$19</f>
        <v>23990400</v>
      </c>
      <c r="E10" s="9" t="n">
        <f aca="false">IF($C$22=0,0,C10/$C$22)</f>
        <v>0.0288574881002226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(batafsil)'!$J$5:$J$307,'Hisob (batafsil)'!$C$5:$C$307,"Yoritish")</f>
        <v>3024</v>
      </c>
      <c r="D11" s="8" t="n">
        <f aca="false">C11*Narxlar!$C$19</f>
        <v>35985600</v>
      </c>
      <c r="E11" s="9" t="n">
        <f aca="false">IF($C$22=0,0,C11/$C$22)</f>
        <v>0.0432862321503339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(batafsil)'!$J$5:$J$307,'Hisob (batafsil)'!$C$5:$C$307,"Kamera tizimi")</f>
        <v>2119</v>
      </c>
      <c r="D12" s="8" t="n">
        <f aca="false">C12*Narxlar!$C$19</f>
        <v>25216100</v>
      </c>
      <c r="E12" s="9" t="n">
        <f aca="false">IF($C$22=0,0,C12/$C$22)</f>
        <v>0.0303318538116923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(batafsil)'!$J$5:$J$307,'Hisob (batafsil)'!$C$5:$C$307,"Logotip")</f>
        <v>3250</v>
      </c>
      <c r="D13" s="8" t="n">
        <f aca="false">C13*Narxlar!$C$19</f>
        <v>38675000</v>
      </c>
      <c r="E13" s="9" t="n">
        <f aca="false">IF($C$22=0,0,C13/$C$22)</f>
        <v>0.0465212481774421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(batafsil)'!$J$5:$J$307,'Hisob (batafsil)'!$C$5:$C$307,"Matli plyonka")</f>
        <v>537.81512605042</v>
      </c>
      <c r="D14" s="8" t="n">
        <f aca="false">C14*Narxlar!$C$19</f>
        <v>6400000</v>
      </c>
      <c r="E14" s="9" t="n">
        <f aca="false">IF($C$22=0,0,C14/$C$22)</f>
        <v>0.0076984095238689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(batafsil)'!$J$5:$J$307,'Hisob (batafsil)'!$C$5:$C$307,"Yong'in xavfsizligi")</f>
        <v>1512.60504201681</v>
      </c>
      <c r="D15" s="8" t="n">
        <f aca="false">C15*Narxlar!$C$19</f>
        <v>18000000</v>
      </c>
      <c r="E15" s="9" t="n">
        <f aca="false">IF($C$22=0,0,C15/$C$22)</f>
        <v>0.0216517767858813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(batafsil)'!$J$5:$J$307,'Hisob (batafsil)'!$C$5:$C$307,"Buzish ishlari")</f>
        <v>451.575630252101</v>
      </c>
      <c r="D16" s="8" t="n">
        <f aca="false">C16*Narxlar!$C$19</f>
        <v>5373750</v>
      </c>
      <c r="E16" s="9" t="n">
        <f aca="false">IF($C$22=0,0,C16/$C$22)</f>
        <v>0.00646395752795164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(batafsil)'!$J$5:$J$307,'Hisob (batafsil)'!$C$5:$C$307,"Santexnika")</f>
        <v>3317.64705882353</v>
      </c>
      <c r="D17" s="8" t="n">
        <f aca="false">C17*Narxlar!$C$19</f>
        <v>39480000</v>
      </c>
      <c r="E17" s="9" t="n">
        <f aca="false">IF($C$22=0,0,C17/$C$22)</f>
        <v>0.0474895637503663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(batafsil)'!$J$5:$J$307,'Hisob (batafsil)'!$C$5:$C$307,"Kafel")</f>
        <v>1243.6974789916</v>
      </c>
      <c r="D18" s="8" t="n">
        <f aca="false">C18*Narxlar!$C$19</f>
        <v>14800000</v>
      </c>
      <c r="E18" s="9" t="n">
        <f aca="false">IF($C$22=0,0,C18/$C$22)</f>
        <v>0.0178025720239468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(batafsil)'!$J$5:$J$307,'Hisob (batafsil)'!$C$5:$C$307,"Konditsioner va ventilyatsiya")</f>
        <v>15000</v>
      </c>
      <c r="D19" s="8" t="n">
        <f aca="false">C19*Narxlar!$C$19</f>
        <v>178500000</v>
      </c>
      <c r="E19" s="9" t="n">
        <f aca="false">IF($C$22=0,0,C19/$C$22)</f>
        <v>0.214713453126656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(batafsil)'!$J$5:$J$307,'Hisob (batafsil)'!$C$5:$C$307,"Mebel va interyer")</f>
        <v>8850</v>
      </c>
      <c r="D20" s="8" t="n">
        <f aca="false">C20*Narxlar!$C$19</f>
        <v>105315000</v>
      </c>
      <c r="E20" s="9" t="n">
        <f aca="false">IF($C$22=0,0,C20/$C$22)</f>
        <v>0.126680937344727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(batafsil)'!$J$5:$J$307,'Hisob (batafsil)'!$C$5:$C$307,"E'lon va e'tirof doskalari")</f>
        <v>740</v>
      </c>
      <c r="D21" s="8" t="n">
        <f aca="false">C21*Narxlar!$C$19</f>
        <v>8806000</v>
      </c>
      <c r="E21" s="9" t="n">
        <f aca="false">IF($C$22=0,0,C21/$C$22)</f>
        <v>0.0105925303542484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69860.5503361345</v>
      </c>
      <c r="D22" s="13" t="n">
        <f aca="false">C22*Narxlar!$C$19</f>
        <v>831340549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("&amp;TEXT(Narxlar!$C$76,"0%")&amp;")"</f>
        <v>Kutilmagan xarajatlar (10%)</v>
      </c>
      <c r="C23" s="17" t="n">
        <f aca="false">C22*Narxlar!$C$76</f>
        <v>6986.05503361345</v>
      </c>
      <c r="D23" s="18" t="n">
        <f aca="false">C23*Narxlar!$C$19</f>
        <v>83134054.9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76846.6053697479</v>
      </c>
      <c r="D24" s="22" t="n">
        <f aca="false">C24*Narxlar!$C$19</f>
        <v>914474603.9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(batafsil)'!$J$5:$J$307,'Hisob (batafsil)'!$C$5:$C$307,"Mebel va interyer")+SUMIFS('Hisob (batafsil)'!$J$5:$J$307,'Hisob (batafsil)'!$C$5:$C$307,"E'lon va e'tirof doskalari")+SUMIFS('Hisob (batafsil)'!$J$5:$J$307,'Hisob (batafsil)'!$B$5:$B$307,"1-qavat — kirish zali (resepshn, turniket)",'Hisob (batafsil)'!$C$5:$C$307,"Logotip")</f>
        <v>10340</v>
      </c>
      <c r="D25" s="26" t="n">
        <f aca="false">C25*Narxlar!$C$19</f>
        <v>123046000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0.049097809614962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19634.5</v>
      </c>
      <c r="D30" s="8" t="n">
        <f aca="false">C30*Narxlar!$C$19</f>
        <v>233650550</v>
      </c>
      <c r="E30" s="9" t="n">
        <f aca="false">IF($C$34=0,0,C30/$C$34)</f>
        <v>0.281052753027689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0.154328586707732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28694.8957983193</v>
      </c>
      <c r="D32" s="8" t="n">
        <f aca="false">C32*Narxlar!$C$19</f>
        <v>341469260</v>
      </c>
      <c r="E32" s="9" t="n">
        <f aca="false">IF($C$34=0,0,C32/$C$34)</f>
        <v>0.410745344264448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0.10477550638517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69860.5503361345</v>
      </c>
      <c r="D34" s="13" t="n">
        <f aca="false">C34*Narxlar!$C$19</f>
        <v>831340549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(batafsil)'!$G$5:$G$307,'Hisob (batafsil)'!$B$5:$B$307,$A6,'Hisob (batafsil)'!$C$5:$C$307,"Shisha devor")</f>
        <v>0</v>
      </c>
      <c r="C6" s="32" t="n">
        <f aca="false">SUMIFS('Hisob (batafsil)'!$J$5:$J$307,'Hisob (batafsil)'!$B$5:$B$307,$A6,'Hisob (batafsil)'!$C$5:$C$307,"Shisha devor")</f>
        <v>0</v>
      </c>
      <c r="D6" s="31" t="n">
        <f aca="false">SUMIFS('Hisob (batafsil)'!$G$5:$G$307,'Hisob (batafsil)'!$B$5:$B$307,$A6,'Hisob (batafsil)'!$C$5:$C$307,"Gips karton (GKL)")</f>
        <v>0</v>
      </c>
      <c r="E6" s="32" t="n">
        <f aca="false">SUMIFS('Hisob (batafsil)'!$J$5:$J$307,'Hisob (batafsil)'!$B$5:$B$307,$A6,'Hisob (batafsil)'!$C$5:$C$307,"Gips karton (GKL)")</f>
        <v>0</v>
      </c>
      <c r="F6" s="31" t="n">
        <f aca="false">SUMIFS('Hisob (batafsil)'!$G$5:$G$307,'Hisob (batafsil)'!$B$5:$B$307,$A6,'Hisob (batafsil)'!$C$5:$C$307,"Bambuk panel")</f>
        <v>0</v>
      </c>
      <c r="G6" s="32" t="n">
        <f aca="false">SUMIFS('Hisob (batafsil)'!$J$5:$J$307,'Hisob (batafsil)'!$B$5:$B$307,$A6,'Hisob (batafsil)'!$C$5:$C$307,"Bambuk panel")</f>
        <v>0</v>
      </c>
      <c r="H6" s="33" t="n">
        <f aca="false">SUMIFS('Hisob (batafsil)'!$G$5:$G$307,'Hisob (batafsil)'!$B$5:$B$307,$A6,'Hisob (batafsil)'!$C$5:$C$307,"Interaktiv doska")</f>
        <v>0</v>
      </c>
      <c r="I6" s="32" t="n">
        <f aca="false">SUMIFS('Hisob (batafsil)'!$J$5:$J$307,'Hisob (batafsil)'!$B$5:$B$307,$A6,'Hisob (batafsil)'!$C$5:$C$307,"Interaktiv doska")</f>
        <v>0</v>
      </c>
      <c r="J6" s="31" t="n">
        <f aca="false">SUMIFS('Hisob (batafsil)'!$G$5:$G$307,'Hisob (batafsil)'!$B$5:$B$307,$A6,'Hisob (batafsil)'!$C$5:$C$307,"Perila")</f>
        <v>0</v>
      </c>
      <c r="K6" s="32" t="n">
        <f aca="false">SUMIFS('Hisob (batafsil)'!$J$5:$J$307,'Hisob (batafsil)'!$B$5:$B$307,$A6,'Hisob (batafsil)'!$C$5:$C$307,"Perila")</f>
        <v>0</v>
      </c>
      <c r="L6" s="32" t="n">
        <f aca="false">SUMIFS('Hisob (batafsil)'!$J$5:$J$307,'Hisob (batafsil)'!$B$5:$B$307,$A6,'Hisob (batafsil)'!$C$5:$C$307,"Yoritish")</f>
        <v>0</v>
      </c>
      <c r="M6" s="32" t="n">
        <f aca="false">SUMIFS('Hisob (batafsil)'!$J$5:$J$307,'Hisob (batafsil)'!$B$5:$B$307,$A6,'Hisob (batafsil)'!$C$5:$C$307,"Kamera tizimi")</f>
        <v>0</v>
      </c>
      <c r="N6" s="32" t="n">
        <f aca="false">SUMIFS('Hisob (batafsil)'!$J$5:$J$307,'Hisob (batafsil)'!$B$5:$B$307,$A6,'Hisob (batafsil)'!$C$5:$C$307,"Logotip")</f>
        <v>750</v>
      </c>
      <c r="O6" s="32" t="n">
        <f aca="false">SUMIFS('Hisob (batafsil)'!$J$5:$J$307,'Hisob (batafsil)'!$B$5:$B$307,$A6,'Hisob (batafsil)'!$C$5:$C$307,"Matli plyonka")</f>
        <v>0</v>
      </c>
      <c r="P6" s="32" t="n">
        <f aca="false">SUMIFS('Hisob (batafsil)'!$J$5:$J$307,'Hisob (batafsil)'!$B$5:$B$307,$A6,'Hisob (batafsil)'!$C$5:$C$307,"Yong'in xavfsizligi")</f>
        <v>0</v>
      </c>
      <c r="Q6" s="32" t="n">
        <f aca="false">SUMIFS('Hisob (batafsil)'!$J$5:$J$307,'Hisob (batafsil)'!$B$5:$B$307,$A6,'Hisob (batafsil)'!$C$5:$C$307,"Buzish ishlari")</f>
        <v>0</v>
      </c>
      <c r="R6" s="32" t="n">
        <f aca="false">SUMIFS('Hisob (batafsil)'!$J$5:$J$307,'Hisob (batafsil)'!$B$5:$B$307,$A6,'Hisob (batafsil)'!$C$5:$C$307,"Santexnika")</f>
        <v>0</v>
      </c>
      <c r="S6" s="32" t="n">
        <f aca="false">SUMIFS('Hisob (batafsil)'!$J$5:$J$307,'Hisob (batafsil)'!$B$5:$B$307,$A6,'Hisob (batafsil)'!$C$5:$C$307,"Kafel")</f>
        <v>0</v>
      </c>
      <c r="T6" s="32" t="n">
        <f aca="false">SUMIFS('Hisob (batafsil)'!$J$5:$J$307,'Hisob (batafsil)'!$B$5:$B$307,$A6,'Hisob (batafsil)'!$C$5:$C$307,"Konditsioner va ventilyatsiya")</f>
        <v>0</v>
      </c>
      <c r="U6" s="32" t="n">
        <f aca="false">SUMIFS('Hisob (batafsil)'!$J$5:$J$307,'Hisob (batafsil)'!$B$5:$B$307,$A6,'Hisob (batafsil)'!$C$5:$C$307,"Mebel va interyer")</f>
        <v>2680</v>
      </c>
      <c r="V6" s="32" t="n">
        <f aca="false">SUMIFS('Hisob (batafsil)'!$J$5:$J$307,'Hisob (batafsil)'!$B$5:$B$307,$A6,'Hisob (batafsil)'!$C$5:$C$307,"E'lon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(batafsil)'!$G$5:$G$307,'Hisob (batafsil)'!$B$5:$B$307,$A10,'Hisob (batafsil)'!$C$5:$C$307,"Shisha devor")</f>
        <v>13.75</v>
      </c>
      <c r="C10" s="32" t="n">
        <f aca="false">SUMIFS('Hisob (batafsil)'!$J$5:$J$307,'Hisob (batafsil)'!$B$5:$B$307,$A10,'Hisob (batafsil)'!$C$5:$C$307,"Shisha devor")</f>
        <v>756.25</v>
      </c>
      <c r="D10" s="31" t="n">
        <f aca="false">SUMIFS('Hisob (batafsil)'!$G$5:$G$307,'Hisob (batafsil)'!$B$5:$B$307,$A10,'Hisob (batafsil)'!$C$5:$C$307,"Gips karton (GKL)")</f>
        <v>7.25</v>
      </c>
      <c r="E10" s="32" t="n">
        <f aca="false">SUMIFS('Hisob (batafsil)'!$J$5:$J$307,'Hisob (batafsil)'!$B$5:$B$307,$A10,'Hisob (batafsil)'!$C$5:$C$307,"Gips karton (GKL)")</f>
        <v>87</v>
      </c>
      <c r="F10" s="31" t="n">
        <f aca="false">SUMIFS('Hisob (batafsil)'!$G$5:$G$307,'Hisob (batafsil)'!$B$5:$B$307,$A10,'Hisob (batafsil)'!$C$5:$C$307,"Bambuk panel")</f>
        <v>53.9</v>
      </c>
      <c r="G10" s="32" t="n">
        <f aca="false">SUMIFS('Hisob (batafsil)'!$J$5:$J$307,'Hisob (batafsil)'!$B$5:$B$307,$A10,'Hisob (batafsil)'!$C$5:$C$307,"Bambuk panel")</f>
        <v>835.45</v>
      </c>
      <c r="H10" s="33" t="n">
        <f aca="false">SUMIFS('Hisob (batafsil)'!$G$5:$G$307,'Hisob (batafsil)'!$B$5:$B$307,$A10,'Hisob (batafsil)'!$C$5:$C$307,"Interaktiv doska")</f>
        <v>1</v>
      </c>
      <c r="I10" s="32" t="n">
        <f aca="false">SUMIFS('Hisob (batafsil)'!$J$5:$J$307,'Hisob (batafsil)'!$B$5:$B$307,$A10,'Hisob (batafsil)'!$C$5:$C$307,"Interaktiv doska")</f>
        <v>1032</v>
      </c>
      <c r="J10" s="31" t="n">
        <f aca="false">SUMIFS('Hisob (batafsil)'!$G$5:$G$307,'Hisob (batafsil)'!$B$5:$B$307,$A10,'Hisob (batafsil)'!$C$5:$C$307,"Perila")</f>
        <v>0</v>
      </c>
      <c r="K10" s="32" t="n">
        <f aca="false">SUMIFS('Hisob (batafsil)'!$J$5:$J$307,'Hisob (batafsil)'!$B$5:$B$307,$A10,'Hisob (batafsil)'!$C$5:$C$307,"Perila")</f>
        <v>0</v>
      </c>
      <c r="L10" s="32" t="n">
        <f aca="false">SUMIFS('Hisob (batafsil)'!$J$5:$J$307,'Hisob (batafsil)'!$B$5:$B$307,$A10,'Hisob (batafsil)'!$C$5:$C$307,"Yoritish")</f>
        <v>168</v>
      </c>
      <c r="M10" s="32" t="n">
        <f aca="false">SUMIFS('Hisob (batafsil)'!$J$5:$J$307,'Hisob (batafsil)'!$B$5:$B$307,$A10,'Hisob (batafsil)'!$C$5:$C$307,"Kamera tizimi")</f>
        <v>0</v>
      </c>
      <c r="N10" s="32" t="n">
        <f aca="false">SUMIFS('Hisob (batafsil)'!$J$5:$J$307,'Hisob (batafsil)'!$B$5:$B$307,$A10,'Hisob (batafsil)'!$C$5:$C$307,"Logotip")</f>
        <v>0</v>
      </c>
      <c r="O10" s="32" t="n">
        <f aca="false">SUMIFS('Hisob (batafsil)'!$J$5:$J$307,'Hisob (batafsil)'!$B$5:$B$307,$A10,'Hisob (batafsil)'!$C$5:$C$307,"Matli plyonka")</f>
        <v>0</v>
      </c>
      <c r="P10" s="32" t="n">
        <f aca="false">SUMIFS('Hisob (batafsil)'!$J$5:$J$307,'Hisob (batafsil)'!$B$5:$B$307,$A10,'Hisob (batafsil)'!$C$5:$C$307,"Yong'in xavfsizligi")</f>
        <v>0</v>
      </c>
      <c r="Q10" s="32" t="n">
        <f aca="false">SUMIFS('Hisob (batafsil)'!$J$5:$J$307,'Hisob (batafsil)'!$B$5:$B$307,$A10,'Hisob (batafsil)'!$C$5:$C$307,"Buzish ishlari")</f>
        <v>0</v>
      </c>
      <c r="R10" s="32" t="n">
        <f aca="false">SUMIFS('Hisob (batafsil)'!$J$5:$J$307,'Hisob (batafsil)'!$B$5:$B$307,$A10,'Hisob (batafsil)'!$C$5:$C$307,"Santexnika")</f>
        <v>0</v>
      </c>
      <c r="S10" s="32" t="n">
        <f aca="false">SUMIFS('Hisob (batafsil)'!$J$5:$J$307,'Hisob (batafsil)'!$B$5:$B$307,$A10,'Hisob (batafsil)'!$C$5:$C$307,"Kafel")</f>
        <v>0</v>
      </c>
      <c r="T10" s="32" t="n">
        <f aca="false">SUMIFS('Hisob (batafsil)'!$J$5:$J$307,'Hisob (batafsil)'!$B$5:$B$307,$A10,'Hisob (batafsil)'!$C$5:$C$307,"Konditsioner va ventilyatsiya")</f>
        <v>0</v>
      </c>
      <c r="U10" s="32" t="n">
        <f aca="false">SUMIFS('Hisob (batafsil)'!$J$5:$J$307,'Hisob (batafsil)'!$B$5:$B$307,$A10,'Hisob (batafsil)'!$C$5:$C$307,"Mebel va interyer")</f>
        <v>0</v>
      </c>
      <c r="V10" s="32" t="n">
        <f aca="false">SUMIFS('Hisob (batafsil)'!$J$5:$J$307,'Hisob (batafsil)'!$B$5:$B$307,$A10,'Hisob (batafsil)'!$C$5:$C$307,"E'lon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(batafsil)'!$G$5:$G$307,'Hisob (batafsil)'!$B$5:$B$307,$A11,'Hisob (batafsil)'!$C$5:$C$307,"Shisha devor")</f>
        <v>14</v>
      </c>
      <c r="C11" s="32" t="n">
        <f aca="false">SUMIFS('Hisob (batafsil)'!$J$5:$J$307,'Hisob (batafsil)'!$B$5:$B$307,$A11,'Hisob (batafsil)'!$C$5:$C$307,"Shisha devor")</f>
        <v>770</v>
      </c>
      <c r="D11" s="31" t="n">
        <f aca="false">SUMIFS('Hisob (batafsil)'!$G$5:$G$307,'Hisob (batafsil)'!$B$5:$B$307,$A11,'Hisob (batafsil)'!$C$5:$C$307,"Gips karton (GKL)")</f>
        <v>6.3</v>
      </c>
      <c r="E11" s="32" t="n">
        <f aca="false">SUMIFS('Hisob (batafsil)'!$J$5:$J$307,'Hisob (batafsil)'!$B$5:$B$307,$A11,'Hisob (batafsil)'!$C$5:$C$307,"Gips karton (GKL)")</f>
        <v>75.6</v>
      </c>
      <c r="F11" s="31" t="n">
        <f aca="false">SUMIFS('Hisob (batafsil)'!$G$5:$G$307,'Hisob (batafsil)'!$B$5:$B$307,$A11,'Hisob (batafsil)'!$C$5:$C$307,"Bambuk panel")</f>
        <v>53.9</v>
      </c>
      <c r="G11" s="32" t="n">
        <f aca="false">SUMIFS('Hisob (batafsil)'!$J$5:$J$307,'Hisob (batafsil)'!$B$5:$B$307,$A11,'Hisob (batafsil)'!$C$5:$C$307,"Bambuk panel")</f>
        <v>835.45</v>
      </c>
      <c r="H11" s="33" t="n">
        <f aca="false">SUMIFS('Hisob (batafsil)'!$G$5:$G$307,'Hisob (batafsil)'!$B$5:$B$307,$A11,'Hisob (batafsil)'!$C$5:$C$307,"Interaktiv doska")</f>
        <v>1</v>
      </c>
      <c r="I11" s="32" t="n">
        <f aca="false">SUMIFS('Hisob (batafsil)'!$J$5:$J$307,'Hisob (batafsil)'!$B$5:$B$307,$A11,'Hisob (batafsil)'!$C$5:$C$307,"Interaktiv doska")</f>
        <v>1032</v>
      </c>
      <c r="J11" s="31" t="n">
        <f aca="false">SUMIFS('Hisob (batafsil)'!$G$5:$G$307,'Hisob (batafsil)'!$B$5:$B$307,$A11,'Hisob (batafsil)'!$C$5:$C$307,"Perila")</f>
        <v>0</v>
      </c>
      <c r="K11" s="32" t="n">
        <f aca="false">SUMIFS('Hisob (batafsil)'!$J$5:$J$307,'Hisob (batafsil)'!$B$5:$B$307,$A11,'Hisob (batafsil)'!$C$5:$C$307,"Perila")</f>
        <v>0</v>
      </c>
      <c r="L11" s="32" t="n">
        <f aca="false">SUMIFS('Hisob (batafsil)'!$J$5:$J$307,'Hisob (batafsil)'!$B$5:$B$307,$A11,'Hisob (batafsil)'!$C$5:$C$307,"Yoritish")</f>
        <v>168</v>
      </c>
      <c r="M11" s="32" t="n">
        <f aca="false">SUMIFS('Hisob (batafsil)'!$J$5:$J$307,'Hisob (batafsil)'!$B$5:$B$307,$A11,'Hisob (batafsil)'!$C$5:$C$307,"Kamera tizimi")</f>
        <v>0</v>
      </c>
      <c r="N11" s="32" t="n">
        <f aca="false">SUMIFS('Hisob (batafsil)'!$J$5:$J$307,'Hisob (batafsil)'!$B$5:$B$307,$A11,'Hisob (batafsil)'!$C$5:$C$307,"Logotip")</f>
        <v>0</v>
      </c>
      <c r="O11" s="32" t="n">
        <f aca="false">SUMIFS('Hisob (batafsil)'!$J$5:$J$307,'Hisob (batafsil)'!$B$5:$B$307,$A11,'Hisob (batafsil)'!$C$5:$C$307,"Matli plyonka")</f>
        <v>0</v>
      </c>
      <c r="P11" s="32" t="n">
        <f aca="false">SUMIFS('Hisob (batafsil)'!$J$5:$J$307,'Hisob (batafsil)'!$B$5:$B$307,$A11,'Hisob (batafsil)'!$C$5:$C$307,"Yong'in xavfsizligi")</f>
        <v>0</v>
      </c>
      <c r="Q11" s="32" t="n">
        <f aca="false">SUMIFS('Hisob (batafsil)'!$J$5:$J$307,'Hisob (batafsil)'!$B$5:$B$307,$A11,'Hisob (batafsil)'!$C$5:$C$307,"Buzish ishlari")</f>
        <v>0</v>
      </c>
      <c r="R11" s="32" t="n">
        <f aca="false">SUMIFS('Hisob (batafsil)'!$J$5:$J$307,'Hisob (batafsil)'!$B$5:$B$307,$A11,'Hisob (batafsil)'!$C$5:$C$307,"Santexnika")</f>
        <v>0</v>
      </c>
      <c r="S11" s="32" t="n">
        <f aca="false">SUMIFS('Hisob (batafsil)'!$J$5:$J$307,'Hisob (batafsil)'!$B$5:$B$307,$A11,'Hisob (batafsil)'!$C$5:$C$307,"Kafel")</f>
        <v>0</v>
      </c>
      <c r="T11" s="32" t="n">
        <f aca="false">SUMIFS('Hisob (batafsil)'!$J$5:$J$307,'Hisob (batafsil)'!$B$5:$B$307,$A11,'Hisob (batafsil)'!$C$5:$C$307,"Konditsioner va ventilyatsiya")</f>
        <v>0</v>
      </c>
      <c r="U11" s="32" t="n">
        <f aca="false">SUMIFS('Hisob (batafsil)'!$J$5:$J$307,'Hisob (batafsil)'!$B$5:$B$307,$A11,'Hisob (batafsil)'!$C$5:$C$307,"Mebel va interyer")</f>
        <v>0</v>
      </c>
      <c r="V11" s="32" t="n">
        <f aca="false">SUMIFS('Hisob (batafsil)'!$J$5:$J$307,'Hisob (batafsil)'!$B$5:$B$307,$A11,'Hisob (batafsil)'!$C$5:$C$307,"E'lon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(batafsil)'!$G$5:$G$307,'Hisob (batafsil)'!$B$5:$B$307,$A12,'Hisob (batafsil)'!$C$5:$C$307,"Shisha devor")</f>
        <v>2.25</v>
      </c>
      <c r="C12" s="32" t="n">
        <f aca="false">SUMIFS('Hisob (batafsil)'!$J$5:$J$307,'Hisob (batafsil)'!$B$5:$B$307,$A12,'Hisob (batafsil)'!$C$5:$C$307,"Shisha devor")</f>
        <v>123.75</v>
      </c>
      <c r="D12" s="31" t="n">
        <f aca="false">SUMIFS('Hisob (batafsil)'!$G$5:$G$307,'Hisob (batafsil)'!$B$5:$B$307,$A12,'Hisob (batafsil)'!$C$5:$C$307,"Gips karton (GKL)")</f>
        <v>17.875</v>
      </c>
      <c r="E12" s="32" t="n">
        <f aca="false">SUMIFS('Hisob (batafsil)'!$J$5:$J$307,'Hisob (batafsil)'!$B$5:$B$307,$A12,'Hisob (batafsil)'!$C$5:$C$307,"Gips karton (GKL)")</f>
        <v>214.5</v>
      </c>
      <c r="F12" s="31" t="n">
        <f aca="false">SUMIFS('Hisob (batafsil)'!$G$5:$G$307,'Hisob (batafsil)'!$B$5:$B$307,$A12,'Hisob (batafsil)'!$C$5:$C$307,"Bambuk panel")</f>
        <v>53.9</v>
      </c>
      <c r="G12" s="32" t="n">
        <f aca="false">SUMIFS('Hisob (batafsil)'!$J$5:$J$307,'Hisob (batafsil)'!$B$5:$B$307,$A12,'Hisob (batafsil)'!$C$5:$C$307,"Bambuk panel")</f>
        <v>835.45</v>
      </c>
      <c r="H12" s="33" t="n">
        <f aca="false">SUMIFS('Hisob (batafsil)'!$G$5:$G$307,'Hisob (batafsil)'!$B$5:$B$307,$A12,'Hisob (batafsil)'!$C$5:$C$307,"Interaktiv doska")</f>
        <v>1</v>
      </c>
      <c r="I12" s="32" t="n">
        <f aca="false">SUMIFS('Hisob (batafsil)'!$J$5:$J$307,'Hisob (batafsil)'!$B$5:$B$307,$A12,'Hisob (batafsil)'!$C$5:$C$307,"Interaktiv doska")</f>
        <v>1032</v>
      </c>
      <c r="J12" s="31" t="n">
        <f aca="false">SUMIFS('Hisob (batafsil)'!$G$5:$G$307,'Hisob (batafsil)'!$B$5:$B$307,$A12,'Hisob (batafsil)'!$C$5:$C$307,"Perila")</f>
        <v>0</v>
      </c>
      <c r="K12" s="32" t="n">
        <f aca="false">SUMIFS('Hisob (batafsil)'!$J$5:$J$307,'Hisob (batafsil)'!$B$5:$B$307,$A12,'Hisob (batafsil)'!$C$5:$C$307,"Perila")</f>
        <v>0</v>
      </c>
      <c r="L12" s="32" t="n">
        <f aca="false">SUMIFS('Hisob (batafsil)'!$J$5:$J$307,'Hisob (batafsil)'!$B$5:$B$307,$A12,'Hisob (batafsil)'!$C$5:$C$307,"Yoritish")</f>
        <v>168</v>
      </c>
      <c r="M12" s="32" t="n">
        <f aca="false">SUMIFS('Hisob (batafsil)'!$J$5:$J$307,'Hisob (batafsil)'!$B$5:$B$307,$A12,'Hisob (batafsil)'!$C$5:$C$307,"Kamera tizimi")</f>
        <v>0</v>
      </c>
      <c r="N12" s="32" t="n">
        <f aca="false">SUMIFS('Hisob (batafsil)'!$J$5:$J$307,'Hisob (batafsil)'!$B$5:$B$307,$A12,'Hisob (batafsil)'!$C$5:$C$307,"Logotip")</f>
        <v>0</v>
      </c>
      <c r="O12" s="32" t="n">
        <f aca="false">SUMIFS('Hisob (batafsil)'!$J$5:$J$307,'Hisob (batafsil)'!$B$5:$B$307,$A12,'Hisob (batafsil)'!$C$5:$C$307,"Matli plyonka")</f>
        <v>0</v>
      </c>
      <c r="P12" s="32" t="n">
        <f aca="false">SUMIFS('Hisob (batafsil)'!$J$5:$J$307,'Hisob (batafsil)'!$B$5:$B$307,$A12,'Hisob (batafsil)'!$C$5:$C$307,"Yong'in xavfsizligi")</f>
        <v>0</v>
      </c>
      <c r="Q12" s="32" t="n">
        <f aca="false">SUMIFS('Hisob (batafsil)'!$J$5:$J$307,'Hisob (batafsil)'!$B$5:$B$307,$A12,'Hisob (batafsil)'!$C$5:$C$307,"Buzish ishlari")</f>
        <v>0</v>
      </c>
      <c r="R12" s="32" t="n">
        <f aca="false">SUMIFS('Hisob (batafsil)'!$J$5:$J$307,'Hisob (batafsil)'!$B$5:$B$307,$A12,'Hisob (batafsil)'!$C$5:$C$307,"Santexnika")</f>
        <v>0</v>
      </c>
      <c r="S12" s="32" t="n">
        <f aca="false">SUMIFS('Hisob (batafsil)'!$J$5:$J$307,'Hisob (batafsil)'!$B$5:$B$307,$A12,'Hisob (batafsil)'!$C$5:$C$307,"Kafel")</f>
        <v>0</v>
      </c>
      <c r="T12" s="32" t="n">
        <f aca="false">SUMIFS('Hisob (batafsil)'!$J$5:$J$307,'Hisob (batafsil)'!$B$5:$B$307,$A12,'Hisob (batafsil)'!$C$5:$C$307,"Konditsioner va ventilyatsiya")</f>
        <v>0</v>
      </c>
      <c r="U12" s="32" t="n">
        <f aca="false">SUMIFS('Hisob (batafsil)'!$J$5:$J$307,'Hisob (batafsil)'!$B$5:$B$307,$A12,'Hisob (batafsil)'!$C$5:$C$307,"Mebel va interyer")</f>
        <v>0</v>
      </c>
      <c r="V12" s="32" t="n">
        <f aca="false">SUMIFS('Hisob (batafsil)'!$J$5:$J$307,'Hisob (batafsil)'!$B$5:$B$307,$A12,'Hisob (batafsil)'!$C$5:$C$307,"E'lon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(batafsil)'!$G$5:$G$307,'Hisob (batafsil)'!$B$5:$B$307,$A13,'Hisob (batafsil)'!$C$5:$C$307,"Shisha devor")</f>
        <v>2.25</v>
      </c>
      <c r="C13" s="32" t="n">
        <f aca="false">SUMIFS('Hisob (batafsil)'!$J$5:$J$307,'Hisob (batafsil)'!$B$5:$B$307,$A13,'Hisob (batafsil)'!$C$5:$C$307,"Shisha devor")</f>
        <v>123.75</v>
      </c>
      <c r="D13" s="31" t="n">
        <f aca="false">SUMIFS('Hisob (batafsil)'!$G$5:$G$307,'Hisob (batafsil)'!$B$5:$B$307,$A13,'Hisob (batafsil)'!$C$5:$C$307,"Gips karton (GKL)")</f>
        <v>52</v>
      </c>
      <c r="E13" s="32" t="n">
        <f aca="false">SUMIFS('Hisob (batafsil)'!$J$5:$J$307,'Hisob (batafsil)'!$B$5:$B$307,$A13,'Hisob (batafsil)'!$C$5:$C$307,"Gips karton (GKL)")</f>
        <v>624</v>
      </c>
      <c r="F13" s="31" t="n">
        <f aca="false">SUMIFS('Hisob (batafsil)'!$G$5:$G$307,'Hisob (batafsil)'!$B$5:$B$307,$A13,'Hisob (batafsil)'!$C$5:$C$307,"Bambuk panel")</f>
        <v>50.4</v>
      </c>
      <c r="G13" s="32" t="n">
        <f aca="false">SUMIFS('Hisob (batafsil)'!$J$5:$J$307,'Hisob (batafsil)'!$B$5:$B$307,$A13,'Hisob (batafsil)'!$C$5:$C$307,"Bambuk panel")</f>
        <v>781.2</v>
      </c>
      <c r="H13" s="33" t="n">
        <f aca="false">SUMIFS('Hisob (batafsil)'!$G$5:$G$307,'Hisob (batafsil)'!$B$5:$B$307,$A13,'Hisob (batafsil)'!$C$5:$C$307,"Interaktiv doska")</f>
        <v>1</v>
      </c>
      <c r="I13" s="32" t="n">
        <f aca="false">SUMIFS('Hisob (batafsil)'!$J$5:$J$307,'Hisob (batafsil)'!$B$5:$B$307,$A13,'Hisob (batafsil)'!$C$5:$C$307,"Interaktiv doska")</f>
        <v>1032</v>
      </c>
      <c r="J13" s="31" t="n">
        <f aca="false">SUMIFS('Hisob (batafsil)'!$G$5:$G$307,'Hisob (batafsil)'!$B$5:$B$307,$A13,'Hisob (batafsil)'!$C$5:$C$307,"Perila")</f>
        <v>0</v>
      </c>
      <c r="K13" s="32" t="n">
        <f aca="false">SUMIFS('Hisob (batafsil)'!$J$5:$J$307,'Hisob (batafsil)'!$B$5:$B$307,$A13,'Hisob (batafsil)'!$C$5:$C$307,"Perila")</f>
        <v>0</v>
      </c>
      <c r="L13" s="32" t="n">
        <f aca="false">SUMIFS('Hisob (batafsil)'!$J$5:$J$307,'Hisob (batafsil)'!$B$5:$B$307,$A13,'Hisob (batafsil)'!$C$5:$C$307,"Yoritish")</f>
        <v>168</v>
      </c>
      <c r="M13" s="32" t="n">
        <f aca="false">SUMIFS('Hisob (batafsil)'!$J$5:$J$307,'Hisob (batafsil)'!$B$5:$B$307,$A13,'Hisob (batafsil)'!$C$5:$C$307,"Kamera tizimi")</f>
        <v>0</v>
      </c>
      <c r="N13" s="32" t="n">
        <f aca="false">SUMIFS('Hisob (batafsil)'!$J$5:$J$307,'Hisob (batafsil)'!$B$5:$B$307,$A13,'Hisob (batafsil)'!$C$5:$C$307,"Logotip")</f>
        <v>0</v>
      </c>
      <c r="O13" s="32" t="n">
        <f aca="false">SUMIFS('Hisob (batafsil)'!$J$5:$J$307,'Hisob (batafsil)'!$B$5:$B$307,$A13,'Hisob (batafsil)'!$C$5:$C$307,"Matli plyonka")</f>
        <v>0</v>
      </c>
      <c r="P13" s="32" t="n">
        <f aca="false">SUMIFS('Hisob (batafsil)'!$J$5:$J$307,'Hisob (batafsil)'!$B$5:$B$307,$A13,'Hisob (batafsil)'!$C$5:$C$307,"Yong'in xavfsizligi")</f>
        <v>0</v>
      </c>
      <c r="Q13" s="32" t="n">
        <f aca="false">SUMIFS('Hisob (batafsil)'!$J$5:$J$307,'Hisob (batafsil)'!$B$5:$B$307,$A13,'Hisob (batafsil)'!$C$5:$C$307,"Buzish ishlari")</f>
        <v>0</v>
      </c>
      <c r="R13" s="32" t="n">
        <f aca="false">SUMIFS('Hisob (batafsil)'!$J$5:$J$307,'Hisob (batafsil)'!$B$5:$B$307,$A13,'Hisob (batafsil)'!$C$5:$C$307,"Santexnika")</f>
        <v>0</v>
      </c>
      <c r="S13" s="32" t="n">
        <f aca="false">SUMIFS('Hisob (batafsil)'!$J$5:$J$307,'Hisob (batafsil)'!$B$5:$B$307,$A13,'Hisob (batafsil)'!$C$5:$C$307,"Kafel")</f>
        <v>0</v>
      </c>
      <c r="T13" s="32" t="n">
        <f aca="false">SUMIFS('Hisob (batafsil)'!$J$5:$J$307,'Hisob (batafsil)'!$B$5:$B$307,$A13,'Hisob (batafsil)'!$C$5:$C$307,"Konditsioner va ventilyatsiya")</f>
        <v>0</v>
      </c>
      <c r="U13" s="32" t="n">
        <f aca="false">SUMIFS('Hisob (batafsil)'!$J$5:$J$307,'Hisob (batafsil)'!$B$5:$B$307,$A13,'Hisob (batafsil)'!$C$5:$C$307,"Mebel va interyer")</f>
        <v>0</v>
      </c>
      <c r="V13" s="32" t="n">
        <f aca="false">SUMIFS('Hisob (batafsil)'!$J$5:$J$307,'Hisob (batafsil)'!$B$5:$B$307,$A13,'Hisob (batafsil)'!$C$5:$C$307,"E'lon va e'tirof doskalari")</f>
        <v>0</v>
      </c>
      <c r="W13" s="34" t="n">
        <f aca="false">C13+E13+G13+I13+K13+L13+M13+N13+O13+P13+Q13+R13+S13+T13+U13+V13</f>
        <v>2728.95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(batafsil)'!$G$5:$G$307,'Hisob (batafsil)'!$B$5:$B$307,$A14,'Hisob (batafsil)'!$C$5:$C$307,"Shisha devor")</f>
        <v>2.25</v>
      </c>
      <c r="C14" s="32" t="n">
        <f aca="false">SUMIFS('Hisob (batafsil)'!$J$5:$J$307,'Hisob (batafsil)'!$B$5:$B$307,$A14,'Hisob (batafsil)'!$C$5:$C$307,"Shisha devor")</f>
        <v>123.75</v>
      </c>
      <c r="D14" s="31" t="n">
        <f aca="false">SUMIFS('Hisob (batafsil)'!$G$5:$G$307,'Hisob (batafsil)'!$B$5:$B$307,$A14,'Hisob (batafsil)'!$C$5:$C$307,"Gips karton (GKL)")</f>
        <v>27.5</v>
      </c>
      <c r="E14" s="32" t="n">
        <f aca="false">SUMIFS('Hisob (batafsil)'!$J$5:$J$307,'Hisob (batafsil)'!$B$5:$B$307,$A14,'Hisob (batafsil)'!$C$5:$C$307,"Gips karton (GKL)")</f>
        <v>330</v>
      </c>
      <c r="F14" s="31" t="n">
        <f aca="false">SUMIFS('Hisob (batafsil)'!$G$5:$G$307,'Hisob (batafsil)'!$B$5:$B$307,$A14,'Hisob (batafsil)'!$C$5:$C$307,"Bambuk panel")</f>
        <v>53.9</v>
      </c>
      <c r="G14" s="32" t="n">
        <f aca="false">SUMIFS('Hisob (batafsil)'!$J$5:$J$307,'Hisob (batafsil)'!$B$5:$B$307,$A14,'Hisob (batafsil)'!$C$5:$C$307,"Bambuk panel")</f>
        <v>835.45</v>
      </c>
      <c r="H14" s="33" t="n">
        <f aca="false">SUMIFS('Hisob (batafsil)'!$G$5:$G$307,'Hisob (batafsil)'!$B$5:$B$307,$A14,'Hisob (batafsil)'!$C$5:$C$307,"Interaktiv doska")</f>
        <v>1</v>
      </c>
      <c r="I14" s="32" t="n">
        <f aca="false">SUMIFS('Hisob (batafsil)'!$J$5:$J$307,'Hisob (batafsil)'!$B$5:$B$307,$A14,'Hisob (batafsil)'!$C$5:$C$307,"Interaktiv doska")</f>
        <v>1032</v>
      </c>
      <c r="J14" s="31" t="n">
        <f aca="false">SUMIFS('Hisob (batafsil)'!$G$5:$G$307,'Hisob (batafsil)'!$B$5:$B$307,$A14,'Hisob (batafsil)'!$C$5:$C$307,"Perila")</f>
        <v>0</v>
      </c>
      <c r="K14" s="32" t="n">
        <f aca="false">SUMIFS('Hisob (batafsil)'!$J$5:$J$307,'Hisob (batafsil)'!$B$5:$B$307,$A14,'Hisob (batafsil)'!$C$5:$C$307,"Perila")</f>
        <v>0</v>
      </c>
      <c r="L14" s="32" t="n">
        <f aca="false">SUMIFS('Hisob (batafsil)'!$J$5:$J$307,'Hisob (batafsil)'!$B$5:$B$307,$A14,'Hisob (batafsil)'!$C$5:$C$307,"Yoritish")</f>
        <v>168</v>
      </c>
      <c r="M14" s="32" t="n">
        <f aca="false">SUMIFS('Hisob (batafsil)'!$J$5:$J$307,'Hisob (batafsil)'!$B$5:$B$307,$A14,'Hisob (batafsil)'!$C$5:$C$307,"Kamera tizimi")</f>
        <v>0</v>
      </c>
      <c r="N14" s="32" t="n">
        <f aca="false">SUMIFS('Hisob (batafsil)'!$J$5:$J$307,'Hisob (batafsil)'!$B$5:$B$307,$A14,'Hisob (batafsil)'!$C$5:$C$307,"Logotip")</f>
        <v>0</v>
      </c>
      <c r="O14" s="32" t="n">
        <f aca="false">SUMIFS('Hisob (batafsil)'!$J$5:$J$307,'Hisob (batafsil)'!$B$5:$B$307,$A14,'Hisob (batafsil)'!$C$5:$C$307,"Matli plyonka")</f>
        <v>0</v>
      </c>
      <c r="P14" s="32" t="n">
        <f aca="false">SUMIFS('Hisob (batafsil)'!$J$5:$J$307,'Hisob (batafsil)'!$B$5:$B$307,$A14,'Hisob (batafsil)'!$C$5:$C$307,"Yong'in xavfsizligi")</f>
        <v>0</v>
      </c>
      <c r="Q14" s="32" t="n">
        <f aca="false">SUMIFS('Hisob (batafsil)'!$J$5:$J$307,'Hisob (batafsil)'!$B$5:$B$307,$A14,'Hisob (batafsil)'!$C$5:$C$307,"Buzish ishlari")</f>
        <v>0</v>
      </c>
      <c r="R14" s="32" t="n">
        <f aca="false">SUMIFS('Hisob (batafsil)'!$J$5:$J$307,'Hisob (batafsil)'!$B$5:$B$307,$A14,'Hisob (batafsil)'!$C$5:$C$307,"Santexnika")</f>
        <v>0</v>
      </c>
      <c r="S14" s="32" t="n">
        <f aca="false">SUMIFS('Hisob (batafsil)'!$J$5:$J$307,'Hisob (batafsil)'!$B$5:$B$307,$A14,'Hisob (batafsil)'!$C$5:$C$307,"Kafel")</f>
        <v>0</v>
      </c>
      <c r="T14" s="32" t="n">
        <f aca="false">SUMIFS('Hisob (batafsil)'!$J$5:$J$307,'Hisob (batafsil)'!$B$5:$B$307,$A14,'Hisob (batafsil)'!$C$5:$C$307,"Konditsioner va ventilyatsiya")</f>
        <v>0</v>
      </c>
      <c r="U14" s="32" t="n">
        <f aca="false">SUMIFS('Hisob (batafsil)'!$J$5:$J$307,'Hisob (batafsil)'!$B$5:$B$307,$A14,'Hisob (batafsil)'!$C$5:$C$307,"Mebel va interyer")</f>
        <v>0</v>
      </c>
      <c r="V14" s="32" t="n">
        <f aca="false">SUMIFS('Hisob (batafsil)'!$J$5:$J$307,'Hisob (batafsil)'!$B$5:$B$307,$A14,'Hisob (batafsil)'!$C$5:$C$307,"E'lon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(batafsil)'!$G$5:$G$307,'Hisob (batafsil)'!$B$5:$B$307,$A15,'Hisob (batafsil)'!$C$5:$C$307,"Shisha devor")</f>
        <v>14</v>
      </c>
      <c r="C15" s="32" t="n">
        <f aca="false">SUMIFS('Hisob (batafsil)'!$J$5:$J$307,'Hisob (batafsil)'!$B$5:$B$307,$A15,'Hisob (batafsil)'!$C$5:$C$307,"Shisha devor")</f>
        <v>770</v>
      </c>
      <c r="D15" s="31" t="n">
        <f aca="false">SUMIFS('Hisob (batafsil)'!$G$5:$G$307,'Hisob (batafsil)'!$B$5:$B$307,$A15,'Hisob (batafsil)'!$C$5:$C$307,"Gips karton (GKL)")</f>
        <v>25.55</v>
      </c>
      <c r="E15" s="32" t="n">
        <f aca="false">SUMIFS('Hisob (batafsil)'!$J$5:$J$307,'Hisob (batafsil)'!$B$5:$B$307,$A15,'Hisob (batafsil)'!$C$5:$C$307,"Gips karton (GKL)")</f>
        <v>306.6</v>
      </c>
      <c r="F15" s="31" t="n">
        <f aca="false">SUMIFS('Hisob (batafsil)'!$G$5:$G$307,'Hisob (batafsil)'!$B$5:$B$307,$A15,'Hisob (batafsil)'!$C$5:$C$307,"Bambuk panel")</f>
        <v>53.9</v>
      </c>
      <c r="G15" s="32" t="n">
        <f aca="false">SUMIFS('Hisob (batafsil)'!$J$5:$J$307,'Hisob (batafsil)'!$B$5:$B$307,$A15,'Hisob (batafsil)'!$C$5:$C$307,"Bambuk panel")</f>
        <v>835.45</v>
      </c>
      <c r="H15" s="33" t="n">
        <f aca="false">SUMIFS('Hisob (batafsil)'!$G$5:$G$307,'Hisob (batafsil)'!$B$5:$B$307,$A15,'Hisob (batafsil)'!$C$5:$C$307,"Interaktiv doska")</f>
        <v>1</v>
      </c>
      <c r="I15" s="32" t="n">
        <f aca="false">SUMIFS('Hisob (batafsil)'!$J$5:$J$307,'Hisob (batafsil)'!$B$5:$B$307,$A15,'Hisob (batafsil)'!$C$5:$C$307,"Interaktiv doska")</f>
        <v>1032</v>
      </c>
      <c r="J15" s="31" t="n">
        <f aca="false">SUMIFS('Hisob (batafsil)'!$G$5:$G$307,'Hisob (batafsil)'!$B$5:$B$307,$A15,'Hisob (batafsil)'!$C$5:$C$307,"Perila")</f>
        <v>0</v>
      </c>
      <c r="K15" s="32" t="n">
        <f aca="false">SUMIFS('Hisob (batafsil)'!$J$5:$J$307,'Hisob (batafsil)'!$B$5:$B$307,$A15,'Hisob (batafsil)'!$C$5:$C$307,"Perila")</f>
        <v>0</v>
      </c>
      <c r="L15" s="32" t="n">
        <f aca="false">SUMIFS('Hisob (batafsil)'!$J$5:$J$307,'Hisob (batafsil)'!$B$5:$B$307,$A15,'Hisob (batafsil)'!$C$5:$C$307,"Yoritish")</f>
        <v>168</v>
      </c>
      <c r="M15" s="32" t="n">
        <f aca="false">SUMIFS('Hisob (batafsil)'!$J$5:$J$307,'Hisob (batafsil)'!$B$5:$B$307,$A15,'Hisob (batafsil)'!$C$5:$C$307,"Kamera tizimi")</f>
        <v>0</v>
      </c>
      <c r="N15" s="32" t="n">
        <f aca="false">SUMIFS('Hisob (batafsil)'!$J$5:$J$307,'Hisob (batafsil)'!$B$5:$B$307,$A15,'Hisob (batafsil)'!$C$5:$C$307,"Logotip")</f>
        <v>0</v>
      </c>
      <c r="O15" s="32" t="n">
        <f aca="false">SUMIFS('Hisob (batafsil)'!$J$5:$J$307,'Hisob (batafsil)'!$B$5:$B$307,$A15,'Hisob (batafsil)'!$C$5:$C$307,"Matli plyonka")</f>
        <v>0</v>
      </c>
      <c r="P15" s="32" t="n">
        <f aca="false">SUMIFS('Hisob (batafsil)'!$J$5:$J$307,'Hisob (batafsil)'!$B$5:$B$307,$A15,'Hisob (batafsil)'!$C$5:$C$307,"Yong'in xavfsizligi")</f>
        <v>0</v>
      </c>
      <c r="Q15" s="32" t="n">
        <f aca="false">SUMIFS('Hisob (batafsil)'!$J$5:$J$307,'Hisob (batafsil)'!$B$5:$B$307,$A15,'Hisob (batafsil)'!$C$5:$C$307,"Buzish ishlari")</f>
        <v>0</v>
      </c>
      <c r="R15" s="32" t="n">
        <f aca="false">SUMIFS('Hisob (batafsil)'!$J$5:$J$307,'Hisob (batafsil)'!$B$5:$B$307,$A15,'Hisob (batafsil)'!$C$5:$C$307,"Santexnika")</f>
        <v>0</v>
      </c>
      <c r="S15" s="32" t="n">
        <f aca="false">SUMIFS('Hisob (batafsil)'!$J$5:$J$307,'Hisob (batafsil)'!$B$5:$B$307,$A15,'Hisob (batafsil)'!$C$5:$C$307,"Kafel")</f>
        <v>0</v>
      </c>
      <c r="T15" s="32" t="n">
        <f aca="false">SUMIFS('Hisob (batafsil)'!$J$5:$J$307,'Hisob (batafsil)'!$B$5:$B$307,$A15,'Hisob (batafsil)'!$C$5:$C$307,"Konditsioner va ventilyatsiya")</f>
        <v>0</v>
      </c>
      <c r="U15" s="32" t="n">
        <f aca="false">SUMIFS('Hisob (batafsil)'!$J$5:$J$307,'Hisob (batafsil)'!$B$5:$B$307,$A15,'Hisob (batafsil)'!$C$5:$C$307,"Mebel va interyer")</f>
        <v>0</v>
      </c>
      <c r="V15" s="32" t="n">
        <f aca="false">SUMIFS('Hisob (batafsil)'!$J$5:$J$307,'Hisob (batafsil)'!$B$5:$B$307,$A15,'Hisob (batafsil)'!$C$5:$C$307,"E'lon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(batafsil)'!$G$5:$G$307,'Hisob (batafsil)'!$B$5:$B$307,$A16,'Hisob (batafsil)'!$C$5:$C$307,"Shisha devor")</f>
        <v>14</v>
      </c>
      <c r="C16" s="32" t="n">
        <f aca="false">SUMIFS('Hisob (batafsil)'!$J$5:$J$307,'Hisob (batafsil)'!$B$5:$B$307,$A16,'Hisob (batafsil)'!$C$5:$C$307,"Shisha devor")</f>
        <v>770</v>
      </c>
      <c r="D16" s="31" t="n">
        <f aca="false">SUMIFS('Hisob (batafsil)'!$G$5:$G$307,'Hisob (batafsil)'!$B$5:$B$307,$A16,'Hisob (batafsil)'!$C$5:$C$307,"Gips karton (GKL)")</f>
        <v>30.45</v>
      </c>
      <c r="E16" s="32" t="n">
        <f aca="false">SUMIFS('Hisob (batafsil)'!$J$5:$J$307,'Hisob (batafsil)'!$B$5:$B$307,$A16,'Hisob (batafsil)'!$C$5:$C$307,"Gips karton (GKL)")</f>
        <v>365.4</v>
      </c>
      <c r="F16" s="31" t="n">
        <f aca="false">SUMIFS('Hisob (batafsil)'!$G$5:$G$307,'Hisob (batafsil)'!$B$5:$B$307,$A16,'Hisob (batafsil)'!$C$5:$C$307,"Bambuk panel")</f>
        <v>53.9</v>
      </c>
      <c r="G16" s="32" t="n">
        <f aca="false">SUMIFS('Hisob (batafsil)'!$J$5:$J$307,'Hisob (batafsil)'!$B$5:$B$307,$A16,'Hisob (batafsil)'!$C$5:$C$307,"Bambuk panel")</f>
        <v>835.45</v>
      </c>
      <c r="H16" s="33" t="n">
        <f aca="false">SUMIFS('Hisob (batafsil)'!$G$5:$G$307,'Hisob (batafsil)'!$B$5:$B$307,$A16,'Hisob (batafsil)'!$C$5:$C$307,"Interaktiv doska")</f>
        <v>1</v>
      </c>
      <c r="I16" s="32" t="n">
        <f aca="false">SUMIFS('Hisob (batafsil)'!$J$5:$J$307,'Hisob (batafsil)'!$B$5:$B$307,$A16,'Hisob (batafsil)'!$C$5:$C$307,"Interaktiv doska")</f>
        <v>1032</v>
      </c>
      <c r="J16" s="31" t="n">
        <f aca="false">SUMIFS('Hisob (batafsil)'!$G$5:$G$307,'Hisob (batafsil)'!$B$5:$B$307,$A16,'Hisob (batafsil)'!$C$5:$C$307,"Perila")</f>
        <v>0</v>
      </c>
      <c r="K16" s="32" t="n">
        <f aca="false">SUMIFS('Hisob (batafsil)'!$J$5:$J$307,'Hisob (batafsil)'!$B$5:$B$307,$A16,'Hisob (batafsil)'!$C$5:$C$307,"Perila")</f>
        <v>0</v>
      </c>
      <c r="L16" s="32" t="n">
        <f aca="false">SUMIFS('Hisob (batafsil)'!$J$5:$J$307,'Hisob (batafsil)'!$B$5:$B$307,$A16,'Hisob (batafsil)'!$C$5:$C$307,"Yoritish")</f>
        <v>168</v>
      </c>
      <c r="M16" s="32" t="n">
        <f aca="false">SUMIFS('Hisob (batafsil)'!$J$5:$J$307,'Hisob (batafsil)'!$B$5:$B$307,$A16,'Hisob (batafsil)'!$C$5:$C$307,"Kamera tizimi")</f>
        <v>0</v>
      </c>
      <c r="N16" s="32" t="n">
        <f aca="false">SUMIFS('Hisob (batafsil)'!$J$5:$J$307,'Hisob (batafsil)'!$B$5:$B$307,$A16,'Hisob (batafsil)'!$C$5:$C$307,"Logotip")</f>
        <v>0</v>
      </c>
      <c r="O16" s="32" t="n">
        <f aca="false">SUMIFS('Hisob (batafsil)'!$J$5:$J$307,'Hisob (batafsil)'!$B$5:$B$307,$A16,'Hisob (batafsil)'!$C$5:$C$307,"Matli plyonka")</f>
        <v>0</v>
      </c>
      <c r="P16" s="32" t="n">
        <f aca="false">SUMIFS('Hisob (batafsil)'!$J$5:$J$307,'Hisob (batafsil)'!$B$5:$B$307,$A16,'Hisob (batafsil)'!$C$5:$C$307,"Yong'in xavfsizligi")</f>
        <v>0</v>
      </c>
      <c r="Q16" s="32" t="n">
        <f aca="false">SUMIFS('Hisob (batafsil)'!$J$5:$J$307,'Hisob (batafsil)'!$B$5:$B$307,$A16,'Hisob (batafsil)'!$C$5:$C$307,"Buzish ishlari")</f>
        <v>0</v>
      </c>
      <c r="R16" s="32" t="n">
        <f aca="false">SUMIFS('Hisob (batafsil)'!$J$5:$J$307,'Hisob (batafsil)'!$B$5:$B$307,$A16,'Hisob (batafsil)'!$C$5:$C$307,"Santexnika")</f>
        <v>0</v>
      </c>
      <c r="S16" s="32" t="n">
        <f aca="false">SUMIFS('Hisob (batafsil)'!$J$5:$J$307,'Hisob (batafsil)'!$B$5:$B$307,$A16,'Hisob (batafsil)'!$C$5:$C$307,"Kafel")</f>
        <v>0</v>
      </c>
      <c r="T16" s="32" t="n">
        <f aca="false">SUMIFS('Hisob (batafsil)'!$J$5:$J$307,'Hisob (batafsil)'!$B$5:$B$307,$A16,'Hisob (batafsil)'!$C$5:$C$307,"Konditsioner va ventilyatsiya")</f>
        <v>0</v>
      </c>
      <c r="U16" s="32" t="n">
        <f aca="false">SUMIFS('Hisob (batafsil)'!$J$5:$J$307,'Hisob (batafsil)'!$B$5:$B$307,$A16,'Hisob (batafsil)'!$C$5:$C$307,"Mebel va interyer")</f>
        <v>0</v>
      </c>
      <c r="V16" s="32" t="n">
        <f aca="false">SUMIFS('Hisob (batafsil)'!$J$5:$J$307,'Hisob (batafsil)'!$B$5:$B$307,$A16,'Hisob (batafsil)'!$C$5:$C$307,"E'lon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19634.5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(batafsil)'!$G$5:$G$307,'Hisob (batafsil)'!$B$5:$B$307,$A20,'Hisob (batafsil)'!$C$5:$C$307,"Shisha devor")</f>
        <v>7</v>
      </c>
      <c r="C20" s="32" t="n">
        <f aca="false">SUMIFS('Hisob (batafsil)'!$J$5:$J$307,'Hisob (batafsil)'!$B$5:$B$307,$A20,'Hisob (batafsil)'!$C$5:$C$307,"Shisha devor")</f>
        <v>385</v>
      </c>
      <c r="D20" s="31" t="n">
        <f aca="false">SUMIFS('Hisob (batafsil)'!$G$5:$G$307,'Hisob (batafsil)'!$B$5:$B$307,$A20,'Hisob (batafsil)'!$C$5:$C$307,"Gips karton (GKL)")</f>
        <v>34.3</v>
      </c>
      <c r="E20" s="32" t="n">
        <f aca="false">SUMIFS('Hisob (batafsil)'!$J$5:$J$307,'Hisob (batafsil)'!$B$5:$B$307,$A20,'Hisob (batafsil)'!$C$5:$C$307,"Gips karton (GKL)")</f>
        <v>411.6</v>
      </c>
      <c r="F20" s="31" t="n">
        <f aca="false">SUMIFS('Hisob (batafsil)'!$G$5:$G$307,'Hisob (batafsil)'!$B$5:$B$307,$A20,'Hisob (batafsil)'!$C$5:$C$307,"Bambuk panel")</f>
        <v>39.2</v>
      </c>
      <c r="G20" s="32" t="n">
        <f aca="false">SUMIFS('Hisob (batafsil)'!$J$5:$J$307,'Hisob (batafsil)'!$B$5:$B$307,$A20,'Hisob (batafsil)'!$C$5:$C$307,"Bambuk panel")</f>
        <v>607.6</v>
      </c>
      <c r="H20" s="33" t="n">
        <f aca="false">SUMIFS('Hisob (batafsil)'!$G$5:$G$307,'Hisob (batafsil)'!$B$5:$B$307,$A20,'Hisob (batafsil)'!$C$5:$C$307,"Interaktiv doska")</f>
        <v>0</v>
      </c>
      <c r="I20" s="32" t="n">
        <f aca="false">SUMIFS('Hisob (batafsil)'!$J$5:$J$307,'Hisob (batafsil)'!$B$5:$B$307,$A20,'Hisob (batafsil)'!$C$5:$C$307,"Interaktiv doska")</f>
        <v>0</v>
      </c>
      <c r="J20" s="31" t="n">
        <f aca="false">SUMIFS('Hisob (batafsil)'!$G$5:$G$307,'Hisob (batafsil)'!$B$5:$B$307,$A20,'Hisob (batafsil)'!$C$5:$C$307,"Perila")</f>
        <v>0</v>
      </c>
      <c r="K20" s="32" t="n">
        <f aca="false">SUMIFS('Hisob (batafsil)'!$J$5:$J$307,'Hisob (batafsil)'!$B$5:$B$307,$A20,'Hisob (batafsil)'!$C$5:$C$307,"Perila")</f>
        <v>0</v>
      </c>
      <c r="L20" s="32" t="n">
        <f aca="false">SUMIFS('Hisob (batafsil)'!$J$5:$J$307,'Hisob (batafsil)'!$B$5:$B$307,$A20,'Hisob (batafsil)'!$C$5:$C$307,"Yoritish")</f>
        <v>168</v>
      </c>
      <c r="M20" s="32" t="n">
        <f aca="false">SUMIFS('Hisob (batafsil)'!$J$5:$J$307,'Hisob (batafsil)'!$B$5:$B$307,$A20,'Hisob (batafsil)'!$C$5:$C$307,"Kamera tizimi")</f>
        <v>0</v>
      </c>
      <c r="N20" s="32" t="n">
        <f aca="false">SUMIFS('Hisob (batafsil)'!$J$5:$J$307,'Hisob (batafsil)'!$B$5:$B$307,$A20,'Hisob (batafsil)'!$C$5:$C$307,"Logotip")</f>
        <v>0</v>
      </c>
      <c r="O20" s="32" t="n">
        <f aca="false">SUMIFS('Hisob (batafsil)'!$J$5:$J$307,'Hisob (batafsil)'!$B$5:$B$307,$A20,'Hisob (batafsil)'!$C$5:$C$307,"Matli plyonka")</f>
        <v>0</v>
      </c>
      <c r="P20" s="32" t="n">
        <f aca="false">SUMIFS('Hisob (batafsil)'!$J$5:$J$307,'Hisob (batafsil)'!$B$5:$B$307,$A20,'Hisob (batafsil)'!$C$5:$C$307,"Yong'in xavfsizligi")</f>
        <v>0</v>
      </c>
      <c r="Q20" s="32" t="n">
        <f aca="false">SUMIFS('Hisob (batafsil)'!$J$5:$J$307,'Hisob (batafsil)'!$B$5:$B$307,$A20,'Hisob (batafsil)'!$C$5:$C$307,"Buzish ishlari")</f>
        <v>0</v>
      </c>
      <c r="R20" s="32" t="n">
        <f aca="false">SUMIFS('Hisob (batafsil)'!$J$5:$J$307,'Hisob (batafsil)'!$B$5:$B$307,$A20,'Hisob (batafsil)'!$C$5:$C$307,"Santexnika")</f>
        <v>0</v>
      </c>
      <c r="S20" s="32" t="n">
        <f aca="false">SUMIFS('Hisob (batafsil)'!$J$5:$J$307,'Hisob (batafsil)'!$B$5:$B$307,$A20,'Hisob (batafsil)'!$C$5:$C$307,"Kafel")</f>
        <v>0</v>
      </c>
      <c r="T20" s="32" t="n">
        <f aca="false">SUMIFS('Hisob (batafsil)'!$J$5:$J$307,'Hisob (batafsil)'!$B$5:$B$307,$A20,'Hisob (batafsil)'!$C$5:$C$307,"Konditsioner va ventilyatsiya")</f>
        <v>0</v>
      </c>
      <c r="U20" s="32" t="n">
        <f aca="false">SUMIFS('Hisob (batafsil)'!$J$5:$J$307,'Hisob (batafsil)'!$B$5:$B$307,$A20,'Hisob (batafsil)'!$C$5:$C$307,"Mebel va interyer")</f>
        <v>2340</v>
      </c>
      <c r="V20" s="32" t="n">
        <f aca="false">SUMIFS('Hisob (batafsil)'!$J$5:$J$307,'Hisob (batafsil)'!$B$5:$B$307,$A20,'Hisob (batafsil)'!$C$5:$C$307,"E'lon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(batafsil)'!$G$5:$G$307,'Hisob (batafsil)'!$B$5:$B$307,$A21,'Hisob (batafsil)'!$C$5:$C$307,"Shisha devor")</f>
        <v>7</v>
      </c>
      <c r="C21" s="32" t="n">
        <f aca="false">SUMIFS('Hisob (batafsil)'!$J$5:$J$307,'Hisob (batafsil)'!$B$5:$B$307,$A21,'Hisob (batafsil)'!$C$5:$C$307,"Shisha devor")</f>
        <v>385</v>
      </c>
      <c r="D21" s="31" t="n">
        <f aca="false">SUMIFS('Hisob (batafsil)'!$G$5:$G$307,'Hisob (batafsil)'!$B$5:$B$307,$A21,'Hisob (batafsil)'!$C$5:$C$307,"Gips karton (GKL)")</f>
        <v>35.35</v>
      </c>
      <c r="E21" s="32" t="n">
        <f aca="false">SUMIFS('Hisob (batafsil)'!$J$5:$J$307,'Hisob (batafsil)'!$B$5:$B$307,$A21,'Hisob (batafsil)'!$C$5:$C$307,"Gips karton (GKL)")</f>
        <v>424.2</v>
      </c>
      <c r="F21" s="31" t="n">
        <f aca="false">SUMIFS('Hisob (batafsil)'!$G$5:$G$307,'Hisob (batafsil)'!$B$5:$B$307,$A21,'Hisob (batafsil)'!$C$5:$C$307,"Bambuk panel")</f>
        <v>39.2</v>
      </c>
      <c r="G21" s="32" t="n">
        <f aca="false">SUMIFS('Hisob (batafsil)'!$J$5:$J$307,'Hisob (batafsil)'!$B$5:$B$307,$A21,'Hisob (batafsil)'!$C$5:$C$307,"Bambuk panel")</f>
        <v>607.6</v>
      </c>
      <c r="H21" s="33" t="n">
        <f aca="false">SUMIFS('Hisob (batafsil)'!$G$5:$G$307,'Hisob (batafsil)'!$B$5:$B$307,$A21,'Hisob (batafsil)'!$C$5:$C$307,"Interaktiv doska")</f>
        <v>0</v>
      </c>
      <c r="I21" s="32" t="n">
        <f aca="false">SUMIFS('Hisob (batafsil)'!$J$5:$J$307,'Hisob (batafsil)'!$B$5:$B$307,$A21,'Hisob (batafsil)'!$C$5:$C$307,"Interaktiv doska")</f>
        <v>0</v>
      </c>
      <c r="J21" s="31" t="n">
        <f aca="false">SUMIFS('Hisob (batafsil)'!$G$5:$G$307,'Hisob (batafsil)'!$B$5:$B$307,$A21,'Hisob (batafsil)'!$C$5:$C$307,"Perila")</f>
        <v>0</v>
      </c>
      <c r="K21" s="32" t="n">
        <f aca="false">SUMIFS('Hisob (batafsil)'!$J$5:$J$307,'Hisob (batafsil)'!$B$5:$B$307,$A21,'Hisob (batafsil)'!$C$5:$C$307,"Perila")</f>
        <v>0</v>
      </c>
      <c r="L21" s="32" t="n">
        <f aca="false">SUMIFS('Hisob (batafsil)'!$J$5:$J$307,'Hisob (batafsil)'!$B$5:$B$307,$A21,'Hisob (batafsil)'!$C$5:$C$307,"Yoritish")</f>
        <v>168</v>
      </c>
      <c r="M21" s="32" t="n">
        <f aca="false">SUMIFS('Hisob (batafsil)'!$J$5:$J$307,'Hisob (batafsil)'!$B$5:$B$307,$A21,'Hisob (batafsil)'!$C$5:$C$307,"Kamera tizimi")</f>
        <v>0</v>
      </c>
      <c r="N21" s="32" t="n">
        <f aca="false">SUMIFS('Hisob (batafsil)'!$J$5:$J$307,'Hisob (batafsil)'!$B$5:$B$307,$A21,'Hisob (batafsil)'!$C$5:$C$307,"Logotip")</f>
        <v>0</v>
      </c>
      <c r="O21" s="32" t="n">
        <f aca="false">SUMIFS('Hisob (batafsil)'!$J$5:$J$307,'Hisob (batafsil)'!$B$5:$B$307,$A21,'Hisob (batafsil)'!$C$5:$C$307,"Matli plyonka")</f>
        <v>0</v>
      </c>
      <c r="P21" s="32" t="n">
        <f aca="false">SUMIFS('Hisob (batafsil)'!$J$5:$J$307,'Hisob (batafsil)'!$B$5:$B$307,$A21,'Hisob (batafsil)'!$C$5:$C$307,"Yong'in xavfsizligi")</f>
        <v>0</v>
      </c>
      <c r="Q21" s="32" t="n">
        <f aca="false">SUMIFS('Hisob (batafsil)'!$J$5:$J$307,'Hisob (batafsil)'!$B$5:$B$307,$A21,'Hisob (batafsil)'!$C$5:$C$307,"Buzish ishlari")</f>
        <v>0</v>
      </c>
      <c r="R21" s="32" t="n">
        <f aca="false">SUMIFS('Hisob (batafsil)'!$J$5:$J$307,'Hisob (batafsil)'!$B$5:$B$307,$A21,'Hisob (batafsil)'!$C$5:$C$307,"Santexnika")</f>
        <v>0</v>
      </c>
      <c r="S21" s="32" t="n">
        <f aca="false">SUMIFS('Hisob (batafsil)'!$J$5:$J$307,'Hisob (batafsil)'!$B$5:$B$307,$A21,'Hisob (batafsil)'!$C$5:$C$307,"Kafel")</f>
        <v>0</v>
      </c>
      <c r="T21" s="32" t="n">
        <f aca="false">SUMIFS('Hisob (batafsil)'!$J$5:$J$307,'Hisob (batafsil)'!$B$5:$B$307,$A21,'Hisob (batafsil)'!$C$5:$C$307,"Konditsioner va ventilyatsiya")</f>
        <v>0</v>
      </c>
      <c r="U21" s="32" t="n">
        <f aca="false">SUMIFS('Hisob (batafsil)'!$J$5:$J$307,'Hisob (batafsil)'!$B$5:$B$307,$A21,'Hisob (batafsil)'!$C$5:$C$307,"Mebel va interyer")</f>
        <v>1470</v>
      </c>
      <c r="V21" s="32" t="n">
        <f aca="false">SUMIFS('Hisob (batafsil)'!$J$5:$J$307,'Hisob (batafsil)'!$B$5:$B$307,$A21,'Hisob (batafsil)'!$C$5:$C$307,"E'lon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(batafsil)'!$G$5:$G$307,'Hisob (batafsil)'!$B$5:$B$307,$A22,'Hisob (batafsil)'!$C$5:$C$307,"Shisha devor")</f>
        <v>7.125</v>
      </c>
      <c r="C22" s="32" t="n">
        <f aca="false">SUMIFS('Hisob (batafsil)'!$J$5:$J$307,'Hisob (batafsil)'!$B$5:$B$307,$A22,'Hisob (batafsil)'!$C$5:$C$307,"Shisha devor")</f>
        <v>391.875</v>
      </c>
      <c r="D22" s="31" t="n">
        <f aca="false">SUMIFS('Hisob (batafsil)'!$G$5:$G$307,'Hisob (batafsil)'!$B$5:$B$307,$A22,'Hisob (batafsil)'!$C$5:$C$307,"Gips karton (GKL)")</f>
        <v>35.575</v>
      </c>
      <c r="E22" s="32" t="n">
        <f aca="false">SUMIFS('Hisob (batafsil)'!$J$5:$J$307,'Hisob (batafsil)'!$B$5:$B$307,$A22,'Hisob (batafsil)'!$C$5:$C$307,"Gips karton (GKL)")</f>
        <v>426.9</v>
      </c>
      <c r="F22" s="31" t="n">
        <f aca="false">SUMIFS('Hisob (batafsil)'!$G$5:$G$307,'Hisob (batafsil)'!$B$5:$B$307,$A22,'Hisob (batafsil)'!$C$5:$C$307,"Bambuk panel")</f>
        <v>39.2</v>
      </c>
      <c r="G22" s="32" t="n">
        <f aca="false">SUMIFS('Hisob (batafsil)'!$J$5:$J$307,'Hisob (batafsil)'!$B$5:$B$307,$A22,'Hisob (batafsil)'!$C$5:$C$307,"Bambuk panel")</f>
        <v>607.6</v>
      </c>
      <c r="H22" s="33" t="n">
        <f aca="false">SUMIFS('Hisob (batafsil)'!$G$5:$G$307,'Hisob (batafsil)'!$B$5:$B$307,$A22,'Hisob (batafsil)'!$C$5:$C$307,"Interaktiv doska")</f>
        <v>0</v>
      </c>
      <c r="I22" s="32" t="n">
        <f aca="false">SUMIFS('Hisob (batafsil)'!$J$5:$J$307,'Hisob (batafsil)'!$B$5:$B$307,$A22,'Hisob (batafsil)'!$C$5:$C$307,"Interaktiv doska")</f>
        <v>0</v>
      </c>
      <c r="J22" s="31" t="n">
        <f aca="false">SUMIFS('Hisob (batafsil)'!$G$5:$G$307,'Hisob (batafsil)'!$B$5:$B$307,$A22,'Hisob (batafsil)'!$C$5:$C$307,"Perila")</f>
        <v>0</v>
      </c>
      <c r="K22" s="32" t="n">
        <f aca="false">SUMIFS('Hisob (batafsil)'!$J$5:$J$307,'Hisob (batafsil)'!$B$5:$B$307,$A22,'Hisob (batafsil)'!$C$5:$C$307,"Perila")</f>
        <v>0</v>
      </c>
      <c r="L22" s="32" t="n">
        <f aca="false">SUMIFS('Hisob (batafsil)'!$J$5:$J$307,'Hisob (batafsil)'!$B$5:$B$307,$A22,'Hisob (batafsil)'!$C$5:$C$307,"Yoritish")</f>
        <v>168</v>
      </c>
      <c r="M22" s="32" t="n">
        <f aca="false">SUMIFS('Hisob (batafsil)'!$J$5:$J$307,'Hisob (batafsil)'!$B$5:$B$307,$A22,'Hisob (batafsil)'!$C$5:$C$307,"Kamera tizimi")</f>
        <v>0</v>
      </c>
      <c r="N22" s="32" t="n">
        <f aca="false">SUMIFS('Hisob (batafsil)'!$J$5:$J$307,'Hisob (batafsil)'!$B$5:$B$307,$A22,'Hisob (batafsil)'!$C$5:$C$307,"Logotip")</f>
        <v>0</v>
      </c>
      <c r="O22" s="32" t="n">
        <f aca="false">SUMIFS('Hisob (batafsil)'!$J$5:$J$307,'Hisob (batafsil)'!$B$5:$B$307,$A22,'Hisob (batafsil)'!$C$5:$C$307,"Matli plyonka")</f>
        <v>0</v>
      </c>
      <c r="P22" s="32" t="n">
        <f aca="false">SUMIFS('Hisob (batafsil)'!$J$5:$J$307,'Hisob (batafsil)'!$B$5:$B$307,$A22,'Hisob (batafsil)'!$C$5:$C$307,"Yong'in xavfsizligi")</f>
        <v>0</v>
      </c>
      <c r="Q22" s="32" t="n">
        <f aca="false">SUMIFS('Hisob (batafsil)'!$J$5:$J$307,'Hisob (batafsil)'!$B$5:$B$307,$A22,'Hisob (batafsil)'!$C$5:$C$307,"Buzish ishlari")</f>
        <v>0</v>
      </c>
      <c r="R22" s="32" t="n">
        <f aca="false">SUMIFS('Hisob (batafsil)'!$J$5:$J$307,'Hisob (batafsil)'!$B$5:$B$307,$A22,'Hisob (batafsil)'!$C$5:$C$307,"Santexnika")</f>
        <v>0</v>
      </c>
      <c r="S22" s="32" t="n">
        <f aca="false">SUMIFS('Hisob (batafsil)'!$J$5:$J$307,'Hisob (batafsil)'!$B$5:$B$307,$A22,'Hisob (batafsil)'!$C$5:$C$307,"Kafel")</f>
        <v>0</v>
      </c>
      <c r="T22" s="32" t="n">
        <f aca="false">SUMIFS('Hisob (batafsil)'!$J$5:$J$307,'Hisob (batafsil)'!$B$5:$B$307,$A22,'Hisob (batafsil)'!$C$5:$C$307,"Konditsioner va ventilyatsiya")</f>
        <v>0</v>
      </c>
      <c r="U22" s="32" t="n">
        <f aca="false">SUMIFS('Hisob (batafsil)'!$J$5:$J$307,'Hisob (batafsil)'!$B$5:$B$307,$A22,'Hisob (batafsil)'!$C$5:$C$307,"Mebel va interyer")</f>
        <v>0</v>
      </c>
      <c r="V22" s="32" t="n">
        <f aca="false">SUMIFS('Hisob (batafsil)'!$J$5:$J$307,'Hisob (batafsil)'!$B$5:$B$307,$A22,'Hisob (batafsil)'!$C$5:$C$307,"E'lon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(batafsil)'!$G$5:$G$307,'Hisob (batafsil)'!$B$5:$B$307,$A23,'Hisob (batafsil)'!$C$5:$C$307,"Shisha devor")</f>
        <v>7.125</v>
      </c>
      <c r="C23" s="32" t="n">
        <f aca="false">SUMIFS('Hisob (batafsil)'!$J$5:$J$307,'Hisob (batafsil)'!$B$5:$B$307,$A23,'Hisob (batafsil)'!$C$5:$C$307,"Shisha devor")</f>
        <v>391.875</v>
      </c>
      <c r="D23" s="31" t="n">
        <f aca="false">SUMIFS('Hisob (batafsil)'!$G$5:$G$307,'Hisob (batafsil)'!$B$5:$B$307,$A23,'Hisob (batafsil)'!$C$5:$C$307,"Gips karton (GKL)")</f>
        <v>35.925</v>
      </c>
      <c r="E23" s="32" t="n">
        <f aca="false">SUMIFS('Hisob (batafsil)'!$J$5:$J$307,'Hisob (batafsil)'!$B$5:$B$307,$A23,'Hisob (batafsil)'!$C$5:$C$307,"Gips karton (GKL)")</f>
        <v>431.1</v>
      </c>
      <c r="F23" s="31" t="n">
        <f aca="false">SUMIFS('Hisob (batafsil)'!$G$5:$G$307,'Hisob (batafsil)'!$B$5:$B$307,$A23,'Hisob (batafsil)'!$C$5:$C$307,"Bambuk panel")</f>
        <v>39.2</v>
      </c>
      <c r="G23" s="32" t="n">
        <f aca="false">SUMIFS('Hisob (batafsil)'!$J$5:$J$307,'Hisob (batafsil)'!$B$5:$B$307,$A23,'Hisob (batafsil)'!$C$5:$C$307,"Bambuk panel")</f>
        <v>607.6</v>
      </c>
      <c r="H23" s="33" t="n">
        <f aca="false">SUMIFS('Hisob (batafsil)'!$G$5:$G$307,'Hisob (batafsil)'!$B$5:$B$307,$A23,'Hisob (batafsil)'!$C$5:$C$307,"Interaktiv doska")</f>
        <v>0</v>
      </c>
      <c r="I23" s="32" t="n">
        <f aca="false">SUMIFS('Hisob (batafsil)'!$J$5:$J$307,'Hisob (batafsil)'!$B$5:$B$307,$A23,'Hisob (batafsil)'!$C$5:$C$307,"Interaktiv doska")</f>
        <v>0</v>
      </c>
      <c r="J23" s="31" t="n">
        <f aca="false">SUMIFS('Hisob (batafsil)'!$G$5:$G$307,'Hisob (batafsil)'!$B$5:$B$307,$A23,'Hisob (batafsil)'!$C$5:$C$307,"Perila")</f>
        <v>0</v>
      </c>
      <c r="K23" s="32" t="n">
        <f aca="false">SUMIFS('Hisob (batafsil)'!$J$5:$J$307,'Hisob (batafsil)'!$B$5:$B$307,$A23,'Hisob (batafsil)'!$C$5:$C$307,"Perila")</f>
        <v>0</v>
      </c>
      <c r="L23" s="32" t="n">
        <f aca="false">SUMIFS('Hisob (batafsil)'!$J$5:$J$307,'Hisob (batafsil)'!$B$5:$B$307,$A23,'Hisob (batafsil)'!$C$5:$C$307,"Yoritish")</f>
        <v>168</v>
      </c>
      <c r="M23" s="32" t="n">
        <f aca="false">SUMIFS('Hisob (batafsil)'!$J$5:$J$307,'Hisob (batafsil)'!$B$5:$B$307,$A23,'Hisob (batafsil)'!$C$5:$C$307,"Kamera tizimi")</f>
        <v>0</v>
      </c>
      <c r="N23" s="32" t="n">
        <f aca="false">SUMIFS('Hisob (batafsil)'!$J$5:$J$307,'Hisob (batafsil)'!$B$5:$B$307,$A23,'Hisob (batafsil)'!$C$5:$C$307,"Logotip")</f>
        <v>0</v>
      </c>
      <c r="O23" s="32" t="n">
        <f aca="false">SUMIFS('Hisob (batafsil)'!$J$5:$J$307,'Hisob (batafsil)'!$B$5:$B$307,$A23,'Hisob (batafsil)'!$C$5:$C$307,"Matli plyonka")</f>
        <v>0</v>
      </c>
      <c r="P23" s="32" t="n">
        <f aca="false">SUMIFS('Hisob (batafsil)'!$J$5:$J$307,'Hisob (batafsil)'!$B$5:$B$307,$A23,'Hisob (batafsil)'!$C$5:$C$307,"Yong'in xavfsizligi")</f>
        <v>0</v>
      </c>
      <c r="Q23" s="32" t="n">
        <f aca="false">SUMIFS('Hisob (batafsil)'!$J$5:$J$307,'Hisob (batafsil)'!$B$5:$B$307,$A23,'Hisob (batafsil)'!$C$5:$C$307,"Buzish ishlari")</f>
        <v>0</v>
      </c>
      <c r="R23" s="32" t="n">
        <f aca="false">SUMIFS('Hisob (batafsil)'!$J$5:$J$307,'Hisob (batafsil)'!$B$5:$B$307,$A23,'Hisob (batafsil)'!$C$5:$C$307,"Santexnika")</f>
        <v>0</v>
      </c>
      <c r="S23" s="32" t="n">
        <f aca="false">SUMIFS('Hisob (batafsil)'!$J$5:$J$307,'Hisob (batafsil)'!$B$5:$B$307,$A23,'Hisob (batafsil)'!$C$5:$C$307,"Kafel")</f>
        <v>0</v>
      </c>
      <c r="T23" s="32" t="n">
        <f aca="false">SUMIFS('Hisob (batafsil)'!$J$5:$J$307,'Hisob (batafsil)'!$B$5:$B$307,$A23,'Hisob (batafsil)'!$C$5:$C$307,"Konditsioner va ventilyatsiya")</f>
        <v>0</v>
      </c>
      <c r="U23" s="32" t="n">
        <f aca="false">SUMIFS('Hisob (batafsil)'!$J$5:$J$307,'Hisob (batafsil)'!$B$5:$B$307,$A23,'Hisob (batafsil)'!$C$5:$C$307,"Mebel va interyer")</f>
        <v>0</v>
      </c>
      <c r="V23" s="32" t="n">
        <f aca="false">SUMIFS('Hisob (batafsil)'!$J$5:$J$307,'Hisob (batafsil)'!$B$5:$B$307,$A23,'Hisob (batafsil)'!$C$5:$C$307,"E'lon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(batafsil)'!$G$5:$G$307,'Hisob (batafsil)'!$B$5:$B$307,$A24,'Hisob (batafsil)'!$C$5:$C$307,"Shisha devor")</f>
        <v>0</v>
      </c>
      <c r="C24" s="32" t="n">
        <f aca="false">SUMIFS('Hisob (batafsil)'!$J$5:$J$307,'Hisob (batafsil)'!$B$5:$B$307,$A24,'Hisob (batafsil)'!$C$5:$C$307,"Shisha devor")</f>
        <v>0</v>
      </c>
      <c r="D24" s="31" t="n">
        <f aca="false">SUMIFS('Hisob (batafsil)'!$G$5:$G$307,'Hisob (batafsil)'!$B$5:$B$307,$A24,'Hisob (batafsil)'!$C$5:$C$307,"Gips karton (GKL)")</f>
        <v>0</v>
      </c>
      <c r="E24" s="32" t="n">
        <f aca="false">SUMIFS('Hisob (batafsil)'!$J$5:$J$307,'Hisob (batafsil)'!$B$5:$B$307,$A24,'Hisob (batafsil)'!$C$5:$C$307,"Gips karton (GKL)")</f>
        <v>0</v>
      </c>
      <c r="F24" s="31" t="n">
        <f aca="false">SUMIFS('Hisob (batafsil)'!$G$5:$G$307,'Hisob (batafsil)'!$B$5:$B$307,$A24,'Hisob (batafsil)'!$C$5:$C$307,"Bambuk panel")</f>
        <v>29.26</v>
      </c>
      <c r="G24" s="32" t="n">
        <f aca="false">SUMIFS('Hisob (batafsil)'!$J$5:$J$307,'Hisob (batafsil)'!$B$5:$B$307,$A24,'Hisob (batafsil)'!$C$5:$C$307,"Bambuk panel")</f>
        <v>453.53</v>
      </c>
      <c r="H24" s="33" t="n">
        <f aca="false">SUMIFS('Hisob (batafsil)'!$G$5:$G$307,'Hisob (batafsil)'!$B$5:$B$307,$A24,'Hisob (batafsil)'!$C$5:$C$307,"Interaktiv doska")</f>
        <v>0</v>
      </c>
      <c r="I24" s="32" t="n">
        <f aca="false">SUMIFS('Hisob (batafsil)'!$J$5:$J$307,'Hisob (batafsil)'!$B$5:$B$307,$A24,'Hisob (batafsil)'!$C$5:$C$307,"Interaktiv doska")</f>
        <v>0</v>
      </c>
      <c r="J24" s="31" t="n">
        <f aca="false">SUMIFS('Hisob (batafsil)'!$G$5:$G$307,'Hisob (batafsil)'!$B$5:$B$307,$A24,'Hisob (batafsil)'!$C$5:$C$307,"Perila")</f>
        <v>0</v>
      </c>
      <c r="K24" s="32" t="n">
        <f aca="false">SUMIFS('Hisob (batafsil)'!$J$5:$J$307,'Hisob (batafsil)'!$B$5:$B$307,$A24,'Hisob (batafsil)'!$C$5:$C$307,"Perila")</f>
        <v>0</v>
      </c>
      <c r="L24" s="32" t="n">
        <f aca="false">SUMIFS('Hisob (batafsil)'!$J$5:$J$307,'Hisob (batafsil)'!$B$5:$B$307,$A24,'Hisob (batafsil)'!$C$5:$C$307,"Yoritish")</f>
        <v>168</v>
      </c>
      <c r="M24" s="32" t="n">
        <f aca="false">SUMIFS('Hisob (batafsil)'!$J$5:$J$307,'Hisob (batafsil)'!$B$5:$B$307,$A24,'Hisob (batafsil)'!$C$5:$C$307,"Kamera tizimi")</f>
        <v>0</v>
      </c>
      <c r="N24" s="32" t="n">
        <f aca="false">SUMIFS('Hisob (batafsil)'!$J$5:$J$307,'Hisob (batafsil)'!$B$5:$B$307,$A24,'Hisob (batafsil)'!$C$5:$C$307,"Logotip")</f>
        <v>0</v>
      </c>
      <c r="O24" s="32" t="n">
        <f aca="false">SUMIFS('Hisob (batafsil)'!$J$5:$J$307,'Hisob (batafsil)'!$B$5:$B$307,$A24,'Hisob (batafsil)'!$C$5:$C$307,"Matli plyonka")</f>
        <v>0</v>
      </c>
      <c r="P24" s="32" t="n">
        <f aca="false">SUMIFS('Hisob (batafsil)'!$J$5:$J$307,'Hisob (batafsil)'!$B$5:$B$307,$A24,'Hisob (batafsil)'!$C$5:$C$307,"Yong'in xavfsizligi")</f>
        <v>0</v>
      </c>
      <c r="Q24" s="32" t="n">
        <f aca="false">SUMIFS('Hisob (batafsil)'!$J$5:$J$307,'Hisob (batafsil)'!$B$5:$B$307,$A24,'Hisob (batafsil)'!$C$5:$C$307,"Buzish ishlari")</f>
        <v>0</v>
      </c>
      <c r="R24" s="32" t="n">
        <f aca="false">SUMIFS('Hisob (batafsil)'!$J$5:$J$307,'Hisob (batafsil)'!$B$5:$B$307,$A24,'Hisob (batafsil)'!$C$5:$C$307,"Santexnika")</f>
        <v>0</v>
      </c>
      <c r="S24" s="32" t="n">
        <f aca="false">SUMIFS('Hisob (batafsil)'!$J$5:$J$307,'Hisob (batafsil)'!$B$5:$B$307,$A24,'Hisob (batafsil)'!$C$5:$C$307,"Kafel")</f>
        <v>0</v>
      </c>
      <c r="T24" s="32" t="n">
        <f aca="false">SUMIFS('Hisob (batafsil)'!$J$5:$J$307,'Hisob (batafsil)'!$B$5:$B$307,$A24,'Hisob (batafsil)'!$C$5:$C$307,"Konditsioner va ventilyatsiya")</f>
        <v>0</v>
      </c>
      <c r="U24" s="32" t="n">
        <f aca="false">SUMIFS('Hisob (batafsil)'!$J$5:$J$307,'Hisob (batafsil)'!$B$5:$B$307,$A24,'Hisob (batafsil)'!$C$5:$C$307,"Mebel va interyer")</f>
        <v>0</v>
      </c>
      <c r="V24" s="32" t="n">
        <f aca="false">SUMIFS('Hisob (batafsil)'!$J$5:$J$307,'Hisob (batafsil)'!$B$5:$B$307,$A24,'Hisob (batafsil)'!$C$5:$C$307,"E'lon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(batafsil)'!$G$5:$G$307,'Hisob (batafsil)'!$B$5:$B$307,$A28,'Hisob (batafsil)'!$C$5:$C$307,"Shisha devor")</f>
        <v>0</v>
      </c>
      <c r="C28" s="32" t="n">
        <f aca="false">SUMIFS('Hisob (batafsil)'!$J$5:$J$307,'Hisob (batafsil)'!$B$5:$B$307,$A28,'Hisob (batafsil)'!$C$5:$C$307,"Shisha devor")</f>
        <v>0</v>
      </c>
      <c r="D28" s="31" t="n">
        <f aca="false">SUMIFS('Hisob (batafsil)'!$G$5:$G$307,'Hisob (batafsil)'!$B$5:$B$307,$A28,'Hisob (batafsil)'!$C$5:$C$307,"Gips karton (GKL)")</f>
        <v>52</v>
      </c>
      <c r="E28" s="32" t="n">
        <f aca="false">SUMIFS('Hisob (batafsil)'!$J$5:$J$307,'Hisob (batafsil)'!$B$5:$B$307,$A28,'Hisob (batafsil)'!$C$5:$C$307,"Gips karton (GKL)")</f>
        <v>624</v>
      </c>
      <c r="F28" s="31" t="n">
        <f aca="false">SUMIFS('Hisob (batafsil)'!$G$5:$G$307,'Hisob (batafsil)'!$B$5:$B$307,$A28,'Hisob (batafsil)'!$C$5:$C$307,"Bambuk panel")</f>
        <v>0</v>
      </c>
      <c r="G28" s="32" t="n">
        <f aca="false">SUMIFS('Hisob (batafsil)'!$J$5:$J$307,'Hisob (batafsil)'!$B$5:$B$307,$A28,'Hisob (batafsil)'!$C$5:$C$307,"Bambuk panel")</f>
        <v>0</v>
      </c>
      <c r="H28" s="33" t="n">
        <f aca="false">SUMIFS('Hisob (batafsil)'!$G$5:$G$307,'Hisob (batafsil)'!$B$5:$B$307,$A28,'Hisob (batafsil)'!$C$5:$C$307,"Interaktiv doska")</f>
        <v>0</v>
      </c>
      <c r="I28" s="32" t="n">
        <f aca="false">SUMIFS('Hisob (batafsil)'!$J$5:$J$307,'Hisob (batafsil)'!$B$5:$B$307,$A28,'Hisob (batafsil)'!$C$5:$C$307,"Interaktiv doska")</f>
        <v>0</v>
      </c>
      <c r="J28" s="31" t="n">
        <f aca="false">SUMIFS('Hisob (batafsil)'!$G$5:$G$307,'Hisob (batafsil)'!$B$5:$B$307,$A28,'Hisob (batafsil)'!$C$5:$C$307,"Perila")</f>
        <v>0</v>
      </c>
      <c r="K28" s="32" t="n">
        <f aca="false">SUMIFS('Hisob (batafsil)'!$J$5:$J$307,'Hisob (batafsil)'!$B$5:$B$307,$A28,'Hisob (batafsil)'!$C$5:$C$307,"Perila")</f>
        <v>0</v>
      </c>
      <c r="L28" s="32" t="n">
        <f aca="false">SUMIFS('Hisob (batafsil)'!$J$5:$J$307,'Hisob (batafsil)'!$B$5:$B$307,$A28,'Hisob (batafsil)'!$C$5:$C$307,"Yoritish")</f>
        <v>336</v>
      </c>
      <c r="M28" s="32" t="n">
        <f aca="false">SUMIFS('Hisob (batafsil)'!$J$5:$J$307,'Hisob (batafsil)'!$B$5:$B$307,$A28,'Hisob (batafsil)'!$C$5:$C$307,"Kamera tizimi")</f>
        <v>0</v>
      </c>
      <c r="N28" s="32" t="n">
        <f aca="false">SUMIFS('Hisob (batafsil)'!$J$5:$J$307,'Hisob (batafsil)'!$B$5:$B$307,$A28,'Hisob (batafsil)'!$C$5:$C$307,"Logotip")</f>
        <v>0</v>
      </c>
      <c r="O28" s="32" t="n">
        <f aca="false">SUMIFS('Hisob (batafsil)'!$J$5:$J$307,'Hisob (batafsil)'!$B$5:$B$307,$A28,'Hisob (batafsil)'!$C$5:$C$307,"Matli plyonka")</f>
        <v>0</v>
      </c>
      <c r="P28" s="32" t="n">
        <f aca="false">SUMIFS('Hisob (batafsil)'!$J$5:$J$307,'Hisob (batafsil)'!$B$5:$B$307,$A28,'Hisob (batafsil)'!$C$5:$C$307,"Yong'in xavfsizligi")</f>
        <v>0</v>
      </c>
      <c r="Q28" s="32" t="n">
        <f aca="false">SUMIFS('Hisob (batafsil)'!$J$5:$J$307,'Hisob (batafsil)'!$B$5:$B$307,$A28,'Hisob (batafsil)'!$C$5:$C$307,"Buzish ishlari")</f>
        <v>0</v>
      </c>
      <c r="R28" s="32" t="n">
        <f aca="false">SUMIFS('Hisob (batafsil)'!$J$5:$J$307,'Hisob (batafsil)'!$B$5:$B$307,$A28,'Hisob (batafsil)'!$C$5:$C$307,"Santexnika")</f>
        <v>0</v>
      </c>
      <c r="S28" s="32" t="n">
        <f aca="false">SUMIFS('Hisob (batafsil)'!$J$5:$J$307,'Hisob (batafsil)'!$B$5:$B$307,$A28,'Hisob (batafsil)'!$C$5:$C$307,"Kafel")</f>
        <v>0</v>
      </c>
      <c r="T28" s="32" t="n">
        <f aca="false">SUMIFS('Hisob (batafsil)'!$J$5:$J$307,'Hisob (batafsil)'!$B$5:$B$307,$A28,'Hisob (batafsil)'!$C$5:$C$307,"Konditsioner va ventilyatsiya")</f>
        <v>0</v>
      </c>
      <c r="U28" s="32" t="n">
        <f aca="false">SUMIFS('Hisob (batafsil)'!$J$5:$J$307,'Hisob (batafsil)'!$B$5:$B$307,$A28,'Hisob (batafsil)'!$C$5:$C$307,"Mebel va interyer")</f>
        <v>0</v>
      </c>
      <c r="V28" s="32" t="n">
        <f aca="false">SUMIFS('Hisob (batafsil)'!$J$5:$J$307,'Hisob (batafsil)'!$B$5:$B$307,$A28,'Hisob (batafsil)'!$C$5:$C$307,"E'lon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(batafsil)'!$G$5:$G$307,'Hisob (batafsil)'!$B$5:$B$307,$A29,'Hisob (batafsil)'!$C$5:$C$307,"Shisha devor")</f>
        <v>0</v>
      </c>
      <c r="C29" s="32" t="n">
        <f aca="false">SUMIFS('Hisob (batafsil)'!$J$5:$J$307,'Hisob (batafsil)'!$B$5:$B$307,$A29,'Hisob (batafsil)'!$C$5:$C$307,"Shisha devor")</f>
        <v>0</v>
      </c>
      <c r="D29" s="31" t="n">
        <f aca="false">SUMIFS('Hisob (batafsil)'!$G$5:$G$307,'Hisob (batafsil)'!$B$5:$B$307,$A29,'Hisob (batafsil)'!$C$5:$C$307,"Gips karton (GKL)")</f>
        <v>50.1</v>
      </c>
      <c r="E29" s="32" t="n">
        <f aca="false">SUMIFS('Hisob (batafsil)'!$J$5:$J$307,'Hisob (batafsil)'!$B$5:$B$307,$A29,'Hisob (batafsil)'!$C$5:$C$307,"Gips karton (GKL)")</f>
        <v>601.2</v>
      </c>
      <c r="F29" s="31" t="n">
        <f aca="false">SUMIFS('Hisob (batafsil)'!$G$5:$G$307,'Hisob (batafsil)'!$B$5:$B$307,$A29,'Hisob (batafsil)'!$C$5:$C$307,"Bambuk panel")</f>
        <v>0</v>
      </c>
      <c r="G29" s="32" t="n">
        <f aca="false">SUMIFS('Hisob (batafsil)'!$J$5:$J$307,'Hisob (batafsil)'!$B$5:$B$307,$A29,'Hisob (batafsil)'!$C$5:$C$307,"Bambuk panel")</f>
        <v>0</v>
      </c>
      <c r="H29" s="33" t="n">
        <f aca="false">SUMIFS('Hisob (batafsil)'!$G$5:$G$307,'Hisob (batafsil)'!$B$5:$B$307,$A29,'Hisob (batafsil)'!$C$5:$C$307,"Interaktiv doska")</f>
        <v>0</v>
      </c>
      <c r="I29" s="32" t="n">
        <f aca="false">SUMIFS('Hisob (batafsil)'!$J$5:$J$307,'Hisob (batafsil)'!$B$5:$B$307,$A29,'Hisob (batafsil)'!$C$5:$C$307,"Interaktiv doska")</f>
        <v>0</v>
      </c>
      <c r="J29" s="31" t="n">
        <f aca="false">SUMIFS('Hisob (batafsil)'!$G$5:$G$307,'Hisob (batafsil)'!$B$5:$B$307,$A29,'Hisob (batafsil)'!$C$5:$C$307,"Perila")</f>
        <v>0</v>
      </c>
      <c r="K29" s="32" t="n">
        <f aca="false">SUMIFS('Hisob (batafsil)'!$J$5:$J$307,'Hisob (batafsil)'!$B$5:$B$307,$A29,'Hisob (batafsil)'!$C$5:$C$307,"Perila")</f>
        <v>0</v>
      </c>
      <c r="L29" s="32" t="n">
        <f aca="false">SUMIFS('Hisob (batafsil)'!$J$5:$J$307,'Hisob (batafsil)'!$B$5:$B$307,$A29,'Hisob (batafsil)'!$C$5:$C$307,"Yoritish")</f>
        <v>336</v>
      </c>
      <c r="M29" s="32" t="n">
        <f aca="false">SUMIFS('Hisob (batafsil)'!$J$5:$J$307,'Hisob (batafsil)'!$B$5:$B$307,$A29,'Hisob (batafsil)'!$C$5:$C$307,"Kamera tizimi")</f>
        <v>0</v>
      </c>
      <c r="N29" s="32" t="n">
        <f aca="false">SUMIFS('Hisob (batafsil)'!$J$5:$J$307,'Hisob (batafsil)'!$B$5:$B$307,$A29,'Hisob (batafsil)'!$C$5:$C$307,"Logotip")</f>
        <v>0</v>
      </c>
      <c r="O29" s="32" t="n">
        <f aca="false">SUMIFS('Hisob (batafsil)'!$J$5:$J$307,'Hisob (batafsil)'!$B$5:$B$307,$A29,'Hisob (batafsil)'!$C$5:$C$307,"Matli plyonka")</f>
        <v>0</v>
      </c>
      <c r="P29" s="32" t="n">
        <f aca="false">SUMIFS('Hisob (batafsil)'!$J$5:$J$307,'Hisob (batafsil)'!$B$5:$B$307,$A29,'Hisob (batafsil)'!$C$5:$C$307,"Yong'in xavfsizligi")</f>
        <v>0</v>
      </c>
      <c r="Q29" s="32" t="n">
        <f aca="false">SUMIFS('Hisob (batafsil)'!$J$5:$J$307,'Hisob (batafsil)'!$B$5:$B$307,$A29,'Hisob (batafsil)'!$C$5:$C$307,"Buzish ishlari")</f>
        <v>0</v>
      </c>
      <c r="R29" s="32" t="n">
        <f aca="false">SUMIFS('Hisob (batafsil)'!$J$5:$J$307,'Hisob (batafsil)'!$B$5:$B$307,$A29,'Hisob (batafsil)'!$C$5:$C$307,"Santexnika")</f>
        <v>0</v>
      </c>
      <c r="S29" s="32" t="n">
        <f aca="false">SUMIFS('Hisob (batafsil)'!$J$5:$J$307,'Hisob (batafsil)'!$B$5:$B$307,$A29,'Hisob (batafsil)'!$C$5:$C$307,"Kafel")</f>
        <v>0</v>
      </c>
      <c r="T29" s="32" t="n">
        <f aca="false">SUMIFS('Hisob (batafsil)'!$J$5:$J$307,'Hisob (batafsil)'!$B$5:$B$307,$A29,'Hisob (batafsil)'!$C$5:$C$307,"Konditsioner va ventilyatsiya")</f>
        <v>0</v>
      </c>
      <c r="U29" s="32" t="n">
        <f aca="false">SUMIFS('Hisob (batafsil)'!$J$5:$J$307,'Hisob (batafsil)'!$B$5:$B$307,$A29,'Hisob (batafsil)'!$C$5:$C$307,"Mebel va interyer")</f>
        <v>0</v>
      </c>
      <c r="V29" s="32" t="n">
        <f aca="false">SUMIFS('Hisob (batafsil)'!$J$5:$J$307,'Hisob (batafsil)'!$B$5:$B$307,$A29,'Hisob (batafsil)'!$C$5:$C$307,"E'lon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(batafsil)'!$G$5:$G$307,'Hisob (batafsil)'!$B$5:$B$307,$A30,'Hisob (batafsil)'!$C$5:$C$307,"Shisha devor")</f>
        <v>0</v>
      </c>
      <c r="C30" s="32" t="n">
        <f aca="false">SUMIFS('Hisob (batafsil)'!$J$5:$J$307,'Hisob (batafsil)'!$B$5:$B$307,$A30,'Hisob (batafsil)'!$C$5:$C$307,"Shisha devor")</f>
        <v>0</v>
      </c>
      <c r="D30" s="31" t="n">
        <f aca="false">SUMIFS('Hisob (batafsil)'!$G$5:$G$307,'Hisob (batafsil)'!$B$5:$B$307,$A30,'Hisob (batafsil)'!$C$5:$C$307,"Gips karton (GKL)")</f>
        <v>9.625</v>
      </c>
      <c r="E30" s="32" t="n">
        <f aca="false">SUMIFS('Hisob (batafsil)'!$J$5:$J$307,'Hisob (batafsil)'!$B$5:$B$307,$A30,'Hisob (batafsil)'!$C$5:$C$307,"Gips karton (GKL)")</f>
        <v>115.5</v>
      </c>
      <c r="F30" s="31" t="n">
        <f aca="false">SUMIFS('Hisob (batafsil)'!$G$5:$G$307,'Hisob (batafsil)'!$B$5:$B$307,$A30,'Hisob (batafsil)'!$C$5:$C$307,"Bambuk panel")</f>
        <v>0</v>
      </c>
      <c r="G30" s="32" t="n">
        <f aca="false">SUMIFS('Hisob (batafsil)'!$J$5:$J$307,'Hisob (batafsil)'!$B$5:$B$307,$A30,'Hisob (batafsil)'!$C$5:$C$307,"Bambuk panel")</f>
        <v>0</v>
      </c>
      <c r="H30" s="33" t="n">
        <f aca="false">SUMIFS('Hisob (batafsil)'!$G$5:$G$307,'Hisob (batafsil)'!$B$5:$B$307,$A30,'Hisob (batafsil)'!$C$5:$C$307,"Interaktiv doska")</f>
        <v>0</v>
      </c>
      <c r="I30" s="32" t="n">
        <f aca="false">SUMIFS('Hisob (batafsil)'!$J$5:$J$307,'Hisob (batafsil)'!$B$5:$B$307,$A30,'Hisob (batafsil)'!$C$5:$C$307,"Interaktiv doska")</f>
        <v>0</v>
      </c>
      <c r="J30" s="31" t="n">
        <f aca="false">SUMIFS('Hisob (batafsil)'!$G$5:$G$307,'Hisob (batafsil)'!$B$5:$B$307,$A30,'Hisob (batafsil)'!$C$5:$C$307,"Perila")</f>
        <v>0</v>
      </c>
      <c r="K30" s="32" t="n">
        <f aca="false">SUMIFS('Hisob (batafsil)'!$J$5:$J$307,'Hisob (batafsil)'!$B$5:$B$307,$A30,'Hisob (batafsil)'!$C$5:$C$307,"Perila")</f>
        <v>0</v>
      </c>
      <c r="L30" s="32" t="n">
        <f aca="false">SUMIFS('Hisob (batafsil)'!$J$5:$J$307,'Hisob (batafsil)'!$B$5:$B$307,$A30,'Hisob (batafsil)'!$C$5:$C$307,"Yoritish")</f>
        <v>336</v>
      </c>
      <c r="M30" s="32" t="n">
        <f aca="false">SUMIFS('Hisob (batafsil)'!$J$5:$J$307,'Hisob (batafsil)'!$B$5:$B$307,$A30,'Hisob (batafsil)'!$C$5:$C$307,"Kamera tizimi")</f>
        <v>0</v>
      </c>
      <c r="N30" s="32" t="n">
        <f aca="false">SUMIFS('Hisob (batafsil)'!$J$5:$J$307,'Hisob (batafsil)'!$B$5:$B$307,$A30,'Hisob (batafsil)'!$C$5:$C$307,"Logotip")</f>
        <v>0</v>
      </c>
      <c r="O30" s="32" t="n">
        <f aca="false">SUMIFS('Hisob (batafsil)'!$J$5:$J$307,'Hisob (batafsil)'!$B$5:$B$307,$A30,'Hisob (batafsil)'!$C$5:$C$307,"Matli plyonka")</f>
        <v>0</v>
      </c>
      <c r="P30" s="32" t="n">
        <f aca="false">SUMIFS('Hisob (batafsil)'!$J$5:$J$307,'Hisob (batafsil)'!$B$5:$B$307,$A30,'Hisob (batafsil)'!$C$5:$C$307,"Yong'in xavfsizligi")</f>
        <v>0</v>
      </c>
      <c r="Q30" s="32" t="n">
        <f aca="false">SUMIFS('Hisob (batafsil)'!$J$5:$J$307,'Hisob (batafsil)'!$B$5:$B$307,$A30,'Hisob (batafsil)'!$C$5:$C$307,"Buzish ishlari")</f>
        <v>0</v>
      </c>
      <c r="R30" s="32" t="n">
        <f aca="false">SUMIFS('Hisob (batafsil)'!$J$5:$J$307,'Hisob (batafsil)'!$B$5:$B$307,$A30,'Hisob (batafsil)'!$C$5:$C$307,"Santexnika")</f>
        <v>0</v>
      </c>
      <c r="S30" s="32" t="n">
        <f aca="false">SUMIFS('Hisob (batafsil)'!$J$5:$J$307,'Hisob (batafsil)'!$B$5:$B$307,$A30,'Hisob (batafsil)'!$C$5:$C$307,"Kafel")</f>
        <v>0</v>
      </c>
      <c r="T30" s="32" t="n">
        <f aca="false">SUMIFS('Hisob (batafsil)'!$J$5:$J$307,'Hisob (batafsil)'!$B$5:$B$307,$A30,'Hisob (batafsil)'!$C$5:$C$307,"Konditsioner va ventilyatsiya")</f>
        <v>0</v>
      </c>
      <c r="U30" s="32" t="n">
        <f aca="false">SUMIFS('Hisob (batafsil)'!$J$5:$J$307,'Hisob (batafsil)'!$B$5:$B$307,$A30,'Hisob (batafsil)'!$C$5:$C$307,"Mebel va interyer")</f>
        <v>2360</v>
      </c>
      <c r="V30" s="32" t="n">
        <f aca="false">SUMIFS('Hisob (batafsil)'!$J$5:$J$307,'Hisob (batafsil)'!$B$5:$B$307,$A30,'Hisob (batafsil)'!$C$5:$C$307,"E'lon va e'tirof doskalari")</f>
        <v>0</v>
      </c>
      <c r="W30" s="34" t="n">
        <f aca="false">C30+E30+G30+I30+K30+L30+M30+N30+O30+P30+Q30+R30+S30+T30+U30+V30</f>
        <v>2811.5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(batafsil)'!$G$5:$G$307,'Hisob (batafsil)'!$B$5:$B$307,$A31,'Hisob (batafsil)'!$C$5:$C$307,"Shisha devor")</f>
        <v>0</v>
      </c>
      <c r="C31" s="32" t="n">
        <f aca="false">SUMIFS('Hisob (batafsil)'!$J$5:$J$307,'Hisob (batafsil)'!$B$5:$B$307,$A31,'Hisob (batafsil)'!$C$5:$C$307,"Shisha devor")</f>
        <v>0</v>
      </c>
      <c r="D31" s="31" t="n">
        <f aca="false">SUMIFS('Hisob (batafsil)'!$G$5:$G$307,'Hisob (batafsil)'!$B$5:$B$307,$A31,'Hisob (batafsil)'!$C$5:$C$307,"Gips karton (GKL)")</f>
        <v>9.1</v>
      </c>
      <c r="E31" s="32" t="n">
        <f aca="false">SUMIFS('Hisob (batafsil)'!$J$5:$J$307,'Hisob (batafsil)'!$B$5:$B$307,$A31,'Hisob (batafsil)'!$C$5:$C$307,"Gips karton (GKL)")</f>
        <v>109.2</v>
      </c>
      <c r="F31" s="31" t="n">
        <f aca="false">SUMIFS('Hisob (batafsil)'!$G$5:$G$307,'Hisob (batafsil)'!$B$5:$B$307,$A31,'Hisob (batafsil)'!$C$5:$C$307,"Bambuk panel")</f>
        <v>0</v>
      </c>
      <c r="G31" s="32" t="n">
        <f aca="false">SUMIFS('Hisob (batafsil)'!$J$5:$J$307,'Hisob (batafsil)'!$B$5:$B$307,$A31,'Hisob (batafsil)'!$C$5:$C$307,"Bambuk panel")</f>
        <v>0</v>
      </c>
      <c r="H31" s="33" t="n">
        <f aca="false">SUMIFS('Hisob (batafsil)'!$G$5:$G$307,'Hisob (batafsil)'!$B$5:$B$307,$A31,'Hisob (batafsil)'!$C$5:$C$307,"Interaktiv doska")</f>
        <v>0</v>
      </c>
      <c r="I31" s="32" t="n">
        <f aca="false">SUMIFS('Hisob (batafsil)'!$J$5:$J$307,'Hisob (batafsil)'!$B$5:$B$307,$A31,'Hisob (batafsil)'!$C$5:$C$307,"Interaktiv doska")</f>
        <v>0</v>
      </c>
      <c r="J31" s="31" t="n">
        <f aca="false">SUMIFS('Hisob (batafsil)'!$G$5:$G$307,'Hisob (batafsil)'!$B$5:$B$307,$A31,'Hisob (batafsil)'!$C$5:$C$307,"Perila")</f>
        <v>0</v>
      </c>
      <c r="K31" s="32" t="n">
        <f aca="false">SUMIFS('Hisob (batafsil)'!$J$5:$J$307,'Hisob (batafsil)'!$B$5:$B$307,$A31,'Hisob (batafsil)'!$C$5:$C$307,"Perila")</f>
        <v>0</v>
      </c>
      <c r="L31" s="32" t="n">
        <f aca="false">SUMIFS('Hisob (batafsil)'!$J$5:$J$307,'Hisob (batafsil)'!$B$5:$B$307,$A31,'Hisob (batafsil)'!$C$5:$C$307,"Yoritish")</f>
        <v>0</v>
      </c>
      <c r="M31" s="32" t="n">
        <f aca="false">SUMIFS('Hisob (batafsil)'!$J$5:$J$307,'Hisob (batafsil)'!$B$5:$B$307,$A31,'Hisob (batafsil)'!$C$5:$C$307,"Kamera tizimi")</f>
        <v>0</v>
      </c>
      <c r="N31" s="32" t="n">
        <f aca="false">SUMIFS('Hisob (batafsil)'!$J$5:$J$307,'Hisob (batafsil)'!$B$5:$B$307,$A31,'Hisob (batafsil)'!$C$5:$C$307,"Logotip")</f>
        <v>0</v>
      </c>
      <c r="O31" s="32" t="n">
        <f aca="false">SUMIFS('Hisob (batafsil)'!$J$5:$J$307,'Hisob (batafsil)'!$B$5:$B$307,$A31,'Hisob (batafsil)'!$C$5:$C$307,"Matli plyonka")</f>
        <v>0</v>
      </c>
      <c r="P31" s="32" t="n">
        <f aca="false">SUMIFS('Hisob (batafsil)'!$J$5:$J$307,'Hisob (batafsil)'!$B$5:$B$307,$A31,'Hisob (batafsil)'!$C$5:$C$307,"Yong'in xavfsizligi")</f>
        <v>0</v>
      </c>
      <c r="Q31" s="32" t="n">
        <f aca="false">SUMIFS('Hisob (batafsil)'!$J$5:$J$307,'Hisob (batafsil)'!$B$5:$B$307,$A31,'Hisob (batafsil)'!$C$5:$C$307,"Buzish ishlari")</f>
        <v>0</v>
      </c>
      <c r="R31" s="32" t="n">
        <f aca="false">SUMIFS('Hisob (batafsil)'!$J$5:$J$307,'Hisob (batafsil)'!$B$5:$B$307,$A31,'Hisob (batafsil)'!$C$5:$C$307,"Santexnika")</f>
        <v>0</v>
      </c>
      <c r="S31" s="32" t="n">
        <f aca="false">SUMIFS('Hisob (batafsil)'!$J$5:$J$307,'Hisob (batafsil)'!$B$5:$B$307,$A31,'Hisob (batafsil)'!$C$5:$C$307,"Kafel")</f>
        <v>0</v>
      </c>
      <c r="T31" s="32" t="n">
        <f aca="false">SUMIFS('Hisob (batafsil)'!$J$5:$J$307,'Hisob (batafsil)'!$B$5:$B$307,$A31,'Hisob (batafsil)'!$C$5:$C$307,"Konditsioner va ventilyatsiya")</f>
        <v>0</v>
      </c>
      <c r="U31" s="32" t="n">
        <f aca="false">SUMIFS('Hisob (batafsil)'!$J$5:$J$307,'Hisob (batafsil)'!$B$5:$B$307,$A31,'Hisob (batafsil)'!$C$5:$C$307,"Mebel va interyer")</f>
        <v>0</v>
      </c>
      <c r="V31" s="32" t="n">
        <f aca="false">SUMIFS('Hisob (batafsil)'!$J$5:$J$307,'Hisob (batafsil)'!$B$5:$B$307,$A31,'Hisob (batafsil)'!$C$5:$C$307,"E'lon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(batafsil)'!$G$5:$G$307,'Hisob (batafsil)'!$B$5:$B$307,$A32,'Hisob (batafsil)'!$C$5:$C$307,"Shisha devor")</f>
        <v>0</v>
      </c>
      <c r="C32" s="32" t="n">
        <f aca="false">SUMIFS('Hisob (batafsil)'!$J$5:$J$307,'Hisob (batafsil)'!$B$5:$B$307,$A32,'Hisob (batafsil)'!$C$5:$C$307,"Shisha devor")</f>
        <v>0</v>
      </c>
      <c r="D32" s="31" t="n">
        <f aca="false">SUMIFS('Hisob (batafsil)'!$G$5:$G$307,'Hisob (batafsil)'!$B$5:$B$307,$A32,'Hisob (batafsil)'!$C$5:$C$307,"Gips karton (GKL)")</f>
        <v>0</v>
      </c>
      <c r="E32" s="32" t="n">
        <f aca="false">SUMIFS('Hisob (batafsil)'!$J$5:$J$307,'Hisob (batafsil)'!$B$5:$B$307,$A32,'Hisob (batafsil)'!$C$5:$C$307,"Gips karton (GKL)")</f>
        <v>0</v>
      </c>
      <c r="F32" s="31" t="n">
        <f aca="false">SUMIFS('Hisob (batafsil)'!$G$5:$G$307,'Hisob (batafsil)'!$B$5:$B$307,$A32,'Hisob (batafsil)'!$C$5:$C$307,"Bambuk panel")</f>
        <v>0</v>
      </c>
      <c r="G32" s="32" t="n">
        <f aca="false">SUMIFS('Hisob (batafsil)'!$J$5:$J$307,'Hisob (batafsil)'!$B$5:$B$307,$A32,'Hisob (batafsil)'!$C$5:$C$307,"Bambuk panel")</f>
        <v>0</v>
      </c>
      <c r="H32" s="33" t="n">
        <f aca="false">SUMIFS('Hisob (batafsil)'!$G$5:$G$307,'Hisob (batafsil)'!$B$5:$B$307,$A32,'Hisob (batafsil)'!$C$5:$C$307,"Interaktiv doska")</f>
        <v>0</v>
      </c>
      <c r="I32" s="32" t="n">
        <f aca="false">SUMIFS('Hisob (batafsil)'!$J$5:$J$307,'Hisob (batafsil)'!$B$5:$B$307,$A32,'Hisob (batafsil)'!$C$5:$C$307,"Interaktiv doska")</f>
        <v>0</v>
      </c>
      <c r="J32" s="31" t="n">
        <f aca="false">SUMIFS('Hisob (batafsil)'!$G$5:$G$307,'Hisob (batafsil)'!$B$5:$B$307,$A32,'Hisob (batafsil)'!$C$5:$C$307,"Perila")</f>
        <v>24</v>
      </c>
      <c r="K32" s="32" t="n">
        <f aca="false">SUMIFS('Hisob (batafsil)'!$J$5:$J$307,'Hisob (batafsil)'!$B$5:$B$307,$A32,'Hisob (batafsil)'!$C$5:$C$307,"Perila")</f>
        <v>2016</v>
      </c>
      <c r="L32" s="32" t="n">
        <f aca="false">SUMIFS('Hisob (batafsil)'!$J$5:$J$307,'Hisob (batafsil)'!$B$5:$B$307,$A32,'Hisob (batafsil)'!$C$5:$C$307,"Yoritish")</f>
        <v>0</v>
      </c>
      <c r="M32" s="32" t="n">
        <f aca="false">SUMIFS('Hisob (batafsil)'!$J$5:$J$307,'Hisob (batafsil)'!$B$5:$B$307,$A32,'Hisob (batafsil)'!$C$5:$C$307,"Kamera tizimi")</f>
        <v>0</v>
      </c>
      <c r="N32" s="32" t="n">
        <f aca="false">SUMIFS('Hisob (batafsil)'!$J$5:$J$307,'Hisob (batafsil)'!$B$5:$B$307,$A32,'Hisob (batafsil)'!$C$5:$C$307,"Logotip")</f>
        <v>0</v>
      </c>
      <c r="O32" s="32" t="n">
        <f aca="false">SUMIFS('Hisob (batafsil)'!$J$5:$J$307,'Hisob (batafsil)'!$B$5:$B$307,$A32,'Hisob (batafsil)'!$C$5:$C$307,"Matli plyonka")</f>
        <v>0</v>
      </c>
      <c r="P32" s="32" t="n">
        <f aca="false">SUMIFS('Hisob (batafsil)'!$J$5:$J$307,'Hisob (batafsil)'!$B$5:$B$307,$A32,'Hisob (batafsil)'!$C$5:$C$307,"Yong'in xavfsizligi")</f>
        <v>0</v>
      </c>
      <c r="Q32" s="32" t="n">
        <f aca="false">SUMIFS('Hisob (batafsil)'!$J$5:$J$307,'Hisob (batafsil)'!$B$5:$B$307,$A32,'Hisob (batafsil)'!$C$5:$C$307,"Buzish ishlari")</f>
        <v>0</v>
      </c>
      <c r="R32" s="32" t="n">
        <f aca="false">SUMIFS('Hisob (batafsil)'!$J$5:$J$307,'Hisob (batafsil)'!$B$5:$B$307,$A32,'Hisob (batafsil)'!$C$5:$C$307,"Santexnika")</f>
        <v>0</v>
      </c>
      <c r="S32" s="32" t="n">
        <f aca="false">SUMIFS('Hisob (batafsil)'!$J$5:$J$307,'Hisob (batafsil)'!$B$5:$B$307,$A32,'Hisob (batafsil)'!$C$5:$C$307,"Kafel")</f>
        <v>0</v>
      </c>
      <c r="T32" s="32" t="n">
        <f aca="false">SUMIFS('Hisob (batafsil)'!$J$5:$J$307,'Hisob (batafsil)'!$B$5:$B$307,$A32,'Hisob (batafsil)'!$C$5:$C$307,"Konditsioner va ventilyatsiya")</f>
        <v>0</v>
      </c>
      <c r="U32" s="32" t="n">
        <f aca="false">SUMIFS('Hisob (batafsil)'!$J$5:$J$307,'Hisob (batafsil)'!$B$5:$B$307,$A32,'Hisob (batafsil)'!$C$5:$C$307,"Mebel va interyer")</f>
        <v>0</v>
      </c>
      <c r="V32" s="32" t="n">
        <f aca="false">SUMIFS('Hisob (batafsil)'!$J$5:$J$307,'Hisob (batafsil)'!$B$5:$B$307,$A32,'Hisob (batafsil)'!$C$5:$C$307,"E'lon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(batafsil)'!$G$5:$G$307,'Hisob (batafsil)'!$B$5:$B$307,$A33,'Hisob (batafsil)'!$C$5:$C$307,"Shisha devor")</f>
        <v>0</v>
      </c>
      <c r="C33" s="32" t="n">
        <f aca="false">SUMIFS('Hisob (batafsil)'!$J$5:$J$307,'Hisob (batafsil)'!$B$5:$B$307,$A33,'Hisob (batafsil)'!$C$5:$C$307,"Shisha devor")</f>
        <v>0</v>
      </c>
      <c r="D33" s="31" t="n">
        <f aca="false">SUMIFS('Hisob (batafsil)'!$G$5:$G$307,'Hisob (batafsil)'!$B$5:$B$307,$A33,'Hisob (batafsil)'!$C$5:$C$307,"Gips karton (GKL)")</f>
        <v>0</v>
      </c>
      <c r="E33" s="32" t="n">
        <f aca="false">SUMIFS('Hisob (batafsil)'!$J$5:$J$307,'Hisob (batafsil)'!$B$5:$B$307,$A33,'Hisob (batafsil)'!$C$5:$C$307,"Gips karton (GKL)")</f>
        <v>0</v>
      </c>
      <c r="F33" s="31" t="n">
        <f aca="false">SUMIFS('Hisob (batafsil)'!$G$5:$G$307,'Hisob (batafsil)'!$B$5:$B$307,$A33,'Hisob (batafsil)'!$C$5:$C$307,"Bambuk panel")</f>
        <v>0</v>
      </c>
      <c r="G33" s="32" t="n">
        <f aca="false">SUMIFS('Hisob (batafsil)'!$J$5:$J$307,'Hisob (batafsil)'!$B$5:$B$307,$A33,'Hisob (batafsil)'!$C$5:$C$307,"Bambuk panel")</f>
        <v>0</v>
      </c>
      <c r="H33" s="33" t="n">
        <f aca="false">SUMIFS('Hisob (batafsil)'!$G$5:$G$307,'Hisob (batafsil)'!$B$5:$B$307,$A33,'Hisob (batafsil)'!$C$5:$C$307,"Interaktiv doska")</f>
        <v>0</v>
      </c>
      <c r="I33" s="32" t="n">
        <f aca="false">SUMIFS('Hisob (batafsil)'!$J$5:$J$307,'Hisob (batafsil)'!$B$5:$B$307,$A33,'Hisob (batafsil)'!$C$5:$C$307,"Interaktiv doska")</f>
        <v>0</v>
      </c>
      <c r="J33" s="31" t="n">
        <f aca="false">SUMIFS('Hisob (batafsil)'!$G$5:$G$307,'Hisob (batafsil)'!$B$5:$B$307,$A33,'Hisob (batafsil)'!$C$5:$C$307,"Perila")</f>
        <v>0</v>
      </c>
      <c r="K33" s="32" t="n">
        <f aca="false">SUMIFS('Hisob (batafsil)'!$J$5:$J$307,'Hisob (batafsil)'!$B$5:$B$307,$A33,'Hisob (batafsil)'!$C$5:$C$307,"Perila")</f>
        <v>0</v>
      </c>
      <c r="L33" s="32" t="n">
        <f aca="false">SUMIFS('Hisob (batafsil)'!$J$5:$J$307,'Hisob (batafsil)'!$B$5:$B$307,$A33,'Hisob (batafsil)'!$C$5:$C$307,"Yoritish")</f>
        <v>0</v>
      </c>
      <c r="M33" s="32" t="n">
        <f aca="false">SUMIFS('Hisob (batafsil)'!$J$5:$J$307,'Hisob (batafsil)'!$B$5:$B$307,$A33,'Hisob (batafsil)'!$C$5:$C$307,"Kamera tizimi")</f>
        <v>2119</v>
      </c>
      <c r="N33" s="32" t="n">
        <f aca="false">SUMIFS('Hisob (batafsil)'!$J$5:$J$307,'Hisob (batafsil)'!$B$5:$B$307,$A33,'Hisob (batafsil)'!$C$5:$C$307,"Logotip")</f>
        <v>2500</v>
      </c>
      <c r="O33" s="32" t="n">
        <f aca="false">SUMIFS('Hisob (batafsil)'!$J$5:$J$307,'Hisob (batafsil)'!$B$5:$B$307,$A33,'Hisob (batafsil)'!$C$5:$C$307,"Matli plyonka")</f>
        <v>537.81512605042</v>
      </c>
      <c r="P33" s="32" t="n">
        <f aca="false">SUMIFS('Hisob (batafsil)'!$J$5:$J$307,'Hisob (batafsil)'!$B$5:$B$307,$A33,'Hisob (batafsil)'!$C$5:$C$307,"Yong'in xavfsizligi")</f>
        <v>1512.60504201681</v>
      </c>
      <c r="Q33" s="32" t="n">
        <f aca="false">SUMIFS('Hisob (batafsil)'!$J$5:$J$307,'Hisob (batafsil)'!$B$5:$B$307,$A33,'Hisob (batafsil)'!$C$5:$C$307,"Buzish ishlari")</f>
        <v>451.575630252101</v>
      </c>
      <c r="R33" s="32" t="n">
        <f aca="false">SUMIFS('Hisob (batafsil)'!$J$5:$J$307,'Hisob (batafsil)'!$B$5:$B$307,$A33,'Hisob (batafsil)'!$C$5:$C$307,"Santexnika")</f>
        <v>0</v>
      </c>
      <c r="S33" s="32" t="n">
        <f aca="false">SUMIFS('Hisob (batafsil)'!$J$5:$J$307,'Hisob (batafsil)'!$B$5:$B$307,$A33,'Hisob (batafsil)'!$C$5:$C$307,"Kafel")</f>
        <v>0</v>
      </c>
      <c r="T33" s="32" t="n">
        <f aca="false">SUMIFS('Hisob (batafsil)'!$J$5:$J$307,'Hisob (batafsil)'!$B$5:$B$307,$A33,'Hisob (batafsil)'!$C$5:$C$307,"Konditsioner va ventilyatsiya")</f>
        <v>14000</v>
      </c>
      <c r="U33" s="32" t="n">
        <f aca="false">SUMIFS('Hisob (batafsil)'!$J$5:$J$307,'Hisob (batafsil)'!$B$5:$B$307,$A33,'Hisob (batafsil)'!$C$5:$C$307,"Mebel va interyer")</f>
        <v>0</v>
      </c>
      <c r="V33" s="32" t="n">
        <f aca="false">SUMIFS('Hisob (batafsil)'!$J$5:$J$307,'Hisob (batafsil)'!$B$5:$B$307,$A33,'Hisob (batafsil)'!$C$5:$C$307,"E'lon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2360</v>
      </c>
      <c r="V34" s="36" t="n">
        <f aca="false">SUM(V28:V33)</f>
        <v>740</v>
      </c>
      <c r="W34" s="36" t="n">
        <f aca="false">SUM(W28:W33)</f>
        <v>28694.8957983193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(batafsil)'!$G$5:$G$307,'Hisob (batafsil)'!$B$5:$B$307,$A37,'Hisob (batafsil)'!$C$5:$C$307,"Shisha devor")</f>
        <v>0</v>
      </c>
      <c r="C37" s="32" t="n">
        <f aca="false">SUMIFS('Hisob (batafsil)'!$J$5:$J$307,'Hisob (batafsil)'!$B$5:$B$307,$A37,'Hisob (batafsil)'!$C$5:$C$307,"Shisha devor")</f>
        <v>0</v>
      </c>
      <c r="D37" s="31" t="n">
        <f aca="false">SUMIFS('Hisob (batafsil)'!$G$5:$G$307,'Hisob (batafsil)'!$B$5:$B$307,$A37,'Hisob (batafsil)'!$C$5:$C$307,"Gips karton (GKL)")</f>
        <v>0</v>
      </c>
      <c r="E37" s="32" t="n">
        <f aca="false">SUMIFS('Hisob (batafsil)'!$J$5:$J$307,'Hisob (batafsil)'!$B$5:$B$307,$A37,'Hisob (batafsil)'!$C$5:$C$307,"Gips karton (GKL)")</f>
        <v>0</v>
      </c>
      <c r="F37" s="31" t="n">
        <f aca="false">SUMIFS('Hisob (batafsil)'!$G$5:$G$307,'Hisob (batafsil)'!$B$5:$B$307,$A37,'Hisob (batafsil)'!$C$5:$C$307,"Bambuk panel")</f>
        <v>46.86</v>
      </c>
      <c r="G37" s="32" t="n">
        <f aca="false">SUMIFS('Hisob (batafsil)'!$J$5:$J$307,'Hisob (batafsil)'!$B$5:$B$307,$A37,'Hisob (batafsil)'!$C$5:$C$307,"Bambuk panel")</f>
        <v>726.33</v>
      </c>
      <c r="H37" s="33" t="n">
        <f aca="false">SUMIFS('Hisob (batafsil)'!$G$5:$G$307,'Hisob (batafsil)'!$B$5:$B$307,$A37,'Hisob (batafsil)'!$C$5:$C$307,"Interaktiv doska")</f>
        <v>1</v>
      </c>
      <c r="I37" s="32" t="n">
        <f aca="false">SUMIFS('Hisob (batafsil)'!$J$5:$J$307,'Hisob (batafsil)'!$B$5:$B$307,$A37,'Hisob (batafsil)'!$C$5:$C$307,"Interaktiv doska")</f>
        <v>1032</v>
      </c>
      <c r="J37" s="31" t="n">
        <f aca="false">SUMIFS('Hisob (batafsil)'!$G$5:$G$307,'Hisob (batafsil)'!$B$5:$B$307,$A37,'Hisob (batafsil)'!$C$5:$C$307,"Perila")</f>
        <v>0</v>
      </c>
      <c r="K37" s="32" t="n">
        <f aca="false">SUMIFS('Hisob (batafsil)'!$J$5:$J$307,'Hisob (batafsil)'!$B$5:$B$307,$A37,'Hisob (batafsil)'!$C$5:$C$307,"Perila")</f>
        <v>0</v>
      </c>
      <c r="L37" s="32" t="n">
        <f aca="false">SUMIFS('Hisob (batafsil)'!$J$5:$J$307,'Hisob (batafsil)'!$B$5:$B$307,$A37,'Hisob (batafsil)'!$C$5:$C$307,"Yoritish")</f>
        <v>0</v>
      </c>
      <c r="M37" s="32" t="n">
        <f aca="false">SUMIFS('Hisob (batafsil)'!$J$5:$J$307,'Hisob (batafsil)'!$B$5:$B$307,$A37,'Hisob (batafsil)'!$C$5:$C$307,"Kamera tizimi")</f>
        <v>0</v>
      </c>
      <c r="N37" s="32" t="n">
        <f aca="false">SUMIFS('Hisob (batafsil)'!$J$5:$J$307,'Hisob (batafsil)'!$B$5:$B$307,$A37,'Hisob (batafsil)'!$C$5:$C$307,"Logotip")</f>
        <v>0</v>
      </c>
      <c r="O37" s="32" t="n">
        <f aca="false">SUMIFS('Hisob (batafsil)'!$J$5:$J$307,'Hisob (batafsil)'!$B$5:$B$307,$A37,'Hisob (batafsil)'!$C$5:$C$307,"Matli plyonka")</f>
        <v>0</v>
      </c>
      <c r="P37" s="32" t="n">
        <f aca="false">SUMIFS('Hisob (batafsil)'!$J$5:$J$307,'Hisob (batafsil)'!$B$5:$B$307,$A37,'Hisob (batafsil)'!$C$5:$C$307,"Yong'in xavfsizligi")</f>
        <v>0</v>
      </c>
      <c r="Q37" s="32" t="n">
        <f aca="false">SUMIFS('Hisob (batafsil)'!$J$5:$J$307,'Hisob (batafsil)'!$B$5:$B$307,$A37,'Hisob (batafsil)'!$C$5:$C$307,"Buzish ishlari")</f>
        <v>0</v>
      </c>
      <c r="R37" s="32" t="n">
        <f aca="false">SUMIFS('Hisob (batafsil)'!$J$5:$J$307,'Hisob (batafsil)'!$B$5:$B$307,$A37,'Hisob (batafsil)'!$C$5:$C$307,"Santexnika")</f>
        <v>0</v>
      </c>
      <c r="S37" s="32" t="n">
        <f aca="false">SUMIFS('Hisob (batafsil)'!$J$5:$J$307,'Hisob (batafsil)'!$B$5:$B$307,$A37,'Hisob (batafsil)'!$C$5:$C$307,"Kafel")</f>
        <v>0</v>
      </c>
      <c r="T37" s="32" t="n">
        <f aca="false">SUMIFS('Hisob (batafsil)'!$J$5:$J$307,'Hisob (batafsil)'!$B$5:$B$307,$A37,'Hisob (batafsil)'!$C$5:$C$307,"Konditsioner va ventilyatsiya")</f>
        <v>1000</v>
      </c>
      <c r="U37" s="32" t="n">
        <f aca="false">SUMIFS('Hisob (batafsil)'!$J$5:$J$307,'Hisob (batafsil)'!$B$5:$B$307,$A37,'Hisob (batafsil)'!$C$5:$C$307,"Mebel va interyer")</f>
        <v>0</v>
      </c>
      <c r="V37" s="32" t="n">
        <f aca="false">SUMIFS('Hisob (batafsil)'!$J$5:$J$307,'Hisob (batafsil)'!$B$5:$B$307,$A37,'Hisob (batafsil)'!$C$5:$C$307,"E'lon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(batafsil)'!$G$5:$G$307,'Hisob (batafsil)'!$B$5:$B$307,$A38,'Hisob (batafsil)'!$C$5:$C$307,"Shisha devor")</f>
        <v>0</v>
      </c>
      <c r="C38" s="32" t="n">
        <f aca="false">SUMIFS('Hisob (batafsil)'!$J$5:$J$307,'Hisob (batafsil)'!$B$5:$B$307,$A38,'Hisob (batafsil)'!$C$5:$C$307,"Shisha devor")</f>
        <v>0</v>
      </c>
      <c r="D38" s="31" t="n">
        <f aca="false">SUMIFS('Hisob (batafsil)'!$G$5:$G$307,'Hisob (batafsil)'!$B$5:$B$307,$A38,'Hisob (batafsil)'!$C$5:$C$307,"Gips karton (GKL)")</f>
        <v>0</v>
      </c>
      <c r="E38" s="32" t="n">
        <f aca="false">SUMIFS('Hisob (batafsil)'!$J$5:$J$307,'Hisob (batafsil)'!$B$5:$B$307,$A38,'Hisob (batafsil)'!$C$5:$C$307,"Gips karton (GKL)")</f>
        <v>0</v>
      </c>
      <c r="F38" s="31" t="n">
        <f aca="false">SUMIFS('Hisob (batafsil)'!$G$5:$G$307,'Hisob (batafsil)'!$B$5:$B$307,$A38,'Hisob (batafsil)'!$C$5:$C$307,"Bambuk panel")</f>
        <v>0</v>
      </c>
      <c r="G38" s="32" t="n">
        <f aca="false">SUMIFS('Hisob (batafsil)'!$J$5:$J$307,'Hisob (batafsil)'!$B$5:$B$307,$A38,'Hisob (batafsil)'!$C$5:$C$307,"Bambuk panel")</f>
        <v>0</v>
      </c>
      <c r="H38" s="33" t="n">
        <f aca="false">SUMIFS('Hisob (batafsil)'!$G$5:$G$307,'Hisob (batafsil)'!$B$5:$B$307,$A38,'Hisob (batafsil)'!$C$5:$C$307,"Interaktiv doska")</f>
        <v>0</v>
      </c>
      <c r="I38" s="32" t="n">
        <f aca="false">SUMIFS('Hisob (batafsil)'!$J$5:$J$307,'Hisob (batafsil)'!$B$5:$B$307,$A38,'Hisob (batafsil)'!$C$5:$C$307,"Interaktiv doska")</f>
        <v>0</v>
      </c>
      <c r="J38" s="31" t="n">
        <f aca="false">SUMIFS('Hisob (batafsil)'!$G$5:$G$307,'Hisob (batafsil)'!$B$5:$B$307,$A38,'Hisob (batafsil)'!$C$5:$C$307,"Perila")</f>
        <v>0</v>
      </c>
      <c r="K38" s="32" t="n">
        <f aca="false">SUMIFS('Hisob (batafsil)'!$J$5:$J$307,'Hisob (batafsil)'!$B$5:$B$307,$A38,'Hisob (batafsil)'!$C$5:$C$307,"Perila")</f>
        <v>0</v>
      </c>
      <c r="L38" s="32" t="n">
        <f aca="false">SUMIFS('Hisob (batafsil)'!$J$5:$J$307,'Hisob (batafsil)'!$B$5:$B$307,$A38,'Hisob (batafsil)'!$C$5:$C$307,"Yoritish")</f>
        <v>0</v>
      </c>
      <c r="M38" s="32" t="n">
        <f aca="false">SUMIFS('Hisob (batafsil)'!$J$5:$J$307,'Hisob (batafsil)'!$B$5:$B$307,$A38,'Hisob (batafsil)'!$C$5:$C$307,"Kamera tizimi")</f>
        <v>0</v>
      </c>
      <c r="N38" s="32" t="n">
        <f aca="false">SUMIFS('Hisob (batafsil)'!$J$5:$J$307,'Hisob (batafsil)'!$B$5:$B$307,$A38,'Hisob (batafsil)'!$C$5:$C$307,"Logotip")</f>
        <v>0</v>
      </c>
      <c r="O38" s="32" t="n">
        <f aca="false">SUMIFS('Hisob (batafsil)'!$J$5:$J$307,'Hisob (batafsil)'!$B$5:$B$307,$A38,'Hisob (batafsil)'!$C$5:$C$307,"Matli plyonka")</f>
        <v>0</v>
      </c>
      <c r="P38" s="32" t="n">
        <f aca="false">SUMIFS('Hisob (batafsil)'!$J$5:$J$307,'Hisob (batafsil)'!$B$5:$B$307,$A38,'Hisob (batafsil)'!$C$5:$C$307,"Yong'in xavfsizligi")</f>
        <v>0</v>
      </c>
      <c r="Q38" s="32" t="n">
        <f aca="false">SUMIFS('Hisob (batafsil)'!$J$5:$J$307,'Hisob (batafsil)'!$B$5:$B$307,$A38,'Hisob (batafsil)'!$C$5:$C$307,"Buzish ishlari")</f>
        <v>0</v>
      </c>
      <c r="R38" s="32" t="n">
        <f aca="false">SUMIFS('Hisob (batafsil)'!$J$5:$J$307,'Hisob (batafsil)'!$B$5:$B$307,$A38,'Hisob (batafsil)'!$C$5:$C$307,"Santexnika")</f>
        <v>3317.64705882353</v>
      </c>
      <c r="S38" s="32" t="n">
        <f aca="false">SUMIFS('Hisob (batafsil)'!$J$5:$J$307,'Hisob (batafsil)'!$B$5:$B$307,$A38,'Hisob (batafsil)'!$C$5:$C$307,"Kafel")</f>
        <v>1243.6974789916</v>
      </c>
      <c r="T38" s="32" t="n">
        <f aca="false">SUMIFS('Hisob (batafsil)'!$J$5:$J$307,'Hisob (batafsil)'!$B$5:$B$307,$A38,'Hisob (batafsil)'!$C$5:$C$307,"Konditsioner va ventilyatsiya")</f>
        <v>0</v>
      </c>
      <c r="U38" s="32" t="n">
        <f aca="false">SUMIFS('Hisob (batafsil)'!$J$5:$J$307,'Hisob (batafsil)'!$B$5:$B$307,$A38,'Hisob (batafsil)'!$C$5:$C$307,"Mebel va interyer")</f>
        <v>0</v>
      </c>
      <c r="V38" s="32" t="n">
        <f aca="false">SUMIFS('Hisob (batafsil)'!$J$5:$J$307,'Hisob (batafsil)'!$B$5:$B$307,$A38,'Hisob (batafsil)'!$C$5:$C$307,"E'lon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8850</v>
      </c>
      <c r="V41" s="39" t="n">
        <f aca="false">V7+V17+V25+V34+V39</f>
        <v>740</v>
      </c>
      <c r="W41" s="39" t="n">
        <f aca="false">W7+W17+W25+W34+W39</f>
        <v>69860.5503361345</v>
      </c>
    </row>
    <row r="42" customFormat="false" ht="15" hidden="false" customHeight="false" outlineLevel="0" collapsed="false">
      <c r="A42" s="16" t="str">
        <f aca="false">"Kutilmagan xarajatlar ("&amp;TEXT(Narxlar!$C$76,"0%")&amp;"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W41*Narxlar!$C$76</f>
        <v>6986.05503361345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76846.6053697479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914474603.9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(batafsil)'!J308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117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500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6" t="n">
        <v>250</v>
      </c>
      <c r="D68" s="6" t="s">
        <v>100</v>
      </c>
      <c r="E68" s="6" t="s">
        <v>179</v>
      </c>
    </row>
    <row r="69" customFormat="false" ht="15" hidden="false" customHeight="false" outlineLevel="0" collapsed="false">
      <c r="A69" s="5" t="n">
        <v>65</v>
      </c>
      <c r="B69" s="6" t="s">
        <v>193</v>
      </c>
      <c r="C69" s="46" t="n">
        <v>700</v>
      </c>
      <c r="D69" s="6" t="s">
        <v>117</v>
      </c>
      <c r="E69" s="6" t="s">
        <v>179</v>
      </c>
    </row>
    <row r="70" customFormat="false" ht="15" hidden="false" customHeight="false" outlineLevel="0" collapsed="false">
      <c r="A70" s="5" t="n">
        <v>66</v>
      </c>
      <c r="B70" s="6" t="s">
        <v>194</v>
      </c>
      <c r="C70" s="46" t="n">
        <v>450</v>
      </c>
      <c r="D70" s="6" t="s">
        <v>117</v>
      </c>
      <c r="E70" s="6" t="s">
        <v>179</v>
      </c>
    </row>
    <row r="71" customFormat="false" ht="15" hidden="false" customHeight="false" outlineLevel="0" collapsed="false">
      <c r="A71" s="5" t="n">
        <v>67</v>
      </c>
      <c r="B71" s="6" t="s">
        <v>195</v>
      </c>
      <c r="C71" s="46" t="n">
        <v>600</v>
      </c>
      <c r="D71" s="6" t="s">
        <v>100</v>
      </c>
      <c r="E71" s="6" t="s">
        <v>196</v>
      </c>
    </row>
    <row r="72" customFormat="false" ht="15" hidden="false" customHeight="false" outlineLevel="0" collapsed="false">
      <c r="A72" s="5" t="n">
        <v>68</v>
      </c>
      <c r="B72" s="6" t="s">
        <v>197</v>
      </c>
      <c r="C72" s="46" t="n">
        <v>250</v>
      </c>
      <c r="D72" s="6" t="s">
        <v>117</v>
      </c>
      <c r="E72" s="6" t="s">
        <v>179</v>
      </c>
    </row>
    <row r="73" customFormat="false" ht="15" hidden="false" customHeight="false" outlineLevel="0" collapsed="false">
      <c r="A73" s="5" t="n">
        <v>69</v>
      </c>
      <c r="B73" s="6" t="s">
        <v>198</v>
      </c>
      <c r="C73" s="46" t="n">
        <v>60</v>
      </c>
      <c r="D73" s="6" t="s">
        <v>117</v>
      </c>
      <c r="E73" s="6" t="s">
        <v>199</v>
      </c>
    </row>
    <row r="74" customFormat="false" ht="15" hidden="false" customHeight="false" outlineLevel="0" collapsed="false">
      <c r="A74" s="5" t="n">
        <v>70</v>
      </c>
      <c r="B74" s="6" t="s">
        <v>200</v>
      </c>
      <c r="C74" s="46" t="n">
        <v>300</v>
      </c>
      <c r="D74" s="6" t="s">
        <v>100</v>
      </c>
      <c r="E74" s="6" t="s">
        <v>179</v>
      </c>
    </row>
    <row r="75" customFormat="false" ht="15" hidden="false" customHeight="false" outlineLevel="0" collapsed="false">
      <c r="A75" s="5" t="n">
        <v>71</v>
      </c>
      <c r="B75" s="6" t="s">
        <v>201</v>
      </c>
      <c r="C75" s="44" t="n">
        <v>2</v>
      </c>
      <c r="D75" s="6" t="s">
        <v>113</v>
      </c>
      <c r="E75" s="6" t="s">
        <v>202</v>
      </c>
    </row>
    <row r="76" customFormat="false" ht="15" hidden="false" customHeight="false" outlineLevel="0" collapsed="false">
      <c r="A76" s="5" t="n">
        <v>72</v>
      </c>
      <c r="B76" s="6" t="s">
        <v>203</v>
      </c>
      <c r="C76" s="47" t="n">
        <v>0.1</v>
      </c>
      <c r="D76" s="6" t="s">
        <v>204</v>
      </c>
      <c r="E76" s="6" t="s">
        <v>205</v>
      </c>
    </row>
    <row r="77" customFormat="false" ht="15" hidden="false" customHeight="false" outlineLevel="0" collapsed="false">
      <c r="A77" s="5" t="n">
        <v>73</v>
      </c>
      <c r="B77" s="6" t="s">
        <v>206</v>
      </c>
      <c r="C77" s="43" t="n">
        <v>3.5</v>
      </c>
      <c r="D77" s="6" t="s">
        <v>104</v>
      </c>
      <c r="E77" s="6" t="s">
        <v>207</v>
      </c>
    </row>
    <row r="78" customFormat="false" ht="15" hidden="false" customHeight="false" outlineLevel="0" collapsed="false">
      <c r="A78" s="5" t="n">
        <v>74</v>
      </c>
      <c r="B78" s="6" t="s">
        <v>208</v>
      </c>
      <c r="C78" s="43" t="n">
        <v>2.5</v>
      </c>
      <c r="D78" s="6" t="s">
        <v>104</v>
      </c>
      <c r="E78" s="6" t="s">
        <v>97</v>
      </c>
    </row>
    <row r="79" customFormat="false" ht="15" hidden="false" customHeight="false" outlineLevel="0" collapsed="false">
      <c r="A79" s="5" t="n">
        <v>75</v>
      </c>
      <c r="B79" s="6" t="s">
        <v>209</v>
      </c>
      <c r="C79" s="48" t="n">
        <f aca="false">C77-C78</f>
        <v>1</v>
      </c>
      <c r="D79" s="6" t="s">
        <v>104</v>
      </c>
      <c r="E79" s="6" t="s">
        <v>210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43" t="n">
        <v>2.1</v>
      </c>
      <c r="D80" s="6" t="s">
        <v>104</v>
      </c>
      <c r="E80" s="6" t="s">
        <v>212</v>
      </c>
    </row>
    <row r="81" customFormat="false" ht="15" hidden="false" customHeight="false" outlineLevel="0" collapsed="false">
      <c r="A81" s="5" t="n">
        <v>77</v>
      </c>
      <c r="B81" s="6" t="s">
        <v>213</v>
      </c>
      <c r="C81" s="48" t="n">
        <f aca="false">C77-C80</f>
        <v>1.4</v>
      </c>
      <c r="D81" s="6" t="s">
        <v>104</v>
      </c>
      <c r="E81" s="6" t="s">
        <v>214</v>
      </c>
    </row>
    <row r="82" customFormat="false" ht="15" hidden="false" customHeight="false" outlineLevel="0" collapsed="false">
      <c r="A82" s="5" t="n">
        <v>78</v>
      </c>
      <c r="B82" s="6" t="s">
        <v>215</v>
      </c>
      <c r="C82" s="43" t="n">
        <v>0.9</v>
      </c>
      <c r="D82" s="6" t="s">
        <v>104</v>
      </c>
      <c r="E82" s="6" t="s">
        <v>216</v>
      </c>
    </row>
    <row r="83" customFormat="false" ht="15" hidden="false" customHeight="false" outlineLevel="0" collapsed="false">
      <c r="A83" s="5" t="n">
        <v>79</v>
      </c>
      <c r="B83" s="6" t="s">
        <v>217</v>
      </c>
      <c r="C83" s="49" t="n">
        <f aca="false">C77</f>
        <v>3.5</v>
      </c>
      <c r="D83" s="6" t="s">
        <v>104</v>
      </c>
      <c r="E83" s="6" t="s">
        <v>218</v>
      </c>
    </row>
    <row r="84" customFormat="false" ht="15" hidden="false" customHeight="false" outlineLevel="0" collapsed="false">
      <c r="A84" s="5" t="n">
        <v>80</v>
      </c>
      <c r="B84" s="6" t="s">
        <v>219</v>
      </c>
      <c r="C84" s="43" t="n">
        <v>2.5</v>
      </c>
      <c r="D84" s="6" t="s">
        <v>104</v>
      </c>
      <c r="E84" s="6" t="s">
        <v>97</v>
      </c>
    </row>
    <row r="86" customFormat="false" ht="15" hidden="false" customHeight="false" outlineLevel="0" collapsed="false">
      <c r="B86" s="3" t="s">
        <v>220</v>
      </c>
    </row>
    <row r="87" customFormat="false" ht="15" hidden="false" customHeight="false" outlineLevel="0" collapsed="false">
      <c r="B87" s="2" t="s">
        <v>221</v>
      </c>
    </row>
    <row r="88" customFormat="false" ht="15" hidden="false" customHeight="false" outlineLevel="0" collapsed="false">
      <c r="B88" s="2" t="s">
        <v>222</v>
      </c>
    </row>
    <row r="89" customFormat="false" ht="15" hidden="false" customHeight="false" outlineLevel="0" collapsed="false">
      <c r="B89" s="2" t="s">
        <v>223</v>
      </c>
    </row>
    <row r="90" customFormat="false" ht="15" hidden="false" customHeight="false" outlineLevel="0" collapsed="false">
      <c r="B90" s="2" t="s">
        <v>224</v>
      </c>
    </row>
    <row r="91" customFormat="false" ht="15" hidden="false" customHeight="false" outlineLevel="0" collapsed="false">
      <c r="B91" s="2" t="s">
        <v>225</v>
      </c>
    </row>
    <row r="92" customFormat="false" ht="15" hidden="false" customHeight="false" outlineLevel="0" collapsed="false">
      <c r="B92" s="2" t="s">
        <v>226</v>
      </c>
    </row>
    <row r="93" customFormat="false" ht="15" hidden="false" customHeight="false" outlineLevel="0" collapsed="false">
      <c r="B93" s="2" t="s">
        <v>227</v>
      </c>
    </row>
    <row r="94" customFormat="false" ht="15" hidden="false" customHeight="false" outlineLevel="0" collapsed="false">
      <c r="B94" s="2" t="s">
        <v>228</v>
      </c>
    </row>
    <row r="95" customFormat="false" ht="15" hidden="false" customHeight="false" outlineLevel="0" collapsed="false">
      <c r="B95" s="2" t="s">
        <v>229</v>
      </c>
    </row>
    <row r="96" customFormat="false" ht="15" hidden="false" customHeight="false" outlineLevel="0" collapsed="false">
      <c r="B96" s="2" t="s">
        <v>230</v>
      </c>
    </row>
    <row r="97" customFormat="false" ht="15" hidden="false" customHeight="false" outlineLevel="0" collapsed="false">
      <c r="B97" s="2" t="s">
        <v>231</v>
      </c>
    </row>
    <row r="98" customFormat="false" ht="15" hidden="false" customHeight="false" outlineLevel="0" collapsed="false">
      <c r="B98" s="2" t="s">
        <v>232</v>
      </c>
    </row>
    <row r="99" customFormat="false" ht="15" hidden="false" customHeight="false" outlineLevel="0" collapsed="false">
      <c r="B99" s="2" t="s">
        <v>233</v>
      </c>
    </row>
    <row r="100" customFormat="false" ht="15" hidden="false" customHeight="false" outlineLevel="0" collapsed="false">
      <c r="B100" s="2" t="s">
        <v>234</v>
      </c>
    </row>
    <row r="101" customFormat="false" ht="15" hidden="false" customHeight="false" outlineLevel="0" collapsed="false">
      <c r="B101" s="2" t="s">
        <v>235</v>
      </c>
    </row>
    <row r="102" customFormat="false" ht="15" hidden="false" customHeight="false" outlineLevel="0" collapsed="false">
      <c r="B102" s="2" t="s">
        <v>236</v>
      </c>
    </row>
    <row r="103" customFormat="false" ht="15" hidden="false" customHeight="false" outlineLevel="0" collapsed="false">
      <c r="B103" s="2" t="s">
        <v>237</v>
      </c>
    </row>
    <row r="104" customFormat="false" ht="15" hidden="false" customHeight="false" outlineLevel="0" collapsed="false">
      <c r="B104" s="2" t="s">
        <v>238</v>
      </c>
    </row>
    <row r="105" customFormat="false" ht="15" hidden="false" customHeight="false" outlineLevel="0" collapsed="false">
      <c r="B105" s="2" t="s">
        <v>239</v>
      </c>
    </row>
    <row r="106" customFormat="false" ht="15" hidden="false" customHeight="false" outlineLevel="0" collapsed="false">
      <c r="B106" s="2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243</v>
      </c>
      <c r="D4" s="4" t="s">
        <v>244</v>
      </c>
      <c r="E4" s="4" t="s">
        <v>245</v>
      </c>
      <c r="F4" s="4" t="s">
        <v>246</v>
      </c>
      <c r="G4" s="4" t="s">
        <v>247</v>
      </c>
      <c r="H4" s="4" t="s">
        <v>94</v>
      </c>
      <c r="I4" s="4" t="s">
        <v>248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249</v>
      </c>
      <c r="E6" s="50"/>
      <c r="F6" s="51"/>
      <c r="G6" s="52" t="n">
        <v>1</v>
      </c>
      <c r="H6" s="5" t="s">
        <v>113</v>
      </c>
      <c r="I6" s="7" t="n">
        <f aca="false">Narxlar!$C$67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250</v>
      </c>
      <c r="E7" s="50"/>
      <c r="F7" s="51"/>
      <c r="G7" s="52" t="n">
        <v>1</v>
      </c>
      <c r="H7" s="5" t="s">
        <v>113</v>
      </c>
      <c r="I7" s="7" t="n">
        <f aca="false">Narxlar!$C$68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251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252</v>
      </c>
      <c r="E9" s="50"/>
      <c r="F9" s="51"/>
      <c r="G9" s="52" t="n">
        <v>1</v>
      </c>
      <c r="H9" s="5" t="s">
        <v>253</v>
      </c>
      <c r="I9" s="7" t="n">
        <f aca="false">Narxlar!$C$66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254</v>
      </c>
      <c r="E10" s="50"/>
      <c r="F10" s="51"/>
      <c r="G10" s="52" t="n">
        <v>1</v>
      </c>
      <c r="H10" s="5" t="s">
        <v>113</v>
      </c>
      <c r="I10" s="7" t="n">
        <f aca="false">Narxlar!$C$56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255</v>
      </c>
      <c r="E11" s="50"/>
      <c r="F11" s="51"/>
      <c r="G11" s="52" t="n">
        <v>1</v>
      </c>
      <c r="H11" s="5" t="s">
        <v>113</v>
      </c>
      <c r="I11" s="7" t="n">
        <f aca="false">Narxlar!$C$58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183</v>
      </c>
      <c r="E12" s="50"/>
      <c r="F12" s="51"/>
      <c r="G12" s="52" t="n">
        <v>1</v>
      </c>
      <c r="H12" s="5" t="s">
        <v>113</v>
      </c>
      <c r="I12" s="7" t="n">
        <f aca="false">Narxlar!$C$60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256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257</v>
      </c>
      <c r="E16" s="50" t="n">
        <v>4.6</v>
      </c>
      <c r="F16" s="31" t="n">
        <f aca="false">Narxlar!$C$78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258</v>
      </c>
      <c r="E17" s="31" t="n">
        <f aca="false">Narxlar!$C$82</f>
        <v>0.9</v>
      </c>
      <c r="F17" s="31" t="n">
        <f aca="false">Narxlar!$C$78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259</v>
      </c>
      <c r="E18" s="50" t="n">
        <v>0.3</v>
      </c>
      <c r="F18" s="31" t="n">
        <f aca="false">Narxlar!$C$77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260</v>
      </c>
      <c r="E19" s="50" t="n">
        <v>4.6</v>
      </c>
      <c r="F19" s="31" t="n">
        <f aca="false">Narxlar!$C$79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261</v>
      </c>
      <c r="E20" s="50" t="n">
        <v>0.2</v>
      </c>
      <c r="F20" s="31" t="n">
        <f aca="false">Narxlar!$C$77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262</v>
      </c>
      <c r="E21" s="31" t="n">
        <f aca="false">Narxlar!$C$82</f>
        <v>0.9</v>
      </c>
      <c r="F21" s="31" t="n">
        <f aca="false">Narxlar!$C$79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263</v>
      </c>
      <c r="E22" s="50" t="n">
        <v>7.7</v>
      </c>
      <c r="F22" s="31" t="n">
        <f aca="false">Narxlar!$C$83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264</v>
      </c>
      <c r="E23" s="50" t="n">
        <v>7.7</v>
      </c>
      <c r="F23" s="31" t="n">
        <f aca="false">Narxlar!$C$83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265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266</v>
      </c>
      <c r="E25" s="50"/>
      <c r="F25" s="51"/>
      <c r="G25" s="52" t="n">
        <v>1</v>
      </c>
      <c r="H25" s="5" t="s">
        <v>253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4"/>
      <c r="B26" s="54"/>
      <c r="C26" s="54"/>
      <c r="D26" s="11" t="s">
        <v>267</v>
      </c>
      <c r="E26" s="54"/>
      <c r="F26" s="54"/>
      <c r="G26" s="54"/>
      <c r="H26" s="54"/>
      <c r="I26" s="54"/>
      <c r="J26" s="12" t="n">
        <f aca="false">SUM(J16:J25)</f>
        <v>2878.7</v>
      </c>
    </row>
    <row r="28" customFormat="false" ht="15" hidden="false" customHeight="false" outlineLevel="0" collapsed="false">
      <c r="A28" s="29" t="s">
        <v>64</v>
      </c>
      <c r="B28" s="30"/>
      <c r="C28" s="30"/>
      <c r="D28" s="30"/>
      <c r="E28" s="30"/>
      <c r="F28" s="30"/>
      <c r="G28" s="30"/>
      <c r="H28" s="30"/>
      <c r="I28" s="30"/>
      <c r="J28" s="30"/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257</v>
      </c>
      <c r="E29" s="50" t="n">
        <v>4.7</v>
      </c>
      <c r="F29" s="31" t="n">
        <f aca="false">Narxlar!$C$78</f>
        <v>2.5</v>
      </c>
      <c r="G29" s="51" t="n">
        <f aca="false">E29*F29</f>
        <v>11.75</v>
      </c>
      <c r="H29" s="5" t="s">
        <v>157</v>
      </c>
      <c r="I29" s="7" t="n">
        <f aca="false">Narxlar!$C$5</f>
        <v>55</v>
      </c>
      <c r="J29" s="53" t="n">
        <f aca="false">G29*I29</f>
        <v>646.25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258</v>
      </c>
      <c r="E30" s="31" t="n">
        <f aca="false">Narxlar!$C$82</f>
        <v>0.9</v>
      </c>
      <c r="F30" s="31" t="n">
        <f aca="false">Narxlar!$C$78</f>
        <v>2.5</v>
      </c>
      <c r="G30" s="51" t="n">
        <f aca="false">E30*F30</f>
        <v>2.25</v>
      </c>
      <c r="H30" s="5" t="s">
        <v>157</v>
      </c>
      <c r="I30" s="7" t="n">
        <f aca="false">Narxlar!$C$5</f>
        <v>55</v>
      </c>
      <c r="J30" s="53" t="n">
        <f aca="false">G30*I30</f>
        <v>123.75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260</v>
      </c>
      <c r="E31" s="50" t="n">
        <v>4.7</v>
      </c>
      <c r="F31" s="31" t="n">
        <f aca="false">Narxlar!$C$79</f>
        <v>1</v>
      </c>
      <c r="G31" s="51" t="n">
        <f aca="false">E31*F31</f>
        <v>4.7</v>
      </c>
      <c r="H31" s="5" t="s">
        <v>157</v>
      </c>
      <c r="I31" s="7" t="n">
        <f aca="false">Narxlar!$C$6</f>
        <v>12</v>
      </c>
      <c r="J31" s="53" t="n">
        <f aca="false">G31*I31</f>
        <v>56.4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261</v>
      </c>
      <c r="E32" s="50" t="n">
        <v>0.2</v>
      </c>
      <c r="F32" s="31" t="n">
        <f aca="false">Narxlar!$C$77</f>
        <v>3.5</v>
      </c>
      <c r="G32" s="51" t="n">
        <f aca="false">E32*F32</f>
        <v>0.7</v>
      </c>
      <c r="H32" s="5" t="s">
        <v>157</v>
      </c>
      <c r="I32" s="7" t="n">
        <f aca="false">Narxlar!$C$6</f>
        <v>12</v>
      </c>
      <c r="J32" s="53" t="n">
        <f aca="false">G32*I32</f>
        <v>8.4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262</v>
      </c>
      <c r="E33" s="31" t="n">
        <f aca="false">Narxlar!$C$82</f>
        <v>0.9</v>
      </c>
      <c r="F33" s="31" t="n">
        <f aca="false">Narxlar!$C$79</f>
        <v>1</v>
      </c>
      <c r="G33" s="51" t="n">
        <f aca="false">E33*F33</f>
        <v>0.9</v>
      </c>
      <c r="H33" s="5" t="s">
        <v>157</v>
      </c>
      <c r="I33" s="7" t="n">
        <f aca="false">Narxlar!$C$6</f>
        <v>12</v>
      </c>
      <c r="J33" s="53" t="n">
        <f aca="false">G33*I33</f>
        <v>10.8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263</v>
      </c>
      <c r="E34" s="50" t="n">
        <v>7.7</v>
      </c>
      <c r="F34" s="31" t="n">
        <f aca="false">Narxlar!$C$83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264</v>
      </c>
      <c r="E35" s="50" t="n">
        <v>7.7</v>
      </c>
      <c r="F35" s="31" t="n">
        <f aca="false">Narxlar!$C$83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11</v>
      </c>
      <c r="D36" s="6" t="s">
        <v>265</v>
      </c>
      <c r="E36" s="50"/>
      <c r="F36" s="51"/>
      <c r="G36" s="52" t="n">
        <v>1</v>
      </c>
      <c r="H36" s="5" t="s">
        <v>113</v>
      </c>
      <c r="I36" s="7" t="n">
        <f aca="false">Narxlar!$C$8</f>
        <v>1032</v>
      </c>
      <c r="J36" s="53" t="n">
        <f aca="false">G36*I36</f>
        <v>1032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13</v>
      </c>
      <c r="D37" s="6" t="s">
        <v>266</v>
      </c>
      <c r="E37" s="50"/>
      <c r="F37" s="51"/>
      <c r="G37" s="52" t="n">
        <v>1</v>
      </c>
      <c r="H37" s="5" t="s">
        <v>253</v>
      </c>
      <c r="I37" s="7" t="n">
        <f aca="false">Narxlar!$C$12</f>
        <v>168</v>
      </c>
      <c r="J37" s="53" t="n">
        <f aca="false">G37*I37</f>
        <v>168</v>
      </c>
    </row>
    <row r="38" customFormat="false" ht="15" hidden="false" customHeight="false" outlineLevel="0" collapsed="false">
      <c r="A38" s="54"/>
      <c r="B38" s="54"/>
      <c r="C38" s="54"/>
      <c r="D38" s="11" t="s">
        <v>268</v>
      </c>
      <c r="E38" s="54"/>
      <c r="F38" s="54"/>
      <c r="G38" s="54"/>
      <c r="H38" s="54"/>
      <c r="I38" s="54"/>
      <c r="J38" s="12" t="n">
        <f aca="false">SUM(J29:J37)</f>
        <v>2881.05</v>
      </c>
    </row>
    <row r="40" customFormat="false" ht="15" hidden="false" customHeight="false" outlineLevel="0" collapsed="false">
      <c r="A40" s="29" t="s">
        <v>65</v>
      </c>
      <c r="B40" s="30"/>
      <c r="C40" s="30"/>
      <c r="D40" s="30"/>
      <c r="E40" s="30"/>
      <c r="F40" s="30"/>
      <c r="G40" s="30"/>
      <c r="H40" s="30"/>
      <c r="I40" s="30"/>
      <c r="J40" s="30"/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8</v>
      </c>
      <c r="D41" s="6" t="s">
        <v>258</v>
      </c>
      <c r="E41" s="31" t="n">
        <f aca="false">Narxlar!$C$82</f>
        <v>0.9</v>
      </c>
      <c r="F41" s="31" t="n">
        <f aca="false">Narxlar!$C$78</f>
        <v>2.5</v>
      </c>
      <c r="G41" s="51" t="n">
        <f aca="false">E41*F41</f>
        <v>2.25</v>
      </c>
      <c r="H41" s="5" t="s">
        <v>157</v>
      </c>
      <c r="I41" s="7" t="n">
        <f aca="false">Narxlar!$C$5</f>
        <v>55</v>
      </c>
      <c r="J41" s="53" t="n">
        <f aca="false">G41*I41</f>
        <v>123.75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261</v>
      </c>
      <c r="E42" s="50" t="n">
        <v>0.15</v>
      </c>
      <c r="F42" s="31" t="n">
        <f aca="false">Narxlar!$C$77</f>
        <v>3.5</v>
      </c>
      <c r="G42" s="51" t="n">
        <f aca="false">E42*F42</f>
        <v>0.525</v>
      </c>
      <c r="H42" s="5" t="s">
        <v>157</v>
      </c>
      <c r="I42" s="7" t="n">
        <f aca="false">Narxlar!$C$6</f>
        <v>12</v>
      </c>
      <c r="J42" s="53" t="n">
        <f aca="false">G42*I42</f>
        <v>6.3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269</v>
      </c>
      <c r="E43" s="50" t="n">
        <v>4.7</v>
      </c>
      <c r="F43" s="31" t="n">
        <f aca="false">Narxlar!$C$77</f>
        <v>3.5</v>
      </c>
      <c r="G43" s="51" t="n">
        <f aca="false">E43*F43</f>
        <v>16.45</v>
      </c>
      <c r="H43" s="5" t="s">
        <v>157</v>
      </c>
      <c r="I43" s="7" t="n">
        <f aca="false">Narxlar!$C$6</f>
        <v>12</v>
      </c>
      <c r="J43" s="53" t="n">
        <f aca="false">G43*I43</f>
        <v>197.4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262</v>
      </c>
      <c r="E44" s="31" t="n">
        <f aca="false">Narxlar!$C$82</f>
        <v>0.9</v>
      </c>
      <c r="F44" s="31" t="n">
        <f aca="false">Narxlar!$C$79</f>
        <v>1</v>
      </c>
      <c r="G44" s="51" t="n">
        <f aca="false">E44*F44</f>
        <v>0.9</v>
      </c>
      <c r="H44" s="5" t="s">
        <v>157</v>
      </c>
      <c r="I44" s="7" t="n">
        <f aca="false">Narxlar!$C$6</f>
        <v>12</v>
      </c>
      <c r="J44" s="53" t="n">
        <f aca="false">G44*I44</f>
        <v>10.8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263</v>
      </c>
      <c r="E45" s="50" t="n">
        <v>7.7</v>
      </c>
      <c r="F45" s="31" t="n">
        <f aca="false">Narxlar!$C$83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10</v>
      </c>
      <c r="D46" s="6" t="s">
        <v>264</v>
      </c>
      <c r="E46" s="50" t="n">
        <v>7.7</v>
      </c>
      <c r="F46" s="31" t="n">
        <f aca="false">Narxlar!$C$83</f>
        <v>3.5</v>
      </c>
      <c r="G46" s="51" t="n">
        <f aca="false">E46*F46</f>
        <v>26.95</v>
      </c>
      <c r="H46" s="5" t="s">
        <v>157</v>
      </c>
      <c r="I46" s="7" t="n">
        <f aca="false">Narxlar!$C$7</f>
        <v>15.5</v>
      </c>
      <c r="J46" s="53" t="n">
        <f aca="false">G46*I46</f>
        <v>417.725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11</v>
      </c>
      <c r="D47" s="6" t="s">
        <v>265</v>
      </c>
      <c r="E47" s="50"/>
      <c r="F47" s="51"/>
      <c r="G47" s="52" t="n">
        <v>1</v>
      </c>
      <c r="H47" s="5" t="s">
        <v>113</v>
      </c>
      <c r="I47" s="7" t="n">
        <f aca="false">Narxlar!$C$8</f>
        <v>1032</v>
      </c>
      <c r="J47" s="53" t="n">
        <f aca="false">G47*I47</f>
        <v>1032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13</v>
      </c>
      <c r="D48" s="6" t="s">
        <v>266</v>
      </c>
      <c r="E48" s="50"/>
      <c r="F48" s="51"/>
      <c r="G48" s="52" t="n">
        <v>1</v>
      </c>
      <c r="H48" s="5" t="s">
        <v>253</v>
      </c>
      <c r="I48" s="7" t="n">
        <f aca="false">Narxlar!$C$12</f>
        <v>168</v>
      </c>
      <c r="J48" s="53" t="n">
        <f aca="false">G48*I48</f>
        <v>168</v>
      </c>
    </row>
    <row r="49" customFormat="false" ht="15" hidden="false" customHeight="false" outlineLevel="0" collapsed="false">
      <c r="A49" s="54"/>
      <c r="B49" s="54"/>
      <c r="C49" s="54"/>
      <c r="D49" s="11" t="s">
        <v>270</v>
      </c>
      <c r="E49" s="54"/>
      <c r="F49" s="54"/>
      <c r="G49" s="54"/>
      <c r="H49" s="54"/>
      <c r="I49" s="54"/>
      <c r="J49" s="12" t="n">
        <f aca="false">SUM(J41:J48)</f>
        <v>2373.7</v>
      </c>
    </row>
    <row r="51" customFormat="false" ht="15" hidden="false" customHeight="false" outlineLevel="0" collapsed="false">
      <c r="A51" s="29" t="s">
        <v>66</v>
      </c>
      <c r="B51" s="30"/>
      <c r="C51" s="30"/>
      <c r="D51" s="30"/>
      <c r="E51" s="30"/>
      <c r="F51" s="30"/>
      <c r="G51" s="30"/>
      <c r="H51" s="30"/>
      <c r="I51" s="30"/>
      <c r="J51" s="30"/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271</v>
      </c>
      <c r="E52" s="31" t="n">
        <f aca="false">Narxlar!$C$82</f>
        <v>0.9</v>
      </c>
      <c r="F52" s="31" t="n">
        <f aca="false">Narxlar!$C$78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272</v>
      </c>
      <c r="E53" s="50" t="n">
        <v>1</v>
      </c>
      <c r="F53" s="31" t="n">
        <f aca="false">Narxlar!$C$77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273</v>
      </c>
      <c r="E54" s="50" t="n">
        <v>4.5</v>
      </c>
      <c r="F54" s="31" t="n">
        <f aca="false">Narxlar!$C$77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274</v>
      </c>
      <c r="E55" s="50" t="n">
        <v>1.5</v>
      </c>
      <c r="F55" s="31" t="n">
        <f aca="false">Narxlar!$C$77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275</v>
      </c>
      <c r="E56" s="50" t="n">
        <v>1.15</v>
      </c>
      <c r="F56" s="31" t="n">
        <f aca="false">Narxlar!$C$77</f>
        <v>3.5</v>
      </c>
      <c r="G56" s="51" t="n">
        <f aca="false">E56*F56</f>
        <v>4.025</v>
      </c>
      <c r="H56" s="5" t="s">
        <v>157</v>
      </c>
      <c r="I56" s="7" t="n">
        <f aca="false">Narxlar!$C$6</f>
        <v>12</v>
      </c>
      <c r="J56" s="53" t="n">
        <f aca="false">G56*I56</f>
        <v>48.3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276</v>
      </c>
      <c r="E57" s="50" t="n">
        <v>0.1</v>
      </c>
      <c r="F57" s="31" t="n">
        <f aca="false">Narxlar!$C$77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277</v>
      </c>
      <c r="E58" s="50" t="n">
        <v>0.1</v>
      </c>
      <c r="F58" s="31" t="n">
        <f aca="false">Narxlar!$C$77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277</v>
      </c>
      <c r="E59" s="50" t="n">
        <v>0.25</v>
      </c>
      <c r="F59" s="31" t="n">
        <f aca="false">Narxlar!$C$77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278</v>
      </c>
      <c r="E60" s="50" t="n">
        <v>1.5</v>
      </c>
      <c r="F60" s="31" t="n">
        <f aca="false">Narxlar!$C$77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279</v>
      </c>
      <c r="E61" s="50" t="n">
        <v>4.5</v>
      </c>
      <c r="F61" s="31" t="n">
        <f aca="false">Narxlar!$C$77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280</v>
      </c>
      <c r="E62" s="31" t="n">
        <f aca="false">Narxlar!$C$82</f>
        <v>0.9</v>
      </c>
      <c r="F62" s="31" t="n">
        <f aca="false">Narxlar!$C$79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263</v>
      </c>
      <c r="E63" s="50" t="n">
        <v>8.8</v>
      </c>
      <c r="F63" s="31" t="n">
        <f aca="false">Narxlar!$C$83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281</v>
      </c>
      <c r="E64" s="50" t="n">
        <v>5.6</v>
      </c>
      <c r="F64" s="31" t="n">
        <f aca="false">Narxlar!$C$83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265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266</v>
      </c>
      <c r="E66" s="50"/>
      <c r="F66" s="51"/>
      <c r="G66" s="52" t="n">
        <v>1</v>
      </c>
      <c r="H66" s="5" t="s">
        <v>253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282</v>
      </c>
      <c r="E67" s="54"/>
      <c r="F67" s="54"/>
      <c r="G67" s="54"/>
      <c r="H67" s="54"/>
      <c r="I67" s="54"/>
      <c r="J67" s="12" t="n">
        <f aca="false">SUM(J52:J66)</f>
        <v>2728.95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271</v>
      </c>
      <c r="E70" s="31" t="n">
        <f aca="false">Narxlar!$C$82</f>
        <v>0.9</v>
      </c>
      <c r="F70" s="31" t="n">
        <f aca="false">Narxlar!$C$78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283</v>
      </c>
      <c r="E71" s="50" t="n">
        <v>2.75</v>
      </c>
      <c r="F71" s="31" t="n">
        <f aca="false">Narxlar!$C$77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277</v>
      </c>
      <c r="E72" s="50" t="n">
        <v>0.15</v>
      </c>
      <c r="F72" s="31" t="n">
        <f aca="false">Narxlar!$C$77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284</v>
      </c>
      <c r="E73" s="50" t="n">
        <v>4.7</v>
      </c>
      <c r="F73" s="31" t="n">
        <f aca="false">Narxlar!$C$77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280</v>
      </c>
      <c r="E74" s="31" t="n">
        <f aca="false">Narxlar!$C$82</f>
        <v>0.9</v>
      </c>
      <c r="F74" s="31" t="n">
        <f aca="false">Narxlar!$C$79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263</v>
      </c>
      <c r="E75" s="50" t="n">
        <v>7.7</v>
      </c>
      <c r="F75" s="31" t="n">
        <f aca="false">Narxlar!$C$83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264</v>
      </c>
      <c r="E76" s="50" t="n">
        <v>7.7</v>
      </c>
      <c r="F76" s="31" t="n">
        <f aca="false">Narxlar!$C$83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265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266</v>
      </c>
      <c r="E78" s="50"/>
      <c r="F78" s="51"/>
      <c r="G78" s="52" t="n">
        <v>1</v>
      </c>
      <c r="H78" s="5" t="s">
        <v>253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285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286</v>
      </c>
      <c r="E82" s="50" t="n">
        <v>4.7</v>
      </c>
      <c r="F82" s="31" t="n">
        <f aca="false">Narxlar!$C$78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271</v>
      </c>
      <c r="E83" s="31" t="n">
        <f aca="false">Narxlar!$C$82</f>
        <v>0.9</v>
      </c>
      <c r="F83" s="31" t="n">
        <f aca="false">Narxlar!$C$78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287</v>
      </c>
      <c r="E84" s="50" t="n">
        <v>2.75</v>
      </c>
      <c r="F84" s="31" t="n">
        <f aca="false">Narxlar!$C$77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288</v>
      </c>
      <c r="E85" s="50" t="n">
        <v>2.75</v>
      </c>
      <c r="F85" s="31" t="n">
        <f aca="false">Narxlar!$C$77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277</v>
      </c>
      <c r="E86" s="50" t="n">
        <v>0.2</v>
      </c>
      <c r="F86" s="31" t="n">
        <f aca="false">Narxlar!$C$77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289</v>
      </c>
      <c r="E87" s="50" t="n">
        <v>4.7</v>
      </c>
      <c r="F87" s="31" t="n">
        <f aca="false">Narxlar!$C$79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280</v>
      </c>
      <c r="E88" s="31" t="n">
        <f aca="false">Narxlar!$C$82</f>
        <v>0.9</v>
      </c>
      <c r="F88" s="31" t="n">
        <f aca="false">Narxlar!$C$79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263</v>
      </c>
      <c r="E89" s="50" t="n">
        <v>7.7</v>
      </c>
      <c r="F89" s="31" t="n">
        <f aca="false">Narxlar!$C$83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264</v>
      </c>
      <c r="E90" s="50" t="n">
        <v>7.7</v>
      </c>
      <c r="F90" s="31" t="n">
        <f aca="false">Narxlar!$C$83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265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266</v>
      </c>
      <c r="E92" s="50"/>
      <c r="F92" s="51"/>
      <c r="G92" s="52" t="n">
        <v>1</v>
      </c>
      <c r="H92" s="5" t="s">
        <v>253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290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286</v>
      </c>
      <c r="E96" s="50" t="n">
        <v>4.7</v>
      </c>
      <c r="F96" s="31" t="n">
        <f aca="false">Narxlar!$C$78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271</v>
      </c>
      <c r="E97" s="31" t="n">
        <f aca="false">Narxlar!$C$82</f>
        <v>0.9</v>
      </c>
      <c r="F97" s="31" t="n">
        <f aca="false">Narxlar!$C$78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259</v>
      </c>
      <c r="E98" s="50" t="n">
        <v>1.55</v>
      </c>
      <c r="F98" s="31" t="n">
        <f aca="false">Narxlar!$C$77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291</v>
      </c>
      <c r="E99" s="50" t="n">
        <v>2.6</v>
      </c>
      <c r="F99" s="31" t="n">
        <f aca="false">Narxlar!$C$77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283</v>
      </c>
      <c r="E100" s="50" t="n">
        <v>2.75</v>
      </c>
      <c r="F100" s="31" t="n">
        <f aca="false">Narxlar!$C$77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277</v>
      </c>
      <c r="E101" s="50" t="n">
        <v>0.2</v>
      </c>
      <c r="F101" s="31" t="n">
        <f aca="false">Narxlar!$C$77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289</v>
      </c>
      <c r="E102" s="50" t="n">
        <v>4.7</v>
      </c>
      <c r="F102" s="31" t="n">
        <f aca="false">Narxlar!$C$79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280</v>
      </c>
      <c r="E103" s="31" t="n">
        <f aca="false">Narxlar!$C$82</f>
        <v>0.9</v>
      </c>
      <c r="F103" s="31" t="n">
        <f aca="false">Narxlar!$C$79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263</v>
      </c>
      <c r="E104" s="50" t="n">
        <v>7.7</v>
      </c>
      <c r="F104" s="31" t="n">
        <f aca="false">Narxlar!$C$83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264</v>
      </c>
      <c r="E105" s="50" t="n">
        <v>7.7</v>
      </c>
      <c r="F105" s="31" t="n">
        <f aca="false">Narxlar!$C$83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265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266</v>
      </c>
      <c r="E107" s="50"/>
      <c r="F107" s="51"/>
      <c r="G107" s="52" t="n">
        <v>1</v>
      </c>
      <c r="H107" s="5" t="s">
        <v>253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292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286</v>
      </c>
      <c r="E111" s="50" t="n">
        <v>0.15</v>
      </c>
      <c r="F111" s="31" t="n">
        <f aca="false">Narxlar!$C$78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286</v>
      </c>
      <c r="E112" s="50" t="n">
        <v>1.75</v>
      </c>
      <c r="F112" s="31" t="n">
        <f aca="false">Narxlar!$C$78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271</v>
      </c>
      <c r="E113" s="31" t="n">
        <f aca="false">Narxlar!$C$82</f>
        <v>0.9</v>
      </c>
      <c r="F113" s="31" t="n">
        <f aca="false">Narxlar!$C$78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259</v>
      </c>
      <c r="E114" s="50" t="n">
        <v>0.6</v>
      </c>
      <c r="F114" s="31" t="n">
        <f aca="false">Narxlar!$C$77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275</v>
      </c>
      <c r="E115" s="50" t="n">
        <v>2.8</v>
      </c>
      <c r="F115" s="31" t="n">
        <f aca="false">Narxlar!$C$77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293</v>
      </c>
      <c r="E116" s="50" t="n">
        <v>5.6</v>
      </c>
      <c r="F116" s="31" t="n">
        <f aca="false">Narxlar!$C$77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289</v>
      </c>
      <c r="E117" s="50" t="n">
        <v>0.15</v>
      </c>
      <c r="F117" s="31" t="n">
        <f aca="false">Narxlar!$C$79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289</v>
      </c>
      <c r="E118" s="50" t="n">
        <v>1.75</v>
      </c>
      <c r="F118" s="31" t="n">
        <f aca="false">Narxlar!$C$79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280</v>
      </c>
      <c r="E119" s="31" t="n">
        <f aca="false">Narxlar!$C$82</f>
        <v>0.9</v>
      </c>
      <c r="F119" s="31" t="n">
        <f aca="false">Narxlar!$C$79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294</v>
      </c>
      <c r="E120" s="50" t="n">
        <v>5.6</v>
      </c>
      <c r="F120" s="31" t="n">
        <f aca="false">Narxlar!$C$83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293</v>
      </c>
      <c r="E121" s="50" t="n">
        <v>5.6</v>
      </c>
      <c r="F121" s="31" t="n">
        <f aca="false">Narxlar!$C$83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266</v>
      </c>
      <c r="E122" s="50"/>
      <c r="F122" s="51"/>
      <c r="G122" s="52" t="n">
        <v>1</v>
      </c>
      <c r="H122" s="5" t="s">
        <v>253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295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296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297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298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299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300</v>
      </c>
      <c r="E128" s="50"/>
      <c r="F128" s="51"/>
      <c r="G128" s="52" t="n">
        <v>1</v>
      </c>
      <c r="H128" s="5" t="s">
        <v>253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301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286</v>
      </c>
      <c r="E132" s="50" t="n">
        <v>0.15</v>
      </c>
      <c r="F132" s="31" t="n">
        <f aca="false">Narxlar!$C$78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286</v>
      </c>
      <c r="E133" s="50" t="n">
        <v>1.75</v>
      </c>
      <c r="F133" s="31" t="n">
        <f aca="false">Narxlar!$C$78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271</v>
      </c>
      <c r="E134" s="31" t="n">
        <f aca="false">Narxlar!$C$82</f>
        <v>0.9</v>
      </c>
      <c r="F134" s="31" t="n">
        <f aca="false">Narxlar!$C$78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302</v>
      </c>
      <c r="E135" s="50" t="n">
        <v>0.9</v>
      </c>
      <c r="F135" s="31" t="n">
        <f aca="false">Narxlar!$C$77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275</v>
      </c>
      <c r="E136" s="50" t="n">
        <v>2.8</v>
      </c>
      <c r="F136" s="31" t="n">
        <f aca="false">Narxlar!$C$77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303</v>
      </c>
      <c r="E137" s="50" t="n">
        <v>5.6</v>
      </c>
      <c r="F137" s="31" t="n">
        <f aca="false">Narxlar!$C$77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289</v>
      </c>
      <c r="E138" s="50" t="n">
        <v>0.15</v>
      </c>
      <c r="F138" s="31" t="n">
        <f aca="false">Narxlar!$C$79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289</v>
      </c>
      <c r="E139" s="50" t="n">
        <v>1.75</v>
      </c>
      <c r="F139" s="31" t="n">
        <f aca="false">Narxlar!$C$79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280</v>
      </c>
      <c r="E140" s="31" t="n">
        <f aca="false">Narxlar!$C$82</f>
        <v>0.9</v>
      </c>
      <c r="F140" s="31" t="n">
        <f aca="false">Narxlar!$C$79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303</v>
      </c>
      <c r="E141" s="50" t="n">
        <v>5.6</v>
      </c>
      <c r="F141" s="31" t="n">
        <f aca="false">Narxlar!$C$83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304</v>
      </c>
      <c r="E142" s="50" t="n">
        <v>5.6</v>
      </c>
      <c r="F142" s="31" t="n">
        <f aca="false">Narxlar!$C$83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266</v>
      </c>
      <c r="E143" s="50"/>
      <c r="F143" s="51"/>
      <c r="G143" s="52" t="n">
        <v>1</v>
      </c>
      <c r="H143" s="5" t="s">
        <v>253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305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306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307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299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308</v>
      </c>
      <c r="E148" s="50"/>
      <c r="F148" s="51"/>
      <c r="G148" s="52" t="n">
        <v>1</v>
      </c>
      <c r="H148" s="5" t="s">
        <v>253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309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257</v>
      </c>
      <c r="E152" s="50" t="n">
        <v>0.15</v>
      </c>
      <c r="F152" s="31" t="n">
        <f aca="false">Narxlar!$C$78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257</v>
      </c>
      <c r="E153" s="50" t="n">
        <v>1.8</v>
      </c>
      <c r="F153" s="31" t="n">
        <f aca="false">Narxlar!$C$78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258</v>
      </c>
      <c r="E154" s="31" t="n">
        <f aca="false">Narxlar!$C$82</f>
        <v>0.9</v>
      </c>
      <c r="F154" s="31" t="n">
        <f aca="false">Narxlar!$C$78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310</v>
      </c>
      <c r="E155" s="50" t="n">
        <v>0.9</v>
      </c>
      <c r="F155" s="31" t="n">
        <f aca="false">Narxlar!$C$77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260</v>
      </c>
      <c r="E156" s="50" t="n">
        <v>0.15</v>
      </c>
      <c r="F156" s="31" t="n">
        <f aca="false">Narxlar!$C$79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260</v>
      </c>
      <c r="E157" s="50" t="n">
        <v>1.8</v>
      </c>
      <c r="F157" s="31" t="n">
        <f aca="false">Narxlar!$C$79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311</v>
      </c>
      <c r="E158" s="50" t="n">
        <v>5.6</v>
      </c>
      <c r="F158" s="31" t="n">
        <f aca="false">Narxlar!$C$77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312</v>
      </c>
      <c r="E159" s="50" t="n">
        <v>2.85</v>
      </c>
      <c r="F159" s="31" t="n">
        <f aca="false">Narxlar!$C$77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262</v>
      </c>
      <c r="E160" s="31" t="n">
        <f aca="false">Narxlar!$C$82</f>
        <v>0.9</v>
      </c>
      <c r="F160" s="31" t="n">
        <f aca="false">Narxlar!$C$79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293</v>
      </c>
      <c r="E161" s="50" t="n">
        <v>5.6</v>
      </c>
      <c r="F161" s="31" t="n">
        <f aca="false">Narxlar!$C$83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311</v>
      </c>
      <c r="E162" s="50" t="n">
        <v>5.6</v>
      </c>
      <c r="F162" s="31" t="n">
        <f aca="false">Narxlar!$C$83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266</v>
      </c>
      <c r="E163" s="50"/>
      <c r="F163" s="51"/>
      <c r="G163" s="52" t="n">
        <v>1</v>
      </c>
      <c r="H163" s="5" t="s">
        <v>253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313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257</v>
      </c>
      <c r="E167" s="50" t="n">
        <v>0.15</v>
      </c>
      <c r="F167" s="31" t="n">
        <f aca="false">Narxlar!$C$78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257</v>
      </c>
      <c r="E168" s="50" t="n">
        <v>1.8</v>
      </c>
      <c r="F168" s="31" t="n">
        <f aca="false">Narxlar!$C$78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258</v>
      </c>
      <c r="E169" s="31" t="n">
        <f aca="false">Narxlar!$C$82</f>
        <v>0.9</v>
      </c>
      <c r="F169" s="31" t="n">
        <f aca="false">Narxlar!$C$78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314</v>
      </c>
      <c r="E170" s="50" t="n">
        <v>1</v>
      </c>
      <c r="F170" s="31" t="n">
        <f aca="false">Narxlar!$C$77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260</v>
      </c>
      <c r="E171" s="50" t="n">
        <v>0.15</v>
      </c>
      <c r="F171" s="31" t="n">
        <f aca="false">Narxlar!$C$79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260</v>
      </c>
      <c r="E172" s="50" t="n">
        <v>1.8</v>
      </c>
      <c r="F172" s="31" t="n">
        <f aca="false">Narxlar!$C$79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304</v>
      </c>
      <c r="E173" s="50" t="n">
        <v>5.6</v>
      </c>
      <c r="F173" s="31" t="n">
        <f aca="false">Narxlar!$C$77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312</v>
      </c>
      <c r="E174" s="50" t="n">
        <v>2.85</v>
      </c>
      <c r="F174" s="31" t="n">
        <f aca="false">Narxlar!$C$77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262</v>
      </c>
      <c r="E175" s="31" t="n">
        <f aca="false">Narxlar!$C$82</f>
        <v>0.9</v>
      </c>
      <c r="F175" s="31" t="n">
        <f aca="false">Narxlar!$C$79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304</v>
      </c>
      <c r="E176" s="50" t="n">
        <v>5.6</v>
      </c>
      <c r="F176" s="31" t="n">
        <f aca="false">Narxlar!$C$83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315</v>
      </c>
      <c r="E177" s="50" t="n">
        <v>5.6</v>
      </c>
      <c r="F177" s="31" t="n">
        <f aca="false">Narxlar!$C$83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266</v>
      </c>
      <c r="E178" s="50"/>
      <c r="F178" s="51"/>
      <c r="G178" s="52" t="n">
        <v>1</v>
      </c>
      <c r="H178" s="5" t="s">
        <v>253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316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317</v>
      </c>
      <c r="E182" s="50" t="n">
        <v>5.95</v>
      </c>
      <c r="F182" s="31" t="n">
        <f aca="false">Narxlar!$C$83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318</v>
      </c>
      <c r="E183" s="31" t="n">
        <f aca="false">Narxlar!$C$82</f>
        <v>0.9</v>
      </c>
      <c r="F183" s="31" t="n">
        <f aca="false">Narxlar!$C$80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319</v>
      </c>
      <c r="E184" s="50" t="n">
        <v>2.95</v>
      </c>
      <c r="F184" s="31" t="n">
        <f aca="false">Narxlar!$C$83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266</v>
      </c>
      <c r="E185" s="50"/>
      <c r="F185" s="51"/>
      <c r="G185" s="52" t="n">
        <v>1</v>
      </c>
      <c r="H185" s="5" t="s">
        <v>253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320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321</v>
      </c>
      <c r="E189" s="50" t="n">
        <v>4.6</v>
      </c>
      <c r="F189" s="31" t="n">
        <f aca="false">Narxlar!$C$79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322</v>
      </c>
      <c r="E190" s="50" t="n">
        <v>0.4</v>
      </c>
      <c r="F190" s="31" t="n">
        <f aca="false">Narxlar!$C$77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323</v>
      </c>
      <c r="E191" s="50" t="n">
        <v>4.7</v>
      </c>
      <c r="F191" s="31" t="n">
        <f aca="false">Narxlar!$C$79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324</v>
      </c>
      <c r="E192" s="50" t="n">
        <v>0.55</v>
      </c>
      <c r="F192" s="31" t="n">
        <f aca="false">Narxlar!$C$77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325</v>
      </c>
      <c r="E193" s="50" t="n">
        <v>0.1</v>
      </c>
      <c r="F193" s="31" t="n">
        <f aca="false">Narxlar!$C$77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326</v>
      </c>
      <c r="E194" s="50" t="n">
        <v>1.5</v>
      </c>
      <c r="F194" s="31" t="n">
        <f aca="false">Narxlar!$C$77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327</v>
      </c>
      <c r="E195" s="50" t="n">
        <v>5.9</v>
      </c>
      <c r="F195" s="31" t="n">
        <f aca="false">Narxlar!$C$77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328</v>
      </c>
      <c r="E196" s="50" t="n">
        <v>0.15</v>
      </c>
      <c r="F196" s="31" t="n">
        <f aca="false">Narxlar!$C$79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328</v>
      </c>
      <c r="E197" s="50" t="n">
        <v>1.8</v>
      </c>
      <c r="F197" s="31" t="n">
        <f aca="false">Narxlar!$C$79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329</v>
      </c>
      <c r="E198" s="50" t="n">
        <v>0.15</v>
      </c>
      <c r="F198" s="31" t="n">
        <f aca="false">Narxlar!$C$79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329</v>
      </c>
      <c r="E199" s="50" t="n">
        <v>1.8</v>
      </c>
      <c r="F199" s="31" t="n">
        <f aca="false">Narxlar!$C$79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276</v>
      </c>
      <c r="E200" s="50" t="n">
        <v>0.2</v>
      </c>
      <c r="F200" s="31" t="n">
        <f aca="false">Narxlar!$C$77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315</v>
      </c>
      <c r="E201" s="50" t="n">
        <v>1.15</v>
      </c>
      <c r="F201" s="31" t="n">
        <f aca="false">Narxlar!$C$77</f>
        <v>3.5</v>
      </c>
      <c r="G201" s="51" t="n">
        <f aca="false">E201*F201</f>
        <v>4.025</v>
      </c>
      <c r="H201" s="5" t="s">
        <v>157</v>
      </c>
      <c r="I201" s="7" t="n">
        <f aca="false">Narxlar!$C$6</f>
        <v>12</v>
      </c>
      <c r="J201" s="53" t="n">
        <f aca="false">G201*I201</f>
        <v>48.3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330</v>
      </c>
      <c r="E202" s="31" t="n">
        <f aca="false">Narxlar!$C$82</f>
        <v>0.9</v>
      </c>
      <c r="F202" s="31" t="n">
        <f aca="false">Narxlar!$C$79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331</v>
      </c>
      <c r="E203" s="31" t="n">
        <f aca="false">Narxlar!$C$82</f>
        <v>0.9</v>
      </c>
      <c r="F203" s="31" t="n">
        <f aca="false">Narxlar!$C$79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332</v>
      </c>
      <c r="E204" s="31" t="n">
        <f aca="false">Narxlar!$C$82</f>
        <v>0.9</v>
      </c>
      <c r="F204" s="31" t="n">
        <f aca="false">Narxlar!$C$79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333</v>
      </c>
      <c r="E205" s="31" t="n">
        <f aca="false">Narxlar!$C$82</f>
        <v>0.9</v>
      </c>
      <c r="F205" s="31" t="n">
        <f aca="false">Narxlar!$C$79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334</v>
      </c>
      <c r="E206" s="31" t="n">
        <f aca="false">Narxlar!$C$82</f>
        <v>0.9</v>
      </c>
      <c r="F206" s="31" t="n">
        <f aca="false">Narxlar!$C$79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335</v>
      </c>
      <c r="E207" s="50"/>
      <c r="F207" s="51"/>
      <c r="G207" s="52" t="n">
        <v>1</v>
      </c>
      <c r="H207" s="5" t="s">
        <v>253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336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337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338</v>
      </c>
      <c r="E210" s="54"/>
      <c r="F210" s="54"/>
      <c r="G210" s="54"/>
      <c r="H210" s="54"/>
      <c r="I210" s="54"/>
      <c r="J210" s="12" t="n">
        <f aca="false">SUM(J189:J209)</f>
        <v>1330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339</v>
      </c>
      <c r="E213" s="50" t="n">
        <v>0.15</v>
      </c>
      <c r="F213" s="31" t="n">
        <f aca="false">Narxlar!$C$79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339</v>
      </c>
      <c r="E214" s="50" t="n">
        <v>1.75</v>
      </c>
      <c r="F214" s="31" t="n">
        <f aca="false">Narxlar!$C$79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340</v>
      </c>
      <c r="E215" s="50" t="n">
        <v>0.15</v>
      </c>
      <c r="F215" s="31" t="n">
        <f aca="false">Narxlar!$C$79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340</v>
      </c>
      <c r="E216" s="50" t="n">
        <v>1.75</v>
      </c>
      <c r="F216" s="31" t="n">
        <f aca="false">Narxlar!$C$79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341</v>
      </c>
      <c r="E217" s="50" t="n">
        <v>6.3</v>
      </c>
      <c r="F217" s="31" t="n">
        <f aca="false">Narxlar!$C$77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342</v>
      </c>
      <c r="E218" s="50" t="n">
        <v>0.15</v>
      </c>
      <c r="F218" s="31" t="n">
        <f aca="false">Narxlar!$C$77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326</v>
      </c>
      <c r="E219" s="50" t="n">
        <v>1.5</v>
      </c>
      <c r="F219" s="31" t="n">
        <f aca="false">Narxlar!$C$77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343</v>
      </c>
      <c r="E220" s="50" t="n">
        <v>0.2</v>
      </c>
      <c r="F220" s="31" t="n">
        <f aca="false">Narxlar!$C$77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344</v>
      </c>
      <c r="E221" s="50" t="n">
        <v>4.7</v>
      </c>
      <c r="F221" s="31" t="n">
        <f aca="false">Narxlar!$C$79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345</v>
      </c>
      <c r="E222" s="50" t="n">
        <v>0.4</v>
      </c>
      <c r="F222" s="31" t="n">
        <f aca="false">Narxlar!$C$77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346</v>
      </c>
      <c r="E223" s="50" t="n">
        <v>4.7</v>
      </c>
      <c r="F223" s="31" t="n">
        <f aca="false">Narxlar!$C$79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347</v>
      </c>
      <c r="E224" s="50" t="n">
        <v>0.35</v>
      </c>
      <c r="F224" s="31" t="n">
        <f aca="false">Narxlar!$C$77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347</v>
      </c>
      <c r="E225" s="50" t="n">
        <v>0.1</v>
      </c>
      <c r="F225" s="31" t="n">
        <f aca="false">Narxlar!$C$77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348</v>
      </c>
      <c r="E226" s="31" t="n">
        <f aca="false">Narxlar!$C$82</f>
        <v>0.9</v>
      </c>
      <c r="F226" s="31" t="n">
        <f aca="false">Narxlar!$C$79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349</v>
      </c>
      <c r="E227" s="31" t="n">
        <f aca="false">Narxlar!$C$82</f>
        <v>0.9</v>
      </c>
      <c r="F227" s="31" t="n">
        <f aca="false">Narxlar!$C$79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350</v>
      </c>
      <c r="E228" s="31" t="n">
        <f aca="false">Narxlar!$C$82</f>
        <v>0.9</v>
      </c>
      <c r="F228" s="31" t="n">
        <f aca="false">Narxlar!$C$79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351</v>
      </c>
      <c r="E229" s="31" t="n">
        <f aca="false">Narxlar!$C$82</f>
        <v>0.9</v>
      </c>
      <c r="F229" s="31" t="n">
        <f aca="false">Narxlar!$C$79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352</v>
      </c>
      <c r="E230" s="31" t="n">
        <f aca="false">Narxlar!$C$82</f>
        <v>0.9</v>
      </c>
      <c r="F230" s="31" t="n">
        <f aca="false">Narxlar!$C$79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353</v>
      </c>
      <c r="E231" s="31" t="n">
        <f aca="false">Narxlar!$C$82</f>
        <v>0.9</v>
      </c>
      <c r="F231" s="31" t="n">
        <f aca="false">Narxlar!$C$79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335</v>
      </c>
      <c r="E232" s="50"/>
      <c r="F232" s="51"/>
      <c r="G232" s="52" t="n">
        <v>1</v>
      </c>
      <c r="H232" s="5" t="s">
        <v>253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354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355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356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357</v>
      </c>
      <c r="E238" s="50" t="n">
        <v>0.4</v>
      </c>
      <c r="F238" s="31" t="n">
        <f aca="false">Narxlar!$C$77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358</v>
      </c>
      <c r="E239" s="50" t="n">
        <v>0.7</v>
      </c>
      <c r="F239" s="31" t="n">
        <f aca="false">Narxlar!$C$77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287</v>
      </c>
      <c r="E240" s="50" t="n">
        <v>1.65</v>
      </c>
      <c r="F240" s="31" t="n">
        <f aca="false">Narxlar!$C$77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335</v>
      </c>
      <c r="E241" s="50"/>
      <c r="F241" s="51"/>
      <c r="G241" s="52" t="n">
        <v>1</v>
      </c>
      <c r="H241" s="5" t="s">
        <v>253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" t="n">
        <v>192</v>
      </c>
      <c r="B242" s="6" t="s">
        <v>79</v>
      </c>
      <c r="C242" s="6" t="s">
        <v>22</v>
      </c>
      <c r="D242" s="6" t="s">
        <v>359</v>
      </c>
      <c r="E242" s="50"/>
      <c r="F242" s="51"/>
      <c r="G242" s="52" t="n">
        <v>1</v>
      </c>
      <c r="H242" s="5" t="s">
        <v>253</v>
      </c>
      <c r="I242" s="7" t="n">
        <f aca="false">Narxlar!$C$69</f>
        <v>700</v>
      </c>
      <c r="J242" s="53" t="n">
        <f aca="false">G242*I242</f>
        <v>700</v>
      </c>
    </row>
    <row r="243" customFormat="false" ht="15" hidden="false" customHeight="false" outlineLevel="0" collapsed="false">
      <c r="A243" s="5" t="n">
        <v>193</v>
      </c>
      <c r="B243" s="6" t="s">
        <v>79</v>
      </c>
      <c r="C243" s="6" t="s">
        <v>22</v>
      </c>
      <c r="D243" s="6" t="s">
        <v>360</v>
      </c>
      <c r="E243" s="50"/>
      <c r="F243" s="51"/>
      <c r="G243" s="52" t="n">
        <v>1</v>
      </c>
      <c r="H243" s="5" t="s">
        <v>253</v>
      </c>
      <c r="I243" s="7" t="n">
        <f aca="false">Narxlar!$C$70</f>
        <v>450</v>
      </c>
      <c r="J243" s="53" t="n">
        <f aca="false">G243*I243</f>
        <v>450</v>
      </c>
    </row>
    <row r="244" customFormat="false" ht="15" hidden="false" customHeight="false" outlineLevel="0" collapsed="false">
      <c r="A244" s="5" t="n">
        <v>194</v>
      </c>
      <c r="B244" s="6" t="s">
        <v>79</v>
      </c>
      <c r="C244" s="6" t="s">
        <v>22</v>
      </c>
      <c r="D244" s="6" t="s">
        <v>361</v>
      </c>
      <c r="E244" s="50"/>
      <c r="F244" s="51"/>
      <c r="G244" s="52" t="n">
        <v>1</v>
      </c>
      <c r="H244" s="5" t="s">
        <v>113</v>
      </c>
      <c r="I244" s="7" t="n">
        <f aca="false">Narxlar!$C$71</f>
        <v>600</v>
      </c>
      <c r="J244" s="53" t="n">
        <f aca="false">G244*I244</f>
        <v>600</v>
      </c>
    </row>
    <row r="245" customFormat="false" ht="15" hidden="false" customHeight="false" outlineLevel="0" collapsed="false">
      <c r="A245" s="5" t="n">
        <v>195</v>
      </c>
      <c r="B245" s="6" t="s">
        <v>79</v>
      </c>
      <c r="C245" s="6" t="s">
        <v>22</v>
      </c>
      <c r="D245" s="6" t="s">
        <v>362</v>
      </c>
      <c r="E245" s="50"/>
      <c r="F245" s="51"/>
      <c r="G245" s="52" t="n">
        <v>1</v>
      </c>
      <c r="H245" s="5" t="s">
        <v>253</v>
      </c>
      <c r="I245" s="7" t="n">
        <f aca="false">Narxlar!$C$72</f>
        <v>250</v>
      </c>
      <c r="J245" s="53" t="n">
        <f aca="false">G245*I245</f>
        <v>250</v>
      </c>
    </row>
    <row r="246" customFormat="false" ht="15" hidden="false" customHeight="false" outlineLevel="0" collapsed="false">
      <c r="A246" s="5" t="n">
        <v>196</v>
      </c>
      <c r="B246" s="6" t="s">
        <v>79</v>
      </c>
      <c r="C246" s="6" t="s">
        <v>22</v>
      </c>
      <c r="D246" s="6" t="s">
        <v>363</v>
      </c>
      <c r="E246" s="50"/>
      <c r="F246" s="51"/>
      <c r="G246" s="52" t="n">
        <v>1</v>
      </c>
      <c r="H246" s="5" t="s">
        <v>253</v>
      </c>
      <c r="I246" s="7" t="n">
        <f aca="false">Narxlar!$C$73</f>
        <v>60</v>
      </c>
      <c r="J246" s="53" t="n">
        <f aca="false">G246*I246</f>
        <v>60</v>
      </c>
    </row>
    <row r="247" customFormat="false" ht="15" hidden="false" customHeight="false" outlineLevel="0" collapsed="false">
      <c r="A247" s="5" t="n">
        <v>197</v>
      </c>
      <c r="B247" s="6" t="s">
        <v>79</v>
      </c>
      <c r="C247" s="6" t="s">
        <v>22</v>
      </c>
      <c r="D247" s="6" t="s">
        <v>364</v>
      </c>
      <c r="E247" s="50"/>
      <c r="F247" s="51"/>
      <c r="G247" s="52" t="n">
        <v>1</v>
      </c>
      <c r="H247" s="5" t="s">
        <v>113</v>
      </c>
      <c r="I247" s="7" t="n">
        <f aca="false">Narxlar!$C$74</f>
        <v>300</v>
      </c>
      <c r="J247" s="53" t="n">
        <f aca="false">G247*I247</f>
        <v>300</v>
      </c>
    </row>
    <row r="248" customFormat="false" ht="15" hidden="false" customHeight="false" outlineLevel="0" collapsed="false">
      <c r="A248" s="54"/>
      <c r="B248" s="54"/>
      <c r="C248" s="54"/>
      <c r="D248" s="11" t="s">
        <v>365</v>
      </c>
      <c r="E248" s="54"/>
      <c r="F248" s="54"/>
      <c r="G248" s="54"/>
      <c r="H248" s="54"/>
      <c r="I248" s="54"/>
      <c r="J248" s="12" t="n">
        <f aca="false">SUM(J238:J247)</f>
        <v>2811.5</v>
      </c>
    </row>
    <row r="250" customFormat="false" ht="15" hidden="false" customHeight="false" outlineLevel="0" collapsed="false">
      <c r="A250" s="29" t="s">
        <v>80</v>
      </c>
      <c r="B250" s="30"/>
      <c r="C250" s="30"/>
      <c r="D250" s="30"/>
      <c r="E250" s="30"/>
      <c r="F250" s="30"/>
      <c r="G250" s="30"/>
      <c r="H250" s="30"/>
      <c r="I250" s="30"/>
      <c r="J250" s="30"/>
    </row>
    <row r="251" customFormat="false" ht="15" hidden="false" customHeight="false" outlineLevel="0" collapsed="false">
      <c r="A251" s="5" t="n">
        <v>198</v>
      </c>
      <c r="B251" s="6" t="s">
        <v>80</v>
      </c>
      <c r="C251" s="6" t="s">
        <v>9</v>
      </c>
      <c r="D251" s="6" t="s">
        <v>287</v>
      </c>
      <c r="E251" s="50" t="n">
        <v>2.6</v>
      </c>
      <c r="F251" s="31" t="n">
        <f aca="false">Narxlar!$C$77</f>
        <v>3.5</v>
      </c>
      <c r="G251" s="51" t="n">
        <f aca="false">E251*F251</f>
        <v>9.1</v>
      </c>
      <c r="H251" s="5" t="s">
        <v>157</v>
      </c>
      <c r="I251" s="7" t="n">
        <f aca="false">Narxlar!$C$6</f>
        <v>12</v>
      </c>
      <c r="J251" s="53" t="n">
        <f aca="false">G251*I251</f>
        <v>109.2</v>
      </c>
    </row>
    <row r="252" customFormat="false" ht="15" hidden="false" customHeight="false" outlineLevel="0" collapsed="false">
      <c r="A252" s="54"/>
      <c r="B252" s="54"/>
      <c r="C252" s="54"/>
      <c r="D252" s="11" t="s">
        <v>366</v>
      </c>
      <c r="E252" s="54"/>
      <c r="F252" s="54"/>
      <c r="G252" s="54"/>
      <c r="H252" s="54"/>
      <c r="I252" s="54"/>
      <c r="J252" s="12" t="n">
        <f aca="false">SUM(J251:J251)</f>
        <v>109.2</v>
      </c>
    </row>
    <row r="254" customFormat="false" ht="15" hidden="false" customHeight="false" outlineLevel="0" collapsed="false">
      <c r="A254" s="29" t="s">
        <v>81</v>
      </c>
      <c r="B254" s="30"/>
      <c r="C254" s="30"/>
      <c r="D254" s="30"/>
      <c r="E254" s="30"/>
      <c r="F254" s="30"/>
      <c r="G254" s="30"/>
      <c r="H254" s="30"/>
      <c r="I254" s="30"/>
      <c r="J254" s="30"/>
    </row>
    <row r="255" customFormat="false" ht="15" hidden="false" customHeight="false" outlineLevel="0" collapsed="false">
      <c r="A255" s="5" t="n">
        <v>199</v>
      </c>
      <c r="B255" s="6" t="s">
        <v>81</v>
      </c>
      <c r="C255" s="6" t="s">
        <v>12</v>
      </c>
      <c r="D255" s="6" t="s">
        <v>367</v>
      </c>
      <c r="E255" s="31" t="n">
        <f aca="false">Narxlar!$C$10</f>
        <v>24</v>
      </c>
      <c r="F255" s="51"/>
      <c r="G255" s="51" t="n">
        <f aca="false">E255</f>
        <v>24</v>
      </c>
      <c r="H255" s="5" t="s">
        <v>104</v>
      </c>
      <c r="I255" s="7" t="n">
        <f aca="false">Narxlar!$C$9</f>
        <v>84</v>
      </c>
      <c r="J255" s="53" t="n">
        <f aca="false">G255*I255</f>
        <v>2016</v>
      </c>
    </row>
    <row r="256" customFormat="false" ht="15" hidden="false" customHeight="false" outlineLevel="0" collapsed="false">
      <c r="A256" s="54"/>
      <c r="B256" s="54"/>
      <c r="C256" s="54"/>
      <c r="D256" s="11" t="s">
        <v>368</v>
      </c>
      <c r="E256" s="54"/>
      <c r="F256" s="54"/>
      <c r="G256" s="54"/>
      <c r="H256" s="54"/>
      <c r="I256" s="54"/>
      <c r="J256" s="12" t="n">
        <f aca="false">SUM(J255:J255)</f>
        <v>2016</v>
      </c>
    </row>
    <row r="258" customFormat="false" ht="15" hidden="false" customHeight="false" outlineLevel="0" collapsed="false">
      <c r="A258" s="29" t="s">
        <v>82</v>
      </c>
      <c r="B258" s="30"/>
      <c r="C258" s="30"/>
      <c r="D258" s="30"/>
      <c r="E258" s="30"/>
      <c r="F258" s="30"/>
      <c r="G258" s="30"/>
      <c r="H258" s="30"/>
      <c r="I258" s="30"/>
      <c r="J258" s="30"/>
    </row>
    <row r="259" customFormat="false" ht="15" hidden="false" customHeight="false" outlineLevel="0" collapsed="false">
      <c r="A259" s="5" t="n">
        <v>200</v>
      </c>
      <c r="B259" s="6" t="s">
        <v>82</v>
      </c>
      <c r="C259" s="6" t="s">
        <v>14</v>
      </c>
      <c r="D259" s="6" t="s">
        <v>111</v>
      </c>
      <c r="E259" s="50"/>
      <c r="F259" s="51"/>
      <c r="G259" s="33" t="n">
        <f aca="false">Narxlar!$C$14</f>
        <v>16</v>
      </c>
      <c r="H259" s="5" t="s">
        <v>113</v>
      </c>
      <c r="I259" s="7" t="n">
        <f aca="false">Narxlar!$C$13</f>
        <v>40</v>
      </c>
      <c r="J259" s="53" t="n">
        <f aca="false">G259*I259</f>
        <v>640</v>
      </c>
    </row>
    <row r="260" customFormat="false" ht="15" hidden="false" customHeight="false" outlineLevel="0" collapsed="false">
      <c r="A260" s="5" t="n">
        <v>201</v>
      </c>
      <c r="B260" s="6" t="s">
        <v>82</v>
      </c>
      <c r="C260" s="6" t="s">
        <v>14</v>
      </c>
      <c r="D260" s="6" t="s">
        <v>369</v>
      </c>
      <c r="E260" s="50"/>
      <c r="F260" s="51"/>
      <c r="G260" s="33" t="n">
        <f aca="false">Narxlar!$C$14</f>
        <v>16</v>
      </c>
      <c r="H260" s="5" t="s">
        <v>113</v>
      </c>
      <c r="I260" s="7" t="n">
        <f aca="false">Narxlar!$C$15</f>
        <v>21</v>
      </c>
      <c r="J260" s="53" t="n">
        <f aca="false">G260*I260</f>
        <v>336</v>
      </c>
    </row>
    <row r="261" customFormat="false" ht="15" hidden="false" customHeight="false" outlineLevel="0" collapsed="false">
      <c r="A261" s="5" t="n">
        <v>202</v>
      </c>
      <c r="B261" s="6" t="s">
        <v>82</v>
      </c>
      <c r="C261" s="6" t="s">
        <v>14</v>
      </c>
      <c r="D261" s="6" t="s">
        <v>115</v>
      </c>
      <c r="E261" s="50"/>
      <c r="F261" s="51"/>
      <c r="G261" s="52" t="n">
        <v>1</v>
      </c>
      <c r="H261" s="5" t="s">
        <v>113</v>
      </c>
      <c r="I261" s="7" t="n">
        <f aca="false">Narxlar!$C$16</f>
        <v>840</v>
      </c>
      <c r="J261" s="53" t="n">
        <f aca="false">G261*I261</f>
        <v>840</v>
      </c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14</v>
      </c>
      <c r="D262" s="6" t="s">
        <v>370</v>
      </c>
      <c r="E262" s="50"/>
      <c r="F262" s="51"/>
      <c r="G262" s="52" t="n">
        <v>1</v>
      </c>
      <c r="H262" s="5" t="s">
        <v>253</v>
      </c>
      <c r="I262" s="7" t="n">
        <f aca="false">Narxlar!$C$17</f>
        <v>303</v>
      </c>
      <c r="J262" s="53" t="n">
        <f aca="false">G262*I262</f>
        <v>303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15</v>
      </c>
      <c r="D263" s="6" t="s">
        <v>371</v>
      </c>
      <c r="E263" s="50"/>
      <c r="F263" s="51"/>
      <c r="G263" s="52" t="n">
        <v>1</v>
      </c>
      <c r="H263" s="5" t="s">
        <v>253</v>
      </c>
      <c r="I263" s="7" t="n">
        <f aca="false">Narxlar!$C$18</f>
        <v>2500</v>
      </c>
      <c r="J263" s="53" t="n">
        <f aca="false">G263*I263</f>
        <v>2500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16</v>
      </c>
      <c r="D264" s="6" t="s">
        <v>372</v>
      </c>
      <c r="E264" s="50"/>
      <c r="F264" s="51"/>
      <c r="G264" s="33" t="n">
        <f aca="false">Narxlar!$C$21</f>
        <v>8</v>
      </c>
      <c r="H264" s="5" t="s">
        <v>113</v>
      </c>
      <c r="I264" s="7" t="n">
        <f aca="false">Narxlar!$C$20/Narxlar!$C$19</f>
        <v>67.2268907563025</v>
      </c>
      <c r="J264" s="53" t="n">
        <f aca="false">G264*I264</f>
        <v>537.81512605042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17</v>
      </c>
      <c r="D265" s="6" t="s">
        <v>373</v>
      </c>
      <c r="E265" s="50"/>
      <c r="F265" s="51"/>
      <c r="G265" s="52" t="n">
        <v>1</v>
      </c>
      <c r="H265" s="5" t="s">
        <v>253</v>
      </c>
      <c r="I265" s="7" t="n">
        <f aca="false">Narxlar!$C$22/Narxlar!$C$19</f>
        <v>1512.60504201681</v>
      </c>
      <c r="J265" s="53" t="n">
        <f aca="false">G265*I265</f>
        <v>1512.60504201681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18</v>
      </c>
      <c r="D266" s="6" t="s">
        <v>374</v>
      </c>
      <c r="E266" s="50" t="n">
        <v>1.1</v>
      </c>
      <c r="F266" s="31" t="n">
        <f aca="false">Narxlar!$C$77</f>
        <v>3.5</v>
      </c>
      <c r="G266" s="51" t="n">
        <f aca="false">E266*F266</f>
        <v>3.85</v>
      </c>
      <c r="H266" s="5" t="s">
        <v>157</v>
      </c>
      <c r="I266" s="7" t="n">
        <f aca="false">Narxlar!$C$23/Narxlar!$C$19</f>
        <v>4.20168067226891</v>
      </c>
      <c r="J266" s="53" t="n">
        <f aca="false">G266*I266</f>
        <v>16.1764705882353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18</v>
      </c>
      <c r="D267" s="6" t="s">
        <v>375</v>
      </c>
      <c r="E267" s="50" t="n">
        <v>5.6</v>
      </c>
      <c r="F267" s="31" t="n">
        <f aca="false">Narxlar!$C$77</f>
        <v>3.5</v>
      </c>
      <c r="G267" s="51" t="n">
        <f aca="false">E267*F267</f>
        <v>19.6</v>
      </c>
      <c r="H267" s="5" t="s">
        <v>157</v>
      </c>
      <c r="I267" s="7" t="n">
        <f aca="false">Narxlar!$C$23/Narxlar!$C$19</f>
        <v>4.20168067226891</v>
      </c>
      <c r="J267" s="53" t="n">
        <f aca="false">G267*I267</f>
        <v>82.3529411764706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18</v>
      </c>
      <c r="D268" s="6" t="s">
        <v>375</v>
      </c>
      <c r="E268" s="50" t="n">
        <v>5.6</v>
      </c>
      <c r="F268" s="31" t="n">
        <f aca="false">Narxlar!$C$77</f>
        <v>3.5</v>
      </c>
      <c r="G268" s="51" t="n">
        <f aca="false">E268*F268</f>
        <v>19.6</v>
      </c>
      <c r="H268" s="5" t="s">
        <v>157</v>
      </c>
      <c r="I268" s="7" t="n">
        <f aca="false">Narxlar!$C$23/Narxlar!$C$19</f>
        <v>4.20168067226891</v>
      </c>
      <c r="J268" s="53" t="n">
        <f aca="false">G268*I268</f>
        <v>82.3529411764706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375</v>
      </c>
      <c r="E269" s="50" t="n">
        <v>0.75</v>
      </c>
      <c r="F269" s="31" t="n">
        <f aca="false">Narxlar!$C$77</f>
        <v>3.5</v>
      </c>
      <c r="G269" s="51" t="n">
        <f aca="false">E269*F269</f>
        <v>2.625</v>
      </c>
      <c r="H269" s="5" t="s">
        <v>157</v>
      </c>
      <c r="I269" s="7" t="n">
        <f aca="false">Narxlar!$C$23/Narxlar!$C$19</f>
        <v>4.20168067226891</v>
      </c>
      <c r="J269" s="53" t="n">
        <f aca="false">G269*I269</f>
        <v>11.0294117647059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18</v>
      </c>
      <c r="D270" s="6" t="s">
        <v>375</v>
      </c>
      <c r="E270" s="50" t="n">
        <v>3.4</v>
      </c>
      <c r="F270" s="31" t="n">
        <f aca="false">Narxlar!$C$77</f>
        <v>3.5</v>
      </c>
      <c r="G270" s="51" t="n">
        <f aca="false">E270*F270</f>
        <v>11.9</v>
      </c>
      <c r="H270" s="5" t="s">
        <v>157</v>
      </c>
      <c r="I270" s="7" t="n">
        <f aca="false">Narxlar!$C$23/Narxlar!$C$19</f>
        <v>4.20168067226891</v>
      </c>
      <c r="J270" s="53" t="n">
        <f aca="false">G270*I270</f>
        <v>50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18</v>
      </c>
      <c r="D271" s="6" t="s">
        <v>376</v>
      </c>
      <c r="E271" s="50" t="n">
        <v>4.2</v>
      </c>
      <c r="F271" s="31" t="n">
        <f aca="false">Narxlar!$C$77</f>
        <v>3.5</v>
      </c>
      <c r="G271" s="51" t="n">
        <f aca="false">E271*F271</f>
        <v>14.7</v>
      </c>
      <c r="H271" s="5" t="s">
        <v>157</v>
      </c>
      <c r="I271" s="7" t="n">
        <f aca="false">Narxlar!$C$23/Narxlar!$C$19</f>
        <v>4.20168067226891</v>
      </c>
      <c r="J271" s="53" t="n">
        <f aca="false">G271*I271</f>
        <v>61.764705882353</v>
      </c>
    </row>
    <row r="272" customFormat="false" ht="15" hidden="false" customHeight="false" outlineLevel="0" collapsed="false">
      <c r="A272" s="5" t="n">
        <v>213</v>
      </c>
      <c r="B272" s="6" t="s">
        <v>82</v>
      </c>
      <c r="C272" s="6" t="s">
        <v>18</v>
      </c>
      <c r="D272" s="6" t="s">
        <v>374</v>
      </c>
      <c r="E272" s="50" t="n">
        <v>1.5</v>
      </c>
      <c r="F272" s="31" t="n">
        <f aca="false">Narxlar!$C$77</f>
        <v>3.5</v>
      </c>
      <c r="G272" s="51" t="n">
        <f aca="false">E272*F272</f>
        <v>5.25</v>
      </c>
      <c r="H272" s="5" t="s">
        <v>157</v>
      </c>
      <c r="I272" s="7" t="n">
        <f aca="false">Narxlar!$C$23/Narxlar!$C$19</f>
        <v>4.20168067226891</v>
      </c>
      <c r="J272" s="53" t="n">
        <f aca="false">G272*I272</f>
        <v>22.0588235294118</v>
      </c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18</v>
      </c>
      <c r="D273" s="6" t="s">
        <v>377</v>
      </c>
      <c r="E273" s="50" t="n">
        <v>0.2</v>
      </c>
      <c r="F273" s="31" t="n">
        <f aca="false">Narxlar!$C$77</f>
        <v>3.5</v>
      </c>
      <c r="G273" s="51" t="n">
        <f aca="false">E273*F273</f>
        <v>0.7</v>
      </c>
      <c r="H273" s="5" t="s">
        <v>157</v>
      </c>
      <c r="I273" s="7" t="n">
        <f aca="false">Narxlar!$C$23/Narxlar!$C$19</f>
        <v>4.20168067226891</v>
      </c>
      <c r="J273" s="53" t="n">
        <f aca="false">G273*I273</f>
        <v>2.94117647058824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18</v>
      </c>
      <c r="D274" s="6" t="s">
        <v>374</v>
      </c>
      <c r="E274" s="50" t="n">
        <v>1.5</v>
      </c>
      <c r="F274" s="31" t="n">
        <f aca="false">Narxlar!$C$77</f>
        <v>3.5</v>
      </c>
      <c r="G274" s="51" t="n">
        <f aca="false">E274*F274</f>
        <v>5.25</v>
      </c>
      <c r="H274" s="5" t="s">
        <v>157</v>
      </c>
      <c r="I274" s="7" t="n">
        <f aca="false">Narxlar!$C$23/Narxlar!$C$19</f>
        <v>4.20168067226891</v>
      </c>
      <c r="J274" s="53" t="n">
        <f aca="false">G274*I274</f>
        <v>22.0588235294118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18</v>
      </c>
      <c r="D275" s="6" t="s">
        <v>378</v>
      </c>
      <c r="E275" s="50"/>
      <c r="F275" s="51"/>
      <c r="G275" s="52" t="n">
        <v>1</v>
      </c>
      <c r="H275" s="5" t="s">
        <v>253</v>
      </c>
      <c r="I275" s="7" t="n">
        <f aca="false">Narxlar!$C$24/Narxlar!$C$19</f>
        <v>100.840336134454</v>
      </c>
      <c r="J275" s="53" t="n">
        <f aca="false">G275*I275</f>
        <v>100.840336134454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21</v>
      </c>
      <c r="D276" s="6" t="s">
        <v>379</v>
      </c>
      <c r="E276" s="50"/>
      <c r="F276" s="51"/>
      <c r="G276" s="52" t="n">
        <v>1</v>
      </c>
      <c r="H276" s="5" t="s">
        <v>253</v>
      </c>
      <c r="I276" s="7" t="n">
        <f aca="false">Narxlar!$C$52</f>
        <v>7000</v>
      </c>
      <c r="J276" s="53" t="n">
        <f aca="false">G276*I276</f>
        <v>7000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21</v>
      </c>
      <c r="D277" s="6" t="s">
        <v>380</v>
      </c>
      <c r="E277" s="50"/>
      <c r="F277" s="51"/>
      <c r="G277" s="52" t="n">
        <v>1</v>
      </c>
      <c r="H277" s="5" t="s">
        <v>253</v>
      </c>
      <c r="I277" s="7" t="n">
        <f aca="false">Narxlar!$C$53</f>
        <v>7000</v>
      </c>
      <c r="J277" s="53" t="n">
        <f aca="false">G277*I277</f>
        <v>7000</v>
      </c>
    </row>
    <row r="278" customFormat="false" ht="15" hidden="false" customHeight="false" outlineLevel="0" collapsed="false">
      <c r="A278" s="54"/>
      <c r="B278" s="54"/>
      <c r="C278" s="54"/>
      <c r="D278" s="11" t="s">
        <v>381</v>
      </c>
      <c r="E278" s="54"/>
      <c r="F278" s="54"/>
      <c r="G278" s="54"/>
      <c r="H278" s="54"/>
      <c r="I278" s="54"/>
      <c r="J278" s="12" t="n">
        <f aca="false">SUM(J259:J277)</f>
        <v>21120.9957983193</v>
      </c>
    </row>
    <row r="280" customFormat="false" ht="15" hidden="false" customHeight="false" outlineLevel="0" collapsed="false">
      <c r="A280" s="29" t="s">
        <v>84</v>
      </c>
      <c r="B280" s="30"/>
      <c r="C280" s="30"/>
      <c r="D280" s="30"/>
      <c r="E280" s="30"/>
      <c r="F280" s="30"/>
      <c r="G280" s="30"/>
      <c r="H280" s="30"/>
      <c r="I280" s="30"/>
      <c r="J280" s="30"/>
    </row>
    <row r="281" customFormat="false" ht="15" hidden="false" customHeight="false" outlineLevel="0" collapsed="false">
      <c r="A281" s="5" t="n">
        <v>219</v>
      </c>
      <c r="B281" s="6" t="s">
        <v>84</v>
      </c>
      <c r="C281" s="6" t="s">
        <v>10</v>
      </c>
      <c r="D281" s="6" t="s">
        <v>382</v>
      </c>
      <c r="E281" s="50" t="n">
        <v>5.45</v>
      </c>
      <c r="F281" s="31" t="n">
        <f aca="false">Narxlar!$C$84</f>
        <v>2.5</v>
      </c>
      <c r="G281" s="51" t="n">
        <f aca="false">E281*F281</f>
        <v>13.625</v>
      </c>
      <c r="H281" s="5" t="s">
        <v>157</v>
      </c>
      <c r="I281" s="7" t="n">
        <f aca="false">Narxlar!$C$7</f>
        <v>15.5</v>
      </c>
      <c r="J281" s="53" t="n">
        <f aca="false">G281*I281</f>
        <v>211.1875</v>
      </c>
    </row>
    <row r="282" customFormat="false" ht="15" hidden="false" customHeight="false" outlineLevel="0" collapsed="false">
      <c r="A282" s="5" t="n">
        <v>220</v>
      </c>
      <c r="B282" s="6" t="s">
        <v>84</v>
      </c>
      <c r="C282" s="6" t="s">
        <v>10</v>
      </c>
      <c r="D282" s="6" t="s">
        <v>383</v>
      </c>
      <c r="E282" s="50" t="n">
        <v>5.45</v>
      </c>
      <c r="F282" s="31" t="n">
        <f aca="false">Narxlar!$C$84</f>
        <v>2.5</v>
      </c>
      <c r="G282" s="51" t="n">
        <f aca="false">E282*F282</f>
        <v>13.625</v>
      </c>
      <c r="H282" s="5" t="s">
        <v>157</v>
      </c>
      <c r="I282" s="7" t="n">
        <f aca="false">Narxlar!$C$7</f>
        <v>15.5</v>
      </c>
      <c r="J282" s="53" t="n">
        <f aca="false">G282*I282</f>
        <v>211.1875</v>
      </c>
    </row>
    <row r="283" customFormat="false" ht="15" hidden="false" customHeight="false" outlineLevel="0" collapsed="false">
      <c r="A283" s="5" t="n">
        <v>221</v>
      </c>
      <c r="B283" s="6" t="s">
        <v>84</v>
      </c>
      <c r="C283" s="6" t="s">
        <v>10</v>
      </c>
      <c r="D283" s="6" t="s">
        <v>384</v>
      </c>
      <c r="E283" s="50" t="n">
        <v>8.6</v>
      </c>
      <c r="F283" s="31" t="n">
        <f aca="false">Narxlar!$C$84</f>
        <v>2.5</v>
      </c>
      <c r="G283" s="51" t="n">
        <f aca="false">E283*F283</f>
        <v>21.5</v>
      </c>
      <c r="H283" s="5" t="s">
        <v>157</v>
      </c>
      <c r="I283" s="7" t="n">
        <f aca="false">Narxlar!$C$7</f>
        <v>15.5</v>
      </c>
      <c r="J283" s="53" t="n">
        <f aca="false">G283*I283</f>
        <v>333.25</v>
      </c>
    </row>
    <row r="284" customFormat="false" ht="15" hidden="false" customHeight="false" outlineLevel="0" collapsed="false">
      <c r="A284" s="5" t="n">
        <v>222</v>
      </c>
      <c r="B284" s="6" t="s">
        <v>84</v>
      </c>
      <c r="C284" s="6" t="s">
        <v>10</v>
      </c>
      <c r="D284" s="6" t="s">
        <v>318</v>
      </c>
      <c r="E284" s="31" t="n">
        <f aca="false">Narxlar!$C$82</f>
        <v>0.9</v>
      </c>
      <c r="F284" s="31" t="n">
        <f aca="false">Narxlar!$C$80</f>
        <v>2.1</v>
      </c>
      <c r="G284" s="51" t="n">
        <f aca="false">-E284*F284</f>
        <v>-1.89</v>
      </c>
      <c r="H284" s="5" t="s">
        <v>157</v>
      </c>
      <c r="I284" s="7" t="n">
        <f aca="false">Narxlar!$C$7</f>
        <v>15.5</v>
      </c>
      <c r="J284" s="53" t="n">
        <f aca="false">G284*I284</f>
        <v>-29.295</v>
      </c>
    </row>
    <row r="285" customFormat="false" ht="15" hidden="false" customHeight="false" outlineLevel="0" collapsed="false">
      <c r="A285" s="5" t="n">
        <v>223</v>
      </c>
      <c r="B285" s="6" t="s">
        <v>84</v>
      </c>
      <c r="C285" s="6" t="s">
        <v>11</v>
      </c>
      <c r="D285" s="6" t="s">
        <v>385</v>
      </c>
      <c r="E285" s="50"/>
      <c r="F285" s="51"/>
      <c r="G285" s="52" t="n">
        <v>1</v>
      </c>
      <c r="H285" s="5" t="s">
        <v>113</v>
      </c>
      <c r="I285" s="7" t="n">
        <f aca="false">Narxlar!$C$8</f>
        <v>1032</v>
      </c>
      <c r="J285" s="53" t="n">
        <f aca="false">G285*I285</f>
        <v>1032</v>
      </c>
    </row>
    <row r="286" customFormat="false" ht="15" hidden="false" customHeight="false" outlineLevel="0" collapsed="false">
      <c r="A286" s="5" t="n">
        <v>224</v>
      </c>
      <c r="B286" s="6" t="s">
        <v>84</v>
      </c>
      <c r="C286" s="6" t="s">
        <v>21</v>
      </c>
      <c r="D286" s="6" t="s">
        <v>386</v>
      </c>
      <c r="E286" s="50"/>
      <c r="F286" s="51"/>
      <c r="G286" s="52" t="n">
        <v>1</v>
      </c>
      <c r="H286" s="5" t="s">
        <v>113</v>
      </c>
      <c r="I286" s="7" t="n">
        <f aca="false">Narxlar!$C$54</f>
        <v>1000</v>
      </c>
      <c r="J286" s="53" t="n">
        <f aca="false">G286*I286</f>
        <v>1000</v>
      </c>
    </row>
    <row r="287" customFormat="false" ht="15" hidden="false" customHeight="false" outlineLevel="0" collapsed="false">
      <c r="A287" s="54"/>
      <c r="B287" s="54"/>
      <c r="C287" s="54"/>
      <c r="D287" s="11" t="s">
        <v>387</v>
      </c>
      <c r="E287" s="54"/>
      <c r="F287" s="54"/>
      <c r="G287" s="54"/>
      <c r="H287" s="54"/>
      <c r="I287" s="54"/>
      <c r="J287" s="12" t="n">
        <f aca="false">SUM(J281:J286)</f>
        <v>2758.33</v>
      </c>
    </row>
    <row r="289" customFormat="false" ht="15" hidden="false" customHeight="false" outlineLevel="0" collapsed="false">
      <c r="A289" s="29" t="s">
        <v>85</v>
      </c>
      <c r="B289" s="30"/>
      <c r="C289" s="30"/>
      <c r="D289" s="30"/>
      <c r="E289" s="30"/>
      <c r="F289" s="30"/>
      <c r="G289" s="30"/>
      <c r="H289" s="30"/>
      <c r="I289" s="30"/>
      <c r="J289" s="30"/>
    </row>
    <row r="290" customFormat="false" ht="15" hidden="false" customHeight="false" outlineLevel="0" collapsed="false">
      <c r="A290" s="5" t="n">
        <v>225</v>
      </c>
      <c r="B290" s="6" t="s">
        <v>85</v>
      </c>
      <c r="C290" s="6" t="s">
        <v>19</v>
      </c>
      <c r="D290" s="6" t="s">
        <v>388</v>
      </c>
      <c r="E290" s="50"/>
      <c r="F290" s="51"/>
      <c r="G290" s="33" t="n">
        <f aca="false">Narxlar!$C$26</f>
        <v>3</v>
      </c>
      <c r="H290" s="5" t="s">
        <v>113</v>
      </c>
      <c r="I290" s="7" t="n">
        <f aca="false">Narxlar!$C$25/Narxlar!$C$19</f>
        <v>58.8235294117647</v>
      </c>
      <c r="J290" s="53" t="n">
        <f aca="false">G290*I290</f>
        <v>176.470588235294</v>
      </c>
    </row>
    <row r="291" customFormat="false" ht="15" hidden="false" customHeight="false" outlineLevel="0" collapsed="false">
      <c r="A291" s="5" t="n">
        <v>226</v>
      </c>
      <c r="B291" s="6" t="s">
        <v>85</v>
      </c>
      <c r="C291" s="6" t="s">
        <v>19</v>
      </c>
      <c r="D291" s="6" t="s">
        <v>389</v>
      </c>
      <c r="E291" s="50"/>
      <c r="F291" s="51"/>
      <c r="G291" s="33" t="n">
        <f aca="false">Narxlar!$C$28</f>
        <v>3</v>
      </c>
      <c r="H291" s="5" t="s">
        <v>113</v>
      </c>
      <c r="I291" s="7" t="n">
        <f aca="false">Narxlar!$C$27/Narxlar!$C$19</f>
        <v>100.840336134454</v>
      </c>
      <c r="J291" s="53" t="n">
        <f aca="false">G291*I291</f>
        <v>302.521008403361</v>
      </c>
    </row>
    <row r="292" customFormat="false" ht="15" hidden="false" customHeight="false" outlineLevel="0" collapsed="false">
      <c r="A292" s="5" t="n">
        <v>227</v>
      </c>
      <c r="B292" s="6" t="s">
        <v>85</v>
      </c>
      <c r="C292" s="6" t="s">
        <v>19</v>
      </c>
      <c r="D292" s="6" t="s">
        <v>390</v>
      </c>
      <c r="E292" s="50"/>
      <c r="F292" s="51"/>
      <c r="G292" s="33" t="n">
        <f aca="false">Narxlar!$C$30</f>
        <v>4</v>
      </c>
      <c r="H292" s="5" t="s">
        <v>113</v>
      </c>
      <c r="I292" s="7" t="n">
        <f aca="false">Narxlar!$C$29/Narxlar!$C$19</f>
        <v>54.6218487394958</v>
      </c>
      <c r="J292" s="53" t="n">
        <f aca="false">G292*I292</f>
        <v>218.487394957983</v>
      </c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391</v>
      </c>
      <c r="E293" s="50"/>
      <c r="F293" s="51"/>
      <c r="G293" s="33" t="n">
        <f aca="false">Narxlar!$C$32</f>
        <v>6</v>
      </c>
      <c r="H293" s="5" t="s">
        <v>113</v>
      </c>
      <c r="I293" s="7" t="n">
        <f aca="false">Narxlar!$C$31/Narxlar!$C$19</f>
        <v>16.8067226890756</v>
      </c>
      <c r="J293" s="53" t="n">
        <f aca="false">G293*I293</f>
        <v>100.840336134454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392</v>
      </c>
      <c r="E294" s="50"/>
      <c r="F294" s="51"/>
      <c r="G294" s="33" t="n">
        <f aca="false">Narxlar!$C$34</f>
        <v>4</v>
      </c>
      <c r="H294" s="5" t="s">
        <v>113</v>
      </c>
      <c r="I294" s="7" t="n">
        <f aca="false">Narxlar!$C$33/Narxlar!$C$19</f>
        <v>33.6134453781513</v>
      </c>
      <c r="J294" s="53" t="n">
        <f aca="false">G294*I294</f>
        <v>134.453781512605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393</v>
      </c>
      <c r="E295" s="50"/>
      <c r="F295" s="51"/>
      <c r="G295" s="33" t="n">
        <f aca="false">Narxlar!$C$36</f>
        <v>4</v>
      </c>
      <c r="H295" s="5" t="s">
        <v>113</v>
      </c>
      <c r="I295" s="7" t="n">
        <f aca="false">Narxlar!$C$35/Narxlar!$C$19</f>
        <v>33.6134453781513</v>
      </c>
      <c r="J295" s="53" t="n">
        <f aca="false">G295*I295</f>
        <v>134.453781512605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19</v>
      </c>
      <c r="D296" s="6" t="s">
        <v>394</v>
      </c>
      <c r="E296" s="50"/>
      <c r="F296" s="51"/>
      <c r="G296" s="33" t="n">
        <f aca="false">Narxlar!$C$38</f>
        <v>16</v>
      </c>
      <c r="H296" s="5" t="s">
        <v>153</v>
      </c>
      <c r="I296" s="7" t="n">
        <f aca="false">Narxlar!$C$37/Narxlar!$C$19</f>
        <v>84.0336134453782</v>
      </c>
      <c r="J296" s="53" t="n">
        <f aca="false">G296*I296</f>
        <v>1344.53781512605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19</v>
      </c>
      <c r="D297" s="6" t="s">
        <v>395</v>
      </c>
      <c r="E297" s="50"/>
      <c r="F297" s="51"/>
      <c r="G297" s="33" t="n">
        <f aca="false">Narxlar!$C$44</f>
        <v>4</v>
      </c>
      <c r="H297" s="5" t="s">
        <v>113</v>
      </c>
      <c r="I297" s="7" t="n">
        <f aca="false">Narxlar!$C$43/Narxlar!$C$19</f>
        <v>100.840336134454</v>
      </c>
      <c r="J297" s="53" t="n">
        <f aca="false">G297*I297</f>
        <v>403.361344537815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19</v>
      </c>
      <c r="D298" s="6" t="s">
        <v>162</v>
      </c>
      <c r="E298" s="50"/>
      <c r="F298" s="51"/>
      <c r="G298" s="31" t="n">
        <f aca="false">Narxlar!$C$46</f>
        <v>40</v>
      </c>
      <c r="H298" s="5" t="s">
        <v>104</v>
      </c>
      <c r="I298" s="7" t="n">
        <f aca="false">Narxlar!$C$45/Narxlar!$C$19</f>
        <v>2.10084033613445</v>
      </c>
      <c r="J298" s="53" t="n">
        <f aca="false">G298*I298</f>
        <v>84.0336134453782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19</v>
      </c>
      <c r="D299" s="6" t="s">
        <v>165</v>
      </c>
      <c r="E299" s="50"/>
      <c r="F299" s="51"/>
      <c r="G299" s="31" t="n">
        <f aca="false">Narxlar!$C$48</f>
        <v>40</v>
      </c>
      <c r="H299" s="5" t="s">
        <v>104</v>
      </c>
      <c r="I299" s="7" t="n">
        <f aca="false">Narxlar!$C$47/Narxlar!$C$19</f>
        <v>1.00840336134454</v>
      </c>
      <c r="J299" s="53" t="n">
        <f aca="false">G299*I299</f>
        <v>40.3361344537815</v>
      </c>
    </row>
    <row r="300" customFormat="false" ht="15" hidden="false" customHeight="false" outlineLevel="0" collapsed="false">
      <c r="A300" s="5" t="n">
        <v>235</v>
      </c>
      <c r="B300" s="6" t="s">
        <v>85</v>
      </c>
      <c r="C300" s="6" t="s">
        <v>19</v>
      </c>
      <c r="D300" s="6" t="s">
        <v>168</v>
      </c>
      <c r="E300" s="50"/>
      <c r="F300" s="51"/>
      <c r="G300" s="33" t="n">
        <f aca="false">Narxlar!$C$50</f>
        <v>100</v>
      </c>
      <c r="H300" s="5" t="s">
        <v>113</v>
      </c>
      <c r="I300" s="7" t="n">
        <f aca="false">Narxlar!$C$49/Narxlar!$C$19</f>
        <v>0.420168067226891</v>
      </c>
      <c r="J300" s="53" t="n">
        <f aca="false">G300*I300</f>
        <v>42.0168067226891</v>
      </c>
    </row>
    <row r="301" customFormat="false" ht="15" hidden="false" customHeight="false" outlineLevel="0" collapsed="false">
      <c r="A301" s="5" t="n">
        <v>236</v>
      </c>
      <c r="B301" s="6" t="s">
        <v>85</v>
      </c>
      <c r="C301" s="6" t="s">
        <v>19</v>
      </c>
      <c r="D301" s="6" t="s">
        <v>396</v>
      </c>
      <c r="E301" s="50"/>
      <c r="F301" s="51"/>
      <c r="G301" s="52" t="n">
        <v>1</v>
      </c>
      <c r="H301" s="5" t="s">
        <v>253</v>
      </c>
      <c r="I301" s="7" t="n">
        <f aca="false">Narxlar!$C$51/Narxlar!$C$19</f>
        <v>336.134453781513</v>
      </c>
      <c r="J301" s="53" t="n">
        <f aca="false">G301*I301</f>
        <v>336.134453781513</v>
      </c>
    </row>
    <row r="302" customFormat="false" ht="15" hidden="false" customHeight="false" outlineLevel="0" collapsed="false">
      <c r="A302" s="5" t="n">
        <v>237</v>
      </c>
      <c r="B302" s="6" t="s">
        <v>85</v>
      </c>
      <c r="C302" s="6" t="s">
        <v>20</v>
      </c>
      <c r="D302" s="6" t="s">
        <v>397</v>
      </c>
      <c r="E302" s="50"/>
      <c r="F302" s="51"/>
      <c r="G302" s="31" t="n">
        <f aca="false">Narxlar!$C$41</f>
        <v>58</v>
      </c>
      <c r="H302" s="5" t="s">
        <v>157</v>
      </c>
      <c r="I302" s="7" t="n">
        <f aca="false">Narxlar!$C$39/Narxlar!$C$19</f>
        <v>8.40336134453782</v>
      </c>
      <c r="J302" s="53" t="n">
        <f aca="false">G302*I302</f>
        <v>487.394957983193</v>
      </c>
    </row>
    <row r="303" customFormat="false" ht="15" hidden="false" customHeight="false" outlineLevel="0" collapsed="false">
      <c r="A303" s="5" t="n">
        <v>238</v>
      </c>
      <c r="B303" s="6" t="s">
        <v>85</v>
      </c>
      <c r="C303" s="6" t="s">
        <v>20</v>
      </c>
      <c r="D303" s="6" t="s">
        <v>398</v>
      </c>
      <c r="E303" s="50"/>
      <c r="F303" s="51"/>
      <c r="G303" s="31" t="n">
        <f aca="false">Narxlar!$C$41</f>
        <v>58</v>
      </c>
      <c r="H303" s="5" t="s">
        <v>157</v>
      </c>
      <c r="I303" s="7" t="n">
        <f aca="false">Narxlar!$C$40/Narxlar!$C$19</f>
        <v>8.40336134453782</v>
      </c>
      <c r="J303" s="53" t="n">
        <f aca="false">G303*I303</f>
        <v>487.394957983193</v>
      </c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20</v>
      </c>
      <c r="D304" s="6" t="s">
        <v>399</v>
      </c>
      <c r="E304" s="50"/>
      <c r="F304" s="51"/>
      <c r="G304" s="31" t="n">
        <f aca="false">Narxlar!$C$42</f>
        <v>16</v>
      </c>
      <c r="H304" s="5" t="s">
        <v>157</v>
      </c>
      <c r="I304" s="7" t="n">
        <f aca="false">Narxlar!$C$39/Narxlar!$C$19</f>
        <v>8.40336134453782</v>
      </c>
      <c r="J304" s="53" t="n">
        <f aca="false">G304*I304</f>
        <v>134.453781512605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20</v>
      </c>
      <c r="D305" s="6" t="s">
        <v>400</v>
      </c>
      <c r="E305" s="50"/>
      <c r="F305" s="51"/>
      <c r="G305" s="31" t="n">
        <f aca="false">Narxlar!$C$42</f>
        <v>16</v>
      </c>
      <c r="H305" s="5" t="s">
        <v>157</v>
      </c>
      <c r="I305" s="7" t="n">
        <f aca="false">Narxlar!$C$40/Narxlar!$C$19</f>
        <v>8.40336134453782</v>
      </c>
      <c r="J305" s="53" t="n">
        <f aca="false">G305*I305</f>
        <v>134.453781512605</v>
      </c>
    </row>
    <row r="306" customFormat="false" ht="15" hidden="false" customHeight="false" outlineLevel="0" collapsed="false">
      <c r="A306" s="54"/>
      <c r="B306" s="54"/>
      <c r="C306" s="54"/>
      <c r="D306" s="11" t="s">
        <v>401</v>
      </c>
      <c r="E306" s="54"/>
      <c r="F306" s="54"/>
      <c r="G306" s="54"/>
      <c r="H306" s="54"/>
      <c r="I306" s="54"/>
      <c r="J306" s="12" t="n">
        <f aca="false">SUM(J290:J305)</f>
        <v>4561.34453781513</v>
      </c>
    </row>
    <row r="308" customFormat="false" ht="15" hidden="false" customHeight="false" outlineLevel="0" collapsed="false">
      <c r="A308" s="54"/>
      <c r="B308" s="54"/>
      <c r="C308" s="54"/>
      <c r="D308" s="11" t="s">
        <v>402</v>
      </c>
      <c r="E308" s="54"/>
      <c r="F308" s="54"/>
      <c r="G308" s="54"/>
      <c r="H308" s="54"/>
      <c r="I308" s="54"/>
      <c r="J308" s="12" t="n">
        <f aca="false">J13+J26+J38+J49+J67+J79+J93+J108+J129+J149+J164+J179+J186+J210+J235+J248+J252+J256+J278+J287+J306</f>
        <v>69860.5503361345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2026-10-09T05:04:43Z</dcterms:created>
  <dc:creator>openpyxl</dc:creator>
  <dc:description/>
  <dc:language>en-US</dc:language>
  <cp:lastModifiedBy/>
  <dcterms:modified xsi:type="dcterms:W3CDTF">2026-10-09T05:04:43Z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